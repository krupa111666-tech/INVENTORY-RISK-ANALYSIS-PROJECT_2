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A:\krupa\"/>
    </mc:Choice>
  </mc:AlternateContent>
  <xr:revisionPtr revIDLastSave="0" documentId="13_ncr:1_{2BB590B8-840C-491D-99DD-A93AB5A23705}" xr6:coauthVersionLast="47" xr6:coauthVersionMax="47" xr10:uidLastSave="{00000000-0000-0000-0000-000000000000}"/>
  <bookViews>
    <workbookView xWindow="-120" yWindow="-120" windowWidth="29040" windowHeight="15720" activeTab="2" xr2:uid="{00000000-000D-0000-FFFF-FFFF00000000}"/>
  </bookViews>
  <sheets>
    <sheet name="PIVOT TABLE" sheetId="3" r:id="rId1"/>
    <sheet name="Sheet1" sheetId="1" r:id="rId2"/>
    <sheet name="DASHBOARD" sheetId="6" r:id="rId3"/>
  </sheets>
  <definedNames>
    <definedName name="Slicer_Category">#N/A</definedName>
    <definedName name="Slicer_Category1">#N/A</definedName>
    <definedName name="Slicer_Category2">#N/A</definedName>
    <definedName name="Slicer_Storage_Location">#N/A</definedName>
    <definedName name="Slicer_Storage_Location1">#N/A</definedName>
    <definedName name="Slicer_Storage_Location2">#N/A</definedName>
    <definedName name="Slicer_Supplier">#N/A</definedName>
    <definedName name="Slicer_Supplier1">#N/A</definedName>
    <definedName name="Slicer_Supplier2">#N/A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6" l="1"/>
  <c r="S31" i="1"/>
  <c r="T31" i="1" s="1"/>
  <c r="U31" i="1" s="1"/>
  <c r="S32" i="1"/>
  <c r="T32" i="1" s="1"/>
  <c r="U32" i="1" s="1"/>
  <c r="S33" i="1"/>
  <c r="T33" i="1" s="1"/>
  <c r="U33" i="1" s="1"/>
  <c r="S34" i="1"/>
  <c r="T34" i="1" s="1"/>
  <c r="U34" i="1" s="1"/>
  <c r="S35" i="1"/>
  <c r="T35" i="1" s="1"/>
  <c r="U35" i="1" s="1"/>
  <c r="S36" i="1"/>
  <c r="T36" i="1" s="1"/>
  <c r="U36" i="1" s="1"/>
  <c r="S37" i="1"/>
  <c r="T37" i="1" s="1"/>
  <c r="U37" i="1" s="1"/>
  <c r="S38" i="1"/>
  <c r="T38" i="1" s="1"/>
  <c r="U38" i="1" s="1"/>
  <c r="S39" i="1"/>
  <c r="T39" i="1" s="1"/>
  <c r="U39" i="1" s="1"/>
  <c r="S40" i="1"/>
  <c r="T40" i="1" s="1"/>
  <c r="U40" i="1" s="1"/>
  <c r="S41" i="1"/>
  <c r="T41" i="1" s="1"/>
  <c r="U41" i="1" s="1"/>
  <c r="S42" i="1"/>
  <c r="T42" i="1" s="1"/>
  <c r="U42" i="1" s="1"/>
  <c r="S43" i="1"/>
  <c r="T43" i="1" s="1"/>
  <c r="U43" i="1" s="1"/>
  <c r="S44" i="1"/>
  <c r="T44" i="1" s="1"/>
  <c r="U44" i="1" s="1"/>
  <c r="S45" i="1"/>
  <c r="T45" i="1" s="1"/>
  <c r="U45" i="1" s="1"/>
  <c r="S46" i="1"/>
  <c r="T46" i="1" s="1"/>
  <c r="U46" i="1" s="1"/>
  <c r="S47" i="1"/>
  <c r="T47" i="1" s="1"/>
  <c r="U47" i="1" s="1"/>
  <c r="S48" i="1"/>
  <c r="T48" i="1" s="1"/>
  <c r="U48" i="1" s="1"/>
  <c r="S49" i="1"/>
  <c r="T49" i="1" s="1"/>
  <c r="U49" i="1" s="1"/>
  <c r="S50" i="1"/>
  <c r="T50" i="1" s="1"/>
  <c r="U50" i="1" s="1"/>
  <c r="S51" i="1"/>
  <c r="T51" i="1" s="1"/>
  <c r="U51" i="1" s="1"/>
  <c r="S52" i="1"/>
  <c r="T52" i="1" s="1"/>
  <c r="U52" i="1" s="1"/>
  <c r="S53" i="1"/>
  <c r="T53" i="1" s="1"/>
  <c r="U53" i="1" s="1"/>
  <c r="S54" i="1"/>
  <c r="T54" i="1" s="1"/>
  <c r="U54" i="1" s="1"/>
  <c r="S55" i="1"/>
  <c r="T55" i="1" s="1"/>
  <c r="U55" i="1" s="1"/>
  <c r="S56" i="1"/>
  <c r="T56" i="1" s="1"/>
  <c r="U56" i="1" s="1"/>
  <c r="S57" i="1"/>
  <c r="T57" i="1" s="1"/>
  <c r="U57" i="1" s="1"/>
  <c r="S58" i="1"/>
  <c r="T58" i="1" s="1"/>
  <c r="U58" i="1" s="1"/>
  <c r="S59" i="1"/>
  <c r="T59" i="1" s="1"/>
  <c r="U59" i="1" s="1"/>
  <c r="S60" i="1"/>
  <c r="T60" i="1" s="1"/>
  <c r="U60" i="1" s="1"/>
  <c r="S61" i="1"/>
  <c r="T61" i="1" s="1"/>
  <c r="U61" i="1" s="1"/>
  <c r="S62" i="1"/>
  <c r="T62" i="1" s="1"/>
  <c r="U62" i="1" s="1"/>
  <c r="S63" i="1"/>
  <c r="T63" i="1" s="1"/>
  <c r="U63" i="1" s="1"/>
  <c r="S64" i="1"/>
  <c r="T64" i="1" s="1"/>
  <c r="U64" i="1" s="1"/>
  <c r="S65" i="1"/>
  <c r="T65" i="1" s="1"/>
  <c r="U65" i="1" s="1"/>
  <c r="S66" i="1"/>
  <c r="T66" i="1" s="1"/>
  <c r="U66" i="1" s="1"/>
  <c r="S67" i="1"/>
  <c r="T67" i="1" s="1"/>
  <c r="U67" i="1" s="1"/>
  <c r="S68" i="1"/>
  <c r="T68" i="1" s="1"/>
  <c r="U68" i="1" s="1"/>
  <c r="S69" i="1"/>
  <c r="T69" i="1" s="1"/>
  <c r="U69" i="1" s="1"/>
  <c r="S70" i="1"/>
  <c r="T70" i="1" s="1"/>
  <c r="U70" i="1" s="1"/>
  <c r="S71" i="1"/>
  <c r="T71" i="1" s="1"/>
  <c r="U71" i="1" s="1"/>
  <c r="S72" i="1"/>
  <c r="T72" i="1" s="1"/>
  <c r="U72" i="1" s="1"/>
  <c r="S73" i="1"/>
  <c r="T73" i="1" s="1"/>
  <c r="U73" i="1" s="1"/>
  <c r="S74" i="1"/>
  <c r="T74" i="1" s="1"/>
  <c r="U74" i="1" s="1"/>
  <c r="S75" i="1"/>
  <c r="T75" i="1" s="1"/>
  <c r="U75" i="1" s="1"/>
  <c r="S76" i="1"/>
  <c r="T76" i="1" s="1"/>
  <c r="U76" i="1" s="1"/>
  <c r="S77" i="1"/>
  <c r="T77" i="1" s="1"/>
  <c r="U77" i="1" s="1"/>
  <c r="S78" i="1"/>
  <c r="T78" i="1" s="1"/>
  <c r="U78" i="1" s="1"/>
  <c r="S79" i="1"/>
  <c r="T79" i="1" s="1"/>
  <c r="U79" i="1" s="1"/>
  <c r="S80" i="1"/>
  <c r="T80" i="1" s="1"/>
  <c r="U80" i="1" s="1"/>
  <c r="S81" i="1"/>
  <c r="T81" i="1" s="1"/>
  <c r="U81" i="1" s="1"/>
  <c r="S82" i="1"/>
  <c r="T82" i="1" s="1"/>
  <c r="U82" i="1" s="1"/>
  <c r="S83" i="1"/>
  <c r="T83" i="1" s="1"/>
  <c r="U83" i="1" s="1"/>
  <c r="S84" i="1"/>
  <c r="T84" i="1" s="1"/>
  <c r="U84" i="1" s="1"/>
  <c r="S85" i="1"/>
  <c r="T85" i="1" s="1"/>
  <c r="U85" i="1" s="1"/>
  <c r="S86" i="1"/>
  <c r="T86" i="1" s="1"/>
  <c r="U86" i="1" s="1"/>
  <c r="S87" i="1"/>
  <c r="T87" i="1" s="1"/>
  <c r="U87" i="1" s="1"/>
  <c r="S88" i="1"/>
  <c r="T88" i="1" s="1"/>
  <c r="U88" i="1" s="1"/>
  <c r="S89" i="1"/>
  <c r="T89" i="1" s="1"/>
  <c r="U89" i="1" s="1"/>
  <c r="S90" i="1"/>
  <c r="T90" i="1" s="1"/>
  <c r="U90" i="1" s="1"/>
  <c r="S91" i="1"/>
  <c r="T91" i="1" s="1"/>
  <c r="U91" i="1" s="1"/>
  <c r="S92" i="1"/>
  <c r="T92" i="1" s="1"/>
  <c r="U92" i="1" s="1"/>
  <c r="S93" i="1"/>
  <c r="T93" i="1" s="1"/>
  <c r="U93" i="1" s="1"/>
  <c r="S94" i="1"/>
  <c r="T94" i="1" s="1"/>
  <c r="U94" i="1" s="1"/>
  <c r="S95" i="1"/>
  <c r="T95" i="1" s="1"/>
  <c r="U95" i="1" s="1"/>
  <c r="S96" i="1"/>
  <c r="T96" i="1" s="1"/>
  <c r="U96" i="1" s="1"/>
  <c r="S97" i="1"/>
  <c r="T97" i="1" s="1"/>
  <c r="U97" i="1" s="1"/>
  <c r="S98" i="1"/>
  <c r="T98" i="1" s="1"/>
  <c r="U98" i="1" s="1"/>
  <c r="S99" i="1"/>
  <c r="T99" i="1" s="1"/>
  <c r="U99" i="1" s="1"/>
  <c r="S100" i="1"/>
  <c r="T100" i="1" s="1"/>
  <c r="U100" i="1" s="1"/>
  <c r="S101" i="1"/>
  <c r="T101" i="1" s="1"/>
  <c r="U101" i="1" s="1"/>
  <c r="S102" i="1"/>
  <c r="T102" i="1" s="1"/>
  <c r="U102" i="1" s="1"/>
  <c r="S103" i="1"/>
  <c r="T103" i="1" s="1"/>
  <c r="U103" i="1" s="1"/>
  <c r="S104" i="1"/>
  <c r="T104" i="1" s="1"/>
  <c r="U104" i="1" s="1"/>
  <c r="S105" i="1"/>
  <c r="T105" i="1" s="1"/>
  <c r="U105" i="1" s="1"/>
  <c r="S106" i="1"/>
  <c r="T106" i="1" s="1"/>
  <c r="U106" i="1" s="1"/>
  <c r="S107" i="1"/>
  <c r="T107" i="1" s="1"/>
  <c r="U107" i="1" s="1"/>
  <c r="S108" i="1"/>
  <c r="T108" i="1" s="1"/>
  <c r="U108" i="1" s="1"/>
  <c r="S109" i="1"/>
  <c r="T109" i="1" s="1"/>
  <c r="U109" i="1" s="1"/>
  <c r="S110" i="1"/>
  <c r="T110" i="1" s="1"/>
  <c r="U110" i="1" s="1"/>
  <c r="S111" i="1"/>
  <c r="T111" i="1" s="1"/>
  <c r="U111" i="1" s="1"/>
  <c r="S112" i="1"/>
  <c r="T112" i="1" s="1"/>
  <c r="U112" i="1" s="1"/>
  <c r="S113" i="1"/>
  <c r="T113" i="1" s="1"/>
  <c r="U113" i="1" s="1"/>
  <c r="S114" i="1"/>
  <c r="T114" i="1" s="1"/>
  <c r="U114" i="1" s="1"/>
  <c r="S115" i="1"/>
  <c r="T115" i="1" s="1"/>
  <c r="U115" i="1" s="1"/>
  <c r="S116" i="1"/>
  <c r="T116" i="1" s="1"/>
  <c r="U116" i="1" s="1"/>
  <c r="S117" i="1"/>
  <c r="T117" i="1" s="1"/>
  <c r="U117" i="1" s="1"/>
  <c r="S118" i="1"/>
  <c r="T118" i="1" s="1"/>
  <c r="U118" i="1" s="1"/>
  <c r="S119" i="1"/>
  <c r="T119" i="1" s="1"/>
  <c r="U119" i="1" s="1"/>
  <c r="S120" i="1"/>
  <c r="T120" i="1" s="1"/>
  <c r="U120" i="1" s="1"/>
  <c r="S121" i="1"/>
  <c r="T121" i="1" s="1"/>
  <c r="U121" i="1" s="1"/>
  <c r="S122" i="1"/>
  <c r="T122" i="1" s="1"/>
  <c r="U122" i="1" s="1"/>
  <c r="S123" i="1"/>
  <c r="T123" i="1" s="1"/>
  <c r="U123" i="1" s="1"/>
  <c r="S124" i="1"/>
  <c r="T124" i="1" s="1"/>
  <c r="U124" i="1" s="1"/>
  <c r="S125" i="1"/>
  <c r="T125" i="1" s="1"/>
  <c r="U125" i="1" s="1"/>
  <c r="S126" i="1"/>
  <c r="T126" i="1" s="1"/>
  <c r="U126" i="1" s="1"/>
  <c r="S127" i="1"/>
  <c r="T127" i="1" s="1"/>
  <c r="U127" i="1" s="1"/>
  <c r="S128" i="1"/>
  <c r="T128" i="1" s="1"/>
  <c r="U128" i="1" s="1"/>
  <c r="S129" i="1"/>
  <c r="T129" i="1" s="1"/>
  <c r="U129" i="1" s="1"/>
  <c r="S130" i="1"/>
  <c r="T130" i="1" s="1"/>
  <c r="U130" i="1" s="1"/>
  <c r="S131" i="1"/>
  <c r="T131" i="1" s="1"/>
  <c r="U131" i="1" s="1"/>
  <c r="S132" i="1"/>
  <c r="T132" i="1" s="1"/>
  <c r="U132" i="1" s="1"/>
  <c r="S133" i="1"/>
  <c r="T133" i="1" s="1"/>
  <c r="U133" i="1" s="1"/>
  <c r="S134" i="1"/>
  <c r="T134" i="1" s="1"/>
  <c r="U134" i="1" s="1"/>
  <c r="S135" i="1"/>
  <c r="T135" i="1" s="1"/>
  <c r="U135" i="1" s="1"/>
  <c r="S136" i="1"/>
  <c r="T136" i="1" s="1"/>
  <c r="U136" i="1" s="1"/>
  <c r="S137" i="1"/>
  <c r="T137" i="1" s="1"/>
  <c r="U137" i="1" s="1"/>
  <c r="S138" i="1"/>
  <c r="T138" i="1" s="1"/>
  <c r="U138" i="1" s="1"/>
  <c r="S139" i="1"/>
  <c r="T139" i="1" s="1"/>
  <c r="U139" i="1" s="1"/>
  <c r="S140" i="1"/>
  <c r="T140" i="1" s="1"/>
  <c r="U140" i="1" s="1"/>
  <c r="S141" i="1"/>
  <c r="T141" i="1" s="1"/>
  <c r="U141" i="1" s="1"/>
  <c r="S142" i="1"/>
  <c r="T142" i="1" s="1"/>
  <c r="U142" i="1" s="1"/>
  <c r="S143" i="1"/>
  <c r="T143" i="1" s="1"/>
  <c r="U143" i="1" s="1"/>
  <c r="S144" i="1"/>
  <c r="T144" i="1" s="1"/>
  <c r="U144" i="1" s="1"/>
  <c r="S145" i="1"/>
  <c r="T145" i="1" s="1"/>
  <c r="U145" i="1" s="1"/>
  <c r="S146" i="1"/>
  <c r="T146" i="1" s="1"/>
  <c r="U146" i="1" s="1"/>
  <c r="S147" i="1"/>
  <c r="T147" i="1" s="1"/>
  <c r="U147" i="1" s="1"/>
  <c r="S148" i="1"/>
  <c r="T148" i="1" s="1"/>
  <c r="U148" i="1" s="1"/>
  <c r="S149" i="1"/>
  <c r="T149" i="1" s="1"/>
  <c r="U149" i="1" s="1"/>
  <c r="S150" i="1"/>
  <c r="T150" i="1" s="1"/>
  <c r="U150" i="1" s="1"/>
  <c r="S151" i="1"/>
  <c r="T151" i="1" s="1"/>
  <c r="U151" i="1" s="1"/>
  <c r="S152" i="1"/>
  <c r="T152" i="1" s="1"/>
  <c r="U152" i="1" s="1"/>
  <c r="S153" i="1"/>
  <c r="T153" i="1" s="1"/>
  <c r="U153" i="1" s="1"/>
  <c r="S154" i="1"/>
  <c r="T154" i="1" s="1"/>
  <c r="U154" i="1" s="1"/>
  <c r="S155" i="1"/>
  <c r="T155" i="1" s="1"/>
  <c r="U155" i="1" s="1"/>
  <c r="S156" i="1"/>
  <c r="T156" i="1" s="1"/>
  <c r="U156" i="1" s="1"/>
  <c r="S157" i="1"/>
  <c r="T157" i="1" s="1"/>
  <c r="U157" i="1" s="1"/>
  <c r="S158" i="1"/>
  <c r="T158" i="1" s="1"/>
  <c r="U158" i="1" s="1"/>
  <c r="S159" i="1"/>
  <c r="T159" i="1" s="1"/>
  <c r="U159" i="1" s="1"/>
  <c r="S160" i="1"/>
  <c r="T160" i="1" s="1"/>
  <c r="U160" i="1" s="1"/>
  <c r="S161" i="1"/>
  <c r="T161" i="1" s="1"/>
  <c r="U161" i="1" s="1"/>
  <c r="S162" i="1"/>
  <c r="T162" i="1" s="1"/>
  <c r="U162" i="1" s="1"/>
  <c r="S163" i="1"/>
  <c r="T163" i="1" s="1"/>
  <c r="U163" i="1" s="1"/>
  <c r="S164" i="1"/>
  <c r="T164" i="1" s="1"/>
  <c r="U164" i="1" s="1"/>
  <c r="S165" i="1"/>
  <c r="T165" i="1" s="1"/>
  <c r="U165" i="1" s="1"/>
  <c r="S166" i="1"/>
  <c r="T166" i="1" s="1"/>
  <c r="U166" i="1" s="1"/>
  <c r="S167" i="1"/>
  <c r="T167" i="1" s="1"/>
  <c r="U167" i="1" s="1"/>
  <c r="S168" i="1"/>
  <c r="T168" i="1" s="1"/>
  <c r="U168" i="1" s="1"/>
  <c r="S169" i="1"/>
  <c r="T169" i="1" s="1"/>
  <c r="U169" i="1" s="1"/>
  <c r="S170" i="1"/>
  <c r="T170" i="1" s="1"/>
  <c r="U170" i="1" s="1"/>
  <c r="S171" i="1"/>
  <c r="T171" i="1" s="1"/>
  <c r="U171" i="1" s="1"/>
  <c r="S172" i="1"/>
  <c r="T172" i="1" s="1"/>
  <c r="U172" i="1" s="1"/>
  <c r="S173" i="1"/>
  <c r="T173" i="1" s="1"/>
  <c r="U173" i="1" s="1"/>
  <c r="S174" i="1"/>
  <c r="T174" i="1" s="1"/>
  <c r="U174" i="1" s="1"/>
  <c r="S175" i="1"/>
  <c r="T175" i="1" s="1"/>
  <c r="U175" i="1" s="1"/>
  <c r="S176" i="1"/>
  <c r="T176" i="1" s="1"/>
  <c r="U176" i="1" s="1"/>
  <c r="S177" i="1"/>
  <c r="T177" i="1" s="1"/>
  <c r="U177" i="1" s="1"/>
  <c r="S178" i="1"/>
  <c r="T178" i="1" s="1"/>
  <c r="U178" i="1" s="1"/>
  <c r="S179" i="1"/>
  <c r="T179" i="1" s="1"/>
  <c r="U179" i="1" s="1"/>
  <c r="S180" i="1"/>
  <c r="T180" i="1" s="1"/>
  <c r="U180" i="1" s="1"/>
  <c r="S181" i="1"/>
  <c r="T181" i="1" s="1"/>
  <c r="U181" i="1" s="1"/>
  <c r="S182" i="1"/>
  <c r="T182" i="1" s="1"/>
  <c r="U182" i="1" s="1"/>
  <c r="S183" i="1"/>
  <c r="T183" i="1" s="1"/>
  <c r="U183" i="1" s="1"/>
  <c r="S184" i="1"/>
  <c r="T184" i="1" s="1"/>
  <c r="U184" i="1" s="1"/>
  <c r="S185" i="1"/>
  <c r="T185" i="1" s="1"/>
  <c r="U185" i="1" s="1"/>
  <c r="S186" i="1"/>
  <c r="T186" i="1" s="1"/>
  <c r="U186" i="1" s="1"/>
  <c r="S187" i="1"/>
  <c r="T187" i="1" s="1"/>
  <c r="U187" i="1" s="1"/>
  <c r="S188" i="1"/>
  <c r="T188" i="1" s="1"/>
  <c r="U188" i="1" s="1"/>
  <c r="S189" i="1"/>
  <c r="T189" i="1" s="1"/>
  <c r="U189" i="1" s="1"/>
  <c r="S190" i="1"/>
  <c r="T190" i="1" s="1"/>
  <c r="U190" i="1" s="1"/>
  <c r="S191" i="1"/>
  <c r="T191" i="1" s="1"/>
  <c r="U191" i="1" s="1"/>
  <c r="S192" i="1"/>
  <c r="T192" i="1" s="1"/>
  <c r="U192" i="1" s="1"/>
  <c r="S193" i="1"/>
  <c r="T193" i="1" s="1"/>
  <c r="U193" i="1" s="1"/>
  <c r="S194" i="1"/>
  <c r="T194" i="1" s="1"/>
  <c r="U194" i="1" s="1"/>
  <c r="S195" i="1"/>
  <c r="T195" i="1" s="1"/>
  <c r="U195" i="1" s="1"/>
  <c r="S196" i="1"/>
  <c r="T196" i="1" s="1"/>
  <c r="U196" i="1" s="1"/>
  <c r="S197" i="1"/>
  <c r="T197" i="1" s="1"/>
  <c r="U197" i="1" s="1"/>
  <c r="S198" i="1"/>
  <c r="T198" i="1" s="1"/>
  <c r="U198" i="1" s="1"/>
  <c r="S199" i="1"/>
  <c r="T199" i="1" s="1"/>
  <c r="U199" i="1" s="1"/>
  <c r="S200" i="1"/>
  <c r="T200" i="1" s="1"/>
  <c r="U200" i="1" s="1"/>
  <c r="S201" i="1"/>
  <c r="T201" i="1" s="1"/>
  <c r="U201" i="1" s="1"/>
  <c r="S202" i="1"/>
  <c r="T202" i="1" s="1"/>
  <c r="U202" i="1" s="1"/>
  <c r="S203" i="1"/>
  <c r="T203" i="1" s="1"/>
  <c r="U203" i="1" s="1"/>
  <c r="S204" i="1"/>
  <c r="T204" i="1" s="1"/>
  <c r="U204" i="1" s="1"/>
  <c r="S205" i="1"/>
  <c r="T205" i="1" s="1"/>
  <c r="U205" i="1" s="1"/>
  <c r="S206" i="1"/>
  <c r="T206" i="1" s="1"/>
  <c r="U206" i="1" s="1"/>
  <c r="S207" i="1"/>
  <c r="T207" i="1" s="1"/>
  <c r="U207" i="1" s="1"/>
  <c r="S208" i="1"/>
  <c r="T208" i="1" s="1"/>
  <c r="U208" i="1" s="1"/>
  <c r="S209" i="1"/>
  <c r="T209" i="1" s="1"/>
  <c r="U209" i="1" s="1"/>
  <c r="S210" i="1"/>
  <c r="T210" i="1" s="1"/>
  <c r="U210" i="1" s="1"/>
  <c r="S211" i="1"/>
  <c r="T211" i="1" s="1"/>
  <c r="U211" i="1" s="1"/>
  <c r="S212" i="1"/>
  <c r="T212" i="1" s="1"/>
  <c r="U212" i="1" s="1"/>
  <c r="S213" i="1"/>
  <c r="T213" i="1" s="1"/>
  <c r="U213" i="1" s="1"/>
  <c r="S214" i="1"/>
  <c r="T214" i="1" s="1"/>
  <c r="U214" i="1" s="1"/>
  <c r="S215" i="1"/>
  <c r="T215" i="1" s="1"/>
  <c r="U215" i="1" s="1"/>
  <c r="S216" i="1"/>
  <c r="T216" i="1" s="1"/>
  <c r="U216" i="1" s="1"/>
  <c r="S217" i="1"/>
  <c r="T217" i="1" s="1"/>
  <c r="U217" i="1" s="1"/>
  <c r="S218" i="1"/>
  <c r="T218" i="1" s="1"/>
  <c r="U218" i="1" s="1"/>
  <c r="S219" i="1"/>
  <c r="T219" i="1" s="1"/>
  <c r="U219" i="1" s="1"/>
  <c r="S220" i="1"/>
  <c r="T220" i="1" s="1"/>
  <c r="U220" i="1" s="1"/>
  <c r="S221" i="1"/>
  <c r="T221" i="1" s="1"/>
  <c r="U221" i="1" s="1"/>
  <c r="S222" i="1"/>
  <c r="T222" i="1" s="1"/>
  <c r="U222" i="1" s="1"/>
  <c r="S223" i="1"/>
  <c r="T223" i="1" s="1"/>
  <c r="U223" i="1" s="1"/>
  <c r="S224" i="1"/>
  <c r="T224" i="1" s="1"/>
  <c r="U224" i="1" s="1"/>
  <c r="S225" i="1"/>
  <c r="T225" i="1" s="1"/>
  <c r="U225" i="1" s="1"/>
  <c r="S226" i="1"/>
  <c r="T226" i="1" s="1"/>
  <c r="U226" i="1" s="1"/>
  <c r="S227" i="1"/>
  <c r="T227" i="1" s="1"/>
  <c r="U227" i="1" s="1"/>
  <c r="S228" i="1"/>
  <c r="T228" i="1" s="1"/>
  <c r="U228" i="1" s="1"/>
  <c r="S229" i="1"/>
  <c r="T229" i="1" s="1"/>
  <c r="U229" i="1" s="1"/>
  <c r="S230" i="1"/>
  <c r="T230" i="1" s="1"/>
  <c r="U230" i="1" s="1"/>
  <c r="S231" i="1"/>
  <c r="T231" i="1" s="1"/>
  <c r="U231" i="1" s="1"/>
  <c r="S232" i="1"/>
  <c r="T232" i="1" s="1"/>
  <c r="U232" i="1" s="1"/>
  <c r="S233" i="1"/>
  <c r="T233" i="1" s="1"/>
  <c r="U233" i="1" s="1"/>
  <c r="S234" i="1"/>
  <c r="T234" i="1" s="1"/>
  <c r="U234" i="1" s="1"/>
  <c r="S235" i="1"/>
  <c r="T235" i="1" s="1"/>
  <c r="U235" i="1" s="1"/>
  <c r="S236" i="1"/>
  <c r="T236" i="1" s="1"/>
  <c r="U236" i="1" s="1"/>
  <c r="S237" i="1"/>
  <c r="T237" i="1" s="1"/>
  <c r="U237" i="1" s="1"/>
  <c r="S238" i="1"/>
  <c r="T238" i="1" s="1"/>
  <c r="U238" i="1" s="1"/>
  <c r="S239" i="1"/>
  <c r="T239" i="1" s="1"/>
  <c r="U239" i="1" s="1"/>
  <c r="S240" i="1"/>
  <c r="T240" i="1" s="1"/>
  <c r="U240" i="1" s="1"/>
  <c r="S241" i="1"/>
  <c r="T241" i="1" s="1"/>
  <c r="U241" i="1" s="1"/>
  <c r="S242" i="1"/>
  <c r="T242" i="1" s="1"/>
  <c r="U242" i="1" s="1"/>
  <c r="S243" i="1"/>
  <c r="T243" i="1" s="1"/>
  <c r="U243" i="1" s="1"/>
  <c r="S244" i="1"/>
  <c r="T244" i="1" s="1"/>
  <c r="U244" i="1" s="1"/>
  <c r="S245" i="1"/>
  <c r="T245" i="1" s="1"/>
  <c r="U245" i="1" s="1"/>
  <c r="S246" i="1"/>
  <c r="T246" i="1" s="1"/>
  <c r="U246" i="1" s="1"/>
  <c r="S247" i="1"/>
  <c r="T247" i="1" s="1"/>
  <c r="U247" i="1" s="1"/>
  <c r="S248" i="1"/>
  <c r="T248" i="1" s="1"/>
  <c r="U248" i="1" s="1"/>
  <c r="S249" i="1"/>
  <c r="T249" i="1" s="1"/>
  <c r="U249" i="1" s="1"/>
  <c r="S250" i="1"/>
  <c r="T250" i="1" s="1"/>
  <c r="U250" i="1" s="1"/>
  <c r="S251" i="1"/>
  <c r="T251" i="1" s="1"/>
  <c r="U251" i="1" s="1"/>
  <c r="S252" i="1"/>
  <c r="T252" i="1" s="1"/>
  <c r="U252" i="1" s="1"/>
  <c r="S253" i="1"/>
  <c r="T253" i="1" s="1"/>
  <c r="U253" i="1" s="1"/>
  <c r="S254" i="1"/>
  <c r="T254" i="1" s="1"/>
  <c r="U254" i="1" s="1"/>
  <c r="S255" i="1"/>
  <c r="T255" i="1" s="1"/>
  <c r="U255" i="1" s="1"/>
  <c r="S256" i="1"/>
  <c r="T256" i="1" s="1"/>
  <c r="U256" i="1" s="1"/>
  <c r="S257" i="1"/>
  <c r="T257" i="1" s="1"/>
  <c r="U257" i="1" s="1"/>
  <c r="S258" i="1"/>
  <c r="T258" i="1" s="1"/>
  <c r="U258" i="1" s="1"/>
  <c r="S259" i="1"/>
  <c r="T259" i="1" s="1"/>
  <c r="U259" i="1" s="1"/>
  <c r="S260" i="1"/>
  <c r="T260" i="1" s="1"/>
  <c r="U260" i="1" s="1"/>
  <c r="S261" i="1"/>
  <c r="T261" i="1" s="1"/>
  <c r="U261" i="1" s="1"/>
  <c r="S262" i="1"/>
  <c r="T262" i="1" s="1"/>
  <c r="U262" i="1" s="1"/>
  <c r="S263" i="1"/>
  <c r="T263" i="1" s="1"/>
  <c r="U263" i="1" s="1"/>
  <c r="S264" i="1"/>
  <c r="T264" i="1" s="1"/>
  <c r="U264" i="1" s="1"/>
  <c r="S265" i="1"/>
  <c r="T265" i="1" s="1"/>
  <c r="U265" i="1" s="1"/>
  <c r="S266" i="1"/>
  <c r="T266" i="1" s="1"/>
  <c r="U266" i="1" s="1"/>
  <c r="S267" i="1"/>
  <c r="T267" i="1" s="1"/>
  <c r="U267" i="1" s="1"/>
  <c r="S268" i="1"/>
  <c r="T268" i="1" s="1"/>
  <c r="U268" i="1" s="1"/>
  <c r="S269" i="1"/>
  <c r="T269" i="1" s="1"/>
  <c r="U269" i="1" s="1"/>
  <c r="S270" i="1"/>
  <c r="T270" i="1" s="1"/>
  <c r="U270" i="1" s="1"/>
  <c r="S271" i="1"/>
  <c r="T271" i="1" s="1"/>
  <c r="U271" i="1" s="1"/>
  <c r="S272" i="1"/>
  <c r="T272" i="1" s="1"/>
  <c r="U272" i="1" s="1"/>
  <c r="S273" i="1"/>
  <c r="T273" i="1" s="1"/>
  <c r="U273" i="1" s="1"/>
  <c r="S274" i="1"/>
  <c r="T274" i="1" s="1"/>
  <c r="U274" i="1" s="1"/>
  <c r="S275" i="1"/>
  <c r="T275" i="1" s="1"/>
  <c r="U275" i="1" s="1"/>
  <c r="S276" i="1"/>
  <c r="T276" i="1" s="1"/>
  <c r="U276" i="1" s="1"/>
  <c r="S277" i="1"/>
  <c r="T277" i="1" s="1"/>
  <c r="U277" i="1" s="1"/>
  <c r="S278" i="1"/>
  <c r="T278" i="1" s="1"/>
  <c r="U278" i="1" s="1"/>
  <c r="S279" i="1"/>
  <c r="T279" i="1" s="1"/>
  <c r="U279" i="1" s="1"/>
  <c r="S280" i="1"/>
  <c r="T280" i="1" s="1"/>
  <c r="U280" i="1" s="1"/>
  <c r="S281" i="1"/>
  <c r="T281" i="1" s="1"/>
  <c r="U281" i="1" s="1"/>
  <c r="S282" i="1"/>
  <c r="T282" i="1" s="1"/>
  <c r="U282" i="1" s="1"/>
  <c r="S283" i="1"/>
  <c r="T283" i="1" s="1"/>
  <c r="U283" i="1" s="1"/>
  <c r="S284" i="1"/>
  <c r="T284" i="1" s="1"/>
  <c r="U284" i="1" s="1"/>
  <c r="S285" i="1"/>
  <c r="T285" i="1" s="1"/>
  <c r="U285" i="1" s="1"/>
  <c r="S286" i="1"/>
  <c r="T286" i="1" s="1"/>
  <c r="U286" i="1" s="1"/>
  <c r="S287" i="1"/>
  <c r="T287" i="1" s="1"/>
  <c r="U287" i="1" s="1"/>
  <c r="S288" i="1"/>
  <c r="T288" i="1" s="1"/>
  <c r="U288" i="1" s="1"/>
  <c r="S289" i="1"/>
  <c r="T289" i="1" s="1"/>
  <c r="U289" i="1" s="1"/>
  <c r="S290" i="1"/>
  <c r="T290" i="1" s="1"/>
  <c r="U290" i="1" s="1"/>
  <c r="S291" i="1"/>
  <c r="T291" i="1" s="1"/>
  <c r="U291" i="1" s="1"/>
  <c r="S292" i="1"/>
  <c r="T292" i="1" s="1"/>
  <c r="U292" i="1" s="1"/>
  <c r="S293" i="1"/>
  <c r="T293" i="1" s="1"/>
  <c r="U293" i="1" s="1"/>
  <c r="S294" i="1"/>
  <c r="T294" i="1" s="1"/>
  <c r="U294" i="1" s="1"/>
  <c r="S295" i="1"/>
  <c r="T295" i="1" s="1"/>
  <c r="U295" i="1" s="1"/>
  <c r="S296" i="1"/>
  <c r="T296" i="1" s="1"/>
  <c r="U296" i="1" s="1"/>
  <c r="S297" i="1"/>
  <c r="T297" i="1" s="1"/>
  <c r="U297" i="1" s="1"/>
  <c r="S298" i="1"/>
  <c r="T298" i="1" s="1"/>
  <c r="U298" i="1" s="1"/>
  <c r="S299" i="1"/>
  <c r="T299" i="1" s="1"/>
  <c r="U299" i="1" s="1"/>
  <c r="S300" i="1"/>
  <c r="T300" i="1" s="1"/>
  <c r="U300" i="1" s="1"/>
  <c r="S301" i="1"/>
  <c r="T301" i="1" s="1"/>
  <c r="U301" i="1" s="1"/>
  <c r="S302" i="1"/>
  <c r="T302" i="1" s="1"/>
  <c r="U302" i="1" s="1"/>
  <c r="S303" i="1"/>
  <c r="T303" i="1" s="1"/>
  <c r="U303" i="1" s="1"/>
  <c r="S304" i="1"/>
  <c r="T304" i="1" s="1"/>
  <c r="U304" i="1" s="1"/>
  <c r="S305" i="1"/>
  <c r="T305" i="1" s="1"/>
  <c r="U305" i="1" s="1"/>
  <c r="S306" i="1"/>
  <c r="T306" i="1" s="1"/>
  <c r="U306" i="1" s="1"/>
  <c r="S307" i="1"/>
  <c r="T307" i="1" s="1"/>
  <c r="U307" i="1" s="1"/>
  <c r="S308" i="1"/>
  <c r="T308" i="1" s="1"/>
  <c r="U308" i="1" s="1"/>
  <c r="S309" i="1"/>
  <c r="T309" i="1" s="1"/>
  <c r="U309" i="1" s="1"/>
  <c r="S310" i="1"/>
  <c r="T310" i="1" s="1"/>
  <c r="U310" i="1" s="1"/>
  <c r="S311" i="1"/>
  <c r="T311" i="1" s="1"/>
  <c r="U311" i="1" s="1"/>
  <c r="S312" i="1"/>
  <c r="T312" i="1" s="1"/>
  <c r="U312" i="1" s="1"/>
  <c r="S313" i="1"/>
  <c r="T313" i="1" s="1"/>
  <c r="U313" i="1" s="1"/>
  <c r="S314" i="1"/>
  <c r="T314" i="1" s="1"/>
  <c r="U314" i="1" s="1"/>
  <c r="S315" i="1"/>
  <c r="T315" i="1" s="1"/>
  <c r="U315" i="1" s="1"/>
  <c r="S316" i="1"/>
  <c r="T316" i="1" s="1"/>
  <c r="U316" i="1" s="1"/>
  <c r="S317" i="1"/>
  <c r="T317" i="1" s="1"/>
  <c r="U317" i="1" s="1"/>
  <c r="S318" i="1"/>
  <c r="T318" i="1" s="1"/>
  <c r="U318" i="1" s="1"/>
  <c r="S319" i="1"/>
  <c r="T319" i="1" s="1"/>
  <c r="U319" i="1" s="1"/>
  <c r="S320" i="1"/>
  <c r="T320" i="1" s="1"/>
  <c r="U320" i="1" s="1"/>
  <c r="S321" i="1"/>
  <c r="T321" i="1" s="1"/>
  <c r="U321" i="1" s="1"/>
  <c r="S322" i="1"/>
  <c r="T322" i="1" s="1"/>
  <c r="U322" i="1" s="1"/>
  <c r="S323" i="1"/>
  <c r="T323" i="1" s="1"/>
  <c r="U323" i="1" s="1"/>
  <c r="S324" i="1"/>
  <c r="T324" i="1" s="1"/>
  <c r="U324" i="1" s="1"/>
  <c r="S325" i="1"/>
  <c r="T325" i="1" s="1"/>
  <c r="U325" i="1" s="1"/>
  <c r="S326" i="1"/>
  <c r="T326" i="1" s="1"/>
  <c r="U326" i="1" s="1"/>
  <c r="S327" i="1"/>
  <c r="T327" i="1" s="1"/>
  <c r="U327" i="1" s="1"/>
  <c r="S328" i="1"/>
  <c r="T328" i="1" s="1"/>
  <c r="U328" i="1" s="1"/>
  <c r="S329" i="1"/>
  <c r="T329" i="1" s="1"/>
  <c r="U329" i="1" s="1"/>
  <c r="S330" i="1"/>
  <c r="T330" i="1" s="1"/>
  <c r="U330" i="1" s="1"/>
  <c r="S331" i="1"/>
  <c r="T331" i="1" s="1"/>
  <c r="U331" i="1" s="1"/>
  <c r="S332" i="1"/>
  <c r="T332" i="1" s="1"/>
  <c r="U332" i="1" s="1"/>
  <c r="S333" i="1"/>
  <c r="T333" i="1" s="1"/>
  <c r="U333" i="1" s="1"/>
  <c r="S334" i="1"/>
  <c r="T334" i="1" s="1"/>
  <c r="U334" i="1" s="1"/>
  <c r="S335" i="1"/>
  <c r="T335" i="1" s="1"/>
  <c r="U335" i="1" s="1"/>
  <c r="S336" i="1"/>
  <c r="T336" i="1" s="1"/>
  <c r="U336" i="1" s="1"/>
  <c r="S337" i="1"/>
  <c r="T337" i="1" s="1"/>
  <c r="U337" i="1" s="1"/>
  <c r="S338" i="1"/>
  <c r="T338" i="1" s="1"/>
  <c r="U338" i="1" s="1"/>
  <c r="S339" i="1"/>
  <c r="T339" i="1" s="1"/>
  <c r="U339" i="1" s="1"/>
  <c r="S340" i="1"/>
  <c r="T340" i="1" s="1"/>
  <c r="U340" i="1" s="1"/>
  <c r="S341" i="1"/>
  <c r="T341" i="1" s="1"/>
  <c r="U341" i="1" s="1"/>
  <c r="S342" i="1"/>
  <c r="T342" i="1" s="1"/>
  <c r="U342" i="1" s="1"/>
  <c r="S343" i="1"/>
  <c r="T343" i="1" s="1"/>
  <c r="U343" i="1" s="1"/>
  <c r="S344" i="1"/>
  <c r="T344" i="1" s="1"/>
  <c r="U344" i="1" s="1"/>
  <c r="S345" i="1"/>
  <c r="T345" i="1" s="1"/>
  <c r="U345" i="1" s="1"/>
  <c r="S346" i="1"/>
  <c r="T346" i="1" s="1"/>
  <c r="U346" i="1" s="1"/>
  <c r="S347" i="1"/>
  <c r="T347" i="1" s="1"/>
  <c r="U347" i="1" s="1"/>
  <c r="S348" i="1"/>
  <c r="T348" i="1" s="1"/>
  <c r="U348" i="1" s="1"/>
  <c r="S349" i="1"/>
  <c r="T349" i="1" s="1"/>
  <c r="U349" i="1" s="1"/>
  <c r="S350" i="1"/>
  <c r="T350" i="1" s="1"/>
  <c r="U350" i="1" s="1"/>
  <c r="S351" i="1"/>
  <c r="T351" i="1" s="1"/>
  <c r="U351" i="1" s="1"/>
  <c r="S352" i="1"/>
  <c r="T352" i="1" s="1"/>
  <c r="U352" i="1" s="1"/>
  <c r="S353" i="1"/>
  <c r="T353" i="1" s="1"/>
  <c r="U353" i="1" s="1"/>
  <c r="S354" i="1"/>
  <c r="T354" i="1" s="1"/>
  <c r="U354" i="1" s="1"/>
  <c r="S355" i="1"/>
  <c r="T355" i="1" s="1"/>
  <c r="U355" i="1" s="1"/>
  <c r="S356" i="1"/>
  <c r="T356" i="1" s="1"/>
  <c r="U356" i="1" s="1"/>
  <c r="S357" i="1"/>
  <c r="T357" i="1" s="1"/>
  <c r="U357" i="1" s="1"/>
  <c r="S358" i="1"/>
  <c r="T358" i="1" s="1"/>
  <c r="U358" i="1" s="1"/>
  <c r="S359" i="1"/>
  <c r="T359" i="1" s="1"/>
  <c r="U359" i="1" s="1"/>
  <c r="S360" i="1"/>
  <c r="T360" i="1" s="1"/>
  <c r="U360" i="1" s="1"/>
  <c r="S361" i="1"/>
  <c r="T361" i="1" s="1"/>
  <c r="U361" i="1" s="1"/>
  <c r="S362" i="1"/>
  <c r="T362" i="1" s="1"/>
  <c r="U362" i="1" s="1"/>
  <c r="S363" i="1"/>
  <c r="T363" i="1" s="1"/>
  <c r="U363" i="1" s="1"/>
  <c r="S364" i="1"/>
  <c r="T364" i="1" s="1"/>
  <c r="U364" i="1" s="1"/>
  <c r="S365" i="1"/>
  <c r="T365" i="1" s="1"/>
  <c r="U365" i="1" s="1"/>
  <c r="S366" i="1"/>
  <c r="T366" i="1" s="1"/>
  <c r="U366" i="1" s="1"/>
  <c r="S367" i="1"/>
  <c r="T367" i="1" s="1"/>
  <c r="U367" i="1" s="1"/>
  <c r="S368" i="1"/>
  <c r="T368" i="1" s="1"/>
  <c r="U368" i="1" s="1"/>
  <c r="S369" i="1"/>
  <c r="T369" i="1" s="1"/>
  <c r="U369" i="1" s="1"/>
  <c r="S370" i="1"/>
  <c r="T370" i="1" s="1"/>
  <c r="U370" i="1" s="1"/>
  <c r="S371" i="1"/>
  <c r="T371" i="1" s="1"/>
  <c r="U371" i="1" s="1"/>
  <c r="S372" i="1"/>
  <c r="T372" i="1" s="1"/>
  <c r="U372" i="1" s="1"/>
  <c r="S373" i="1"/>
  <c r="T373" i="1" s="1"/>
  <c r="U373" i="1" s="1"/>
  <c r="S374" i="1"/>
  <c r="T374" i="1" s="1"/>
  <c r="U374" i="1" s="1"/>
  <c r="S375" i="1"/>
  <c r="T375" i="1" s="1"/>
  <c r="U375" i="1" s="1"/>
  <c r="S376" i="1"/>
  <c r="T376" i="1" s="1"/>
  <c r="U376" i="1" s="1"/>
  <c r="S377" i="1"/>
  <c r="T377" i="1" s="1"/>
  <c r="U377" i="1" s="1"/>
  <c r="S378" i="1"/>
  <c r="T378" i="1" s="1"/>
  <c r="U378" i="1" s="1"/>
  <c r="S379" i="1"/>
  <c r="T379" i="1" s="1"/>
  <c r="U379" i="1" s="1"/>
  <c r="S380" i="1"/>
  <c r="T380" i="1" s="1"/>
  <c r="U380" i="1" s="1"/>
  <c r="S381" i="1"/>
  <c r="T381" i="1" s="1"/>
  <c r="U381" i="1" s="1"/>
  <c r="S382" i="1"/>
  <c r="T382" i="1" s="1"/>
  <c r="U382" i="1" s="1"/>
  <c r="S383" i="1"/>
  <c r="T383" i="1" s="1"/>
  <c r="U383" i="1" s="1"/>
  <c r="S384" i="1"/>
  <c r="T384" i="1" s="1"/>
  <c r="U384" i="1" s="1"/>
  <c r="S385" i="1"/>
  <c r="T385" i="1" s="1"/>
  <c r="U385" i="1" s="1"/>
  <c r="S386" i="1"/>
  <c r="T386" i="1" s="1"/>
  <c r="U386" i="1" s="1"/>
  <c r="S387" i="1"/>
  <c r="T387" i="1" s="1"/>
  <c r="U387" i="1" s="1"/>
  <c r="S388" i="1"/>
  <c r="T388" i="1" s="1"/>
  <c r="U388" i="1" s="1"/>
  <c r="S389" i="1"/>
  <c r="T389" i="1" s="1"/>
  <c r="U389" i="1" s="1"/>
  <c r="S390" i="1"/>
  <c r="T390" i="1" s="1"/>
  <c r="U390" i="1" s="1"/>
  <c r="S391" i="1"/>
  <c r="T391" i="1" s="1"/>
  <c r="U391" i="1" s="1"/>
  <c r="S392" i="1"/>
  <c r="T392" i="1" s="1"/>
  <c r="U392" i="1" s="1"/>
  <c r="S393" i="1"/>
  <c r="T393" i="1" s="1"/>
  <c r="U393" i="1" s="1"/>
  <c r="S394" i="1"/>
  <c r="T394" i="1" s="1"/>
  <c r="U394" i="1" s="1"/>
  <c r="S395" i="1"/>
  <c r="T395" i="1" s="1"/>
  <c r="U395" i="1" s="1"/>
  <c r="S396" i="1"/>
  <c r="T396" i="1" s="1"/>
  <c r="U396" i="1" s="1"/>
  <c r="S397" i="1"/>
  <c r="T397" i="1" s="1"/>
  <c r="U397" i="1" s="1"/>
  <c r="S398" i="1"/>
  <c r="T398" i="1" s="1"/>
  <c r="U398" i="1" s="1"/>
  <c r="S399" i="1"/>
  <c r="T399" i="1" s="1"/>
  <c r="U399" i="1" s="1"/>
  <c r="S400" i="1"/>
  <c r="T400" i="1" s="1"/>
  <c r="U400" i="1" s="1"/>
  <c r="S401" i="1"/>
  <c r="T401" i="1" s="1"/>
  <c r="U401" i="1" s="1"/>
  <c r="S402" i="1"/>
  <c r="T402" i="1" s="1"/>
  <c r="U402" i="1" s="1"/>
  <c r="S403" i="1"/>
  <c r="T403" i="1" s="1"/>
  <c r="U403" i="1" s="1"/>
  <c r="S404" i="1"/>
  <c r="T404" i="1" s="1"/>
  <c r="U404" i="1" s="1"/>
  <c r="S405" i="1"/>
  <c r="T405" i="1" s="1"/>
  <c r="U405" i="1" s="1"/>
  <c r="S406" i="1"/>
  <c r="T406" i="1" s="1"/>
  <c r="U406" i="1" s="1"/>
  <c r="S407" i="1"/>
  <c r="T407" i="1" s="1"/>
  <c r="U407" i="1" s="1"/>
  <c r="S408" i="1"/>
  <c r="T408" i="1" s="1"/>
  <c r="U408" i="1" s="1"/>
  <c r="S409" i="1"/>
  <c r="T409" i="1" s="1"/>
  <c r="U409" i="1" s="1"/>
  <c r="S410" i="1"/>
  <c r="T410" i="1" s="1"/>
  <c r="U410" i="1" s="1"/>
  <c r="S411" i="1"/>
  <c r="T411" i="1" s="1"/>
  <c r="U411" i="1" s="1"/>
  <c r="S412" i="1"/>
  <c r="T412" i="1" s="1"/>
  <c r="U412" i="1" s="1"/>
  <c r="S413" i="1"/>
  <c r="T413" i="1" s="1"/>
  <c r="U413" i="1" s="1"/>
  <c r="S414" i="1"/>
  <c r="T414" i="1" s="1"/>
  <c r="U414" i="1" s="1"/>
  <c r="S415" i="1"/>
  <c r="T415" i="1" s="1"/>
  <c r="U415" i="1" s="1"/>
  <c r="S416" i="1"/>
  <c r="T416" i="1" s="1"/>
  <c r="U416" i="1" s="1"/>
  <c r="S417" i="1"/>
  <c r="T417" i="1" s="1"/>
  <c r="U417" i="1" s="1"/>
  <c r="S418" i="1"/>
  <c r="T418" i="1" s="1"/>
  <c r="U418" i="1" s="1"/>
  <c r="S419" i="1"/>
  <c r="T419" i="1" s="1"/>
  <c r="U419" i="1" s="1"/>
  <c r="S420" i="1"/>
  <c r="T420" i="1" s="1"/>
  <c r="U420" i="1" s="1"/>
  <c r="S421" i="1"/>
  <c r="T421" i="1" s="1"/>
  <c r="U421" i="1" s="1"/>
  <c r="S422" i="1"/>
  <c r="T422" i="1" s="1"/>
  <c r="U422" i="1" s="1"/>
  <c r="S423" i="1"/>
  <c r="T423" i="1" s="1"/>
  <c r="U423" i="1" s="1"/>
  <c r="S424" i="1"/>
  <c r="T424" i="1" s="1"/>
  <c r="U424" i="1" s="1"/>
  <c r="S425" i="1"/>
  <c r="T425" i="1" s="1"/>
  <c r="U425" i="1" s="1"/>
  <c r="S426" i="1"/>
  <c r="T426" i="1" s="1"/>
  <c r="U426" i="1" s="1"/>
  <c r="S427" i="1"/>
  <c r="T427" i="1" s="1"/>
  <c r="U427" i="1" s="1"/>
  <c r="S428" i="1"/>
  <c r="T428" i="1" s="1"/>
  <c r="U428" i="1" s="1"/>
  <c r="S429" i="1"/>
  <c r="T429" i="1" s="1"/>
  <c r="U429" i="1" s="1"/>
  <c r="S430" i="1"/>
  <c r="T430" i="1" s="1"/>
  <c r="U430" i="1" s="1"/>
  <c r="S431" i="1"/>
  <c r="T431" i="1" s="1"/>
  <c r="U431" i="1" s="1"/>
  <c r="S432" i="1"/>
  <c r="T432" i="1" s="1"/>
  <c r="U432" i="1" s="1"/>
  <c r="S433" i="1"/>
  <c r="T433" i="1" s="1"/>
  <c r="U433" i="1" s="1"/>
  <c r="S434" i="1"/>
  <c r="T434" i="1" s="1"/>
  <c r="U434" i="1" s="1"/>
  <c r="S435" i="1"/>
  <c r="T435" i="1" s="1"/>
  <c r="U435" i="1" s="1"/>
  <c r="S436" i="1"/>
  <c r="T436" i="1" s="1"/>
  <c r="U436" i="1" s="1"/>
  <c r="S437" i="1"/>
  <c r="T437" i="1" s="1"/>
  <c r="U437" i="1" s="1"/>
  <c r="S438" i="1"/>
  <c r="T438" i="1" s="1"/>
  <c r="U438" i="1" s="1"/>
  <c r="S439" i="1"/>
  <c r="T439" i="1" s="1"/>
  <c r="U439" i="1" s="1"/>
  <c r="S440" i="1"/>
  <c r="T440" i="1" s="1"/>
  <c r="U440" i="1" s="1"/>
  <c r="S441" i="1"/>
  <c r="T441" i="1" s="1"/>
  <c r="U441" i="1" s="1"/>
  <c r="S442" i="1"/>
  <c r="T442" i="1" s="1"/>
  <c r="U442" i="1" s="1"/>
  <c r="S443" i="1"/>
  <c r="T443" i="1" s="1"/>
  <c r="U443" i="1" s="1"/>
  <c r="S444" i="1"/>
  <c r="T444" i="1" s="1"/>
  <c r="U444" i="1" s="1"/>
  <c r="S445" i="1"/>
  <c r="T445" i="1" s="1"/>
  <c r="U445" i="1" s="1"/>
  <c r="S446" i="1"/>
  <c r="T446" i="1" s="1"/>
  <c r="U446" i="1" s="1"/>
  <c r="S447" i="1"/>
  <c r="T447" i="1" s="1"/>
  <c r="U447" i="1" s="1"/>
  <c r="S448" i="1"/>
  <c r="T448" i="1" s="1"/>
  <c r="U448" i="1" s="1"/>
  <c r="S449" i="1"/>
  <c r="T449" i="1" s="1"/>
  <c r="U449" i="1" s="1"/>
  <c r="S450" i="1"/>
  <c r="T450" i="1" s="1"/>
  <c r="U450" i="1" s="1"/>
  <c r="S451" i="1"/>
  <c r="T451" i="1" s="1"/>
  <c r="U451" i="1" s="1"/>
  <c r="S452" i="1"/>
  <c r="T452" i="1" s="1"/>
  <c r="U452" i="1" s="1"/>
  <c r="S453" i="1"/>
  <c r="T453" i="1" s="1"/>
  <c r="U453" i="1" s="1"/>
  <c r="S454" i="1"/>
  <c r="T454" i="1" s="1"/>
  <c r="U454" i="1" s="1"/>
  <c r="S455" i="1"/>
  <c r="T455" i="1" s="1"/>
  <c r="U455" i="1" s="1"/>
  <c r="S456" i="1"/>
  <c r="T456" i="1" s="1"/>
  <c r="U456" i="1" s="1"/>
  <c r="S457" i="1"/>
  <c r="T457" i="1" s="1"/>
  <c r="U457" i="1" s="1"/>
  <c r="S458" i="1"/>
  <c r="T458" i="1" s="1"/>
  <c r="U458" i="1" s="1"/>
  <c r="S459" i="1"/>
  <c r="T459" i="1" s="1"/>
  <c r="U459" i="1" s="1"/>
  <c r="S460" i="1"/>
  <c r="T460" i="1" s="1"/>
  <c r="U460" i="1" s="1"/>
  <c r="S461" i="1"/>
  <c r="T461" i="1" s="1"/>
  <c r="U461" i="1" s="1"/>
  <c r="S462" i="1"/>
  <c r="T462" i="1" s="1"/>
  <c r="U462" i="1" s="1"/>
  <c r="S463" i="1"/>
  <c r="T463" i="1" s="1"/>
  <c r="U463" i="1" s="1"/>
  <c r="S464" i="1"/>
  <c r="T464" i="1" s="1"/>
  <c r="U464" i="1" s="1"/>
  <c r="S465" i="1"/>
  <c r="T465" i="1" s="1"/>
  <c r="U465" i="1" s="1"/>
  <c r="S466" i="1"/>
  <c r="T466" i="1" s="1"/>
  <c r="U466" i="1" s="1"/>
  <c r="S467" i="1"/>
  <c r="T467" i="1" s="1"/>
  <c r="U467" i="1" s="1"/>
  <c r="S468" i="1"/>
  <c r="T468" i="1" s="1"/>
  <c r="U468" i="1" s="1"/>
  <c r="S469" i="1"/>
  <c r="T469" i="1" s="1"/>
  <c r="U469" i="1" s="1"/>
  <c r="S470" i="1"/>
  <c r="T470" i="1" s="1"/>
  <c r="U470" i="1" s="1"/>
  <c r="S471" i="1"/>
  <c r="T471" i="1" s="1"/>
  <c r="U471" i="1" s="1"/>
  <c r="S472" i="1"/>
  <c r="T472" i="1" s="1"/>
  <c r="U472" i="1" s="1"/>
  <c r="S473" i="1"/>
  <c r="T473" i="1" s="1"/>
  <c r="U473" i="1" s="1"/>
  <c r="S474" i="1"/>
  <c r="T474" i="1" s="1"/>
  <c r="U474" i="1" s="1"/>
  <c r="S475" i="1"/>
  <c r="T475" i="1" s="1"/>
  <c r="U475" i="1" s="1"/>
  <c r="S476" i="1"/>
  <c r="T476" i="1" s="1"/>
  <c r="U476" i="1" s="1"/>
  <c r="S477" i="1"/>
  <c r="T477" i="1" s="1"/>
  <c r="U477" i="1" s="1"/>
  <c r="S478" i="1"/>
  <c r="T478" i="1" s="1"/>
  <c r="U478" i="1" s="1"/>
  <c r="S479" i="1"/>
  <c r="T479" i="1" s="1"/>
  <c r="U479" i="1" s="1"/>
  <c r="S480" i="1"/>
  <c r="T480" i="1" s="1"/>
  <c r="U480" i="1" s="1"/>
  <c r="S481" i="1"/>
  <c r="T481" i="1" s="1"/>
  <c r="U481" i="1" s="1"/>
  <c r="S482" i="1"/>
  <c r="T482" i="1" s="1"/>
  <c r="U482" i="1" s="1"/>
  <c r="S483" i="1"/>
  <c r="T483" i="1" s="1"/>
  <c r="U483" i="1" s="1"/>
  <c r="S484" i="1"/>
  <c r="T484" i="1" s="1"/>
  <c r="U484" i="1" s="1"/>
  <c r="S485" i="1"/>
  <c r="T485" i="1" s="1"/>
  <c r="U485" i="1" s="1"/>
  <c r="S486" i="1"/>
  <c r="T486" i="1" s="1"/>
  <c r="U486" i="1" s="1"/>
  <c r="S487" i="1"/>
  <c r="T487" i="1" s="1"/>
  <c r="U487" i="1" s="1"/>
  <c r="S488" i="1"/>
  <c r="T488" i="1" s="1"/>
  <c r="U488" i="1" s="1"/>
  <c r="S489" i="1"/>
  <c r="T489" i="1" s="1"/>
  <c r="U489" i="1" s="1"/>
  <c r="S490" i="1"/>
  <c r="T490" i="1" s="1"/>
  <c r="U490" i="1" s="1"/>
  <c r="S491" i="1"/>
  <c r="T491" i="1" s="1"/>
  <c r="U491" i="1" s="1"/>
  <c r="S492" i="1"/>
  <c r="T492" i="1" s="1"/>
  <c r="U492" i="1" s="1"/>
  <c r="S493" i="1"/>
  <c r="T493" i="1" s="1"/>
  <c r="U493" i="1" s="1"/>
  <c r="S494" i="1"/>
  <c r="T494" i="1" s="1"/>
  <c r="U494" i="1" s="1"/>
  <c r="S495" i="1"/>
  <c r="T495" i="1" s="1"/>
  <c r="U495" i="1" s="1"/>
  <c r="S496" i="1"/>
  <c r="T496" i="1" s="1"/>
  <c r="U496" i="1" s="1"/>
  <c r="S497" i="1"/>
  <c r="T497" i="1" s="1"/>
  <c r="U497" i="1" s="1"/>
  <c r="S498" i="1"/>
  <c r="T498" i="1" s="1"/>
  <c r="U498" i="1" s="1"/>
  <c r="S499" i="1"/>
  <c r="T499" i="1" s="1"/>
  <c r="U499" i="1" s="1"/>
  <c r="S500" i="1"/>
  <c r="T500" i="1" s="1"/>
  <c r="U500" i="1" s="1"/>
  <c r="S501" i="1"/>
  <c r="T501" i="1" s="1"/>
  <c r="U501" i="1" s="1"/>
  <c r="S502" i="1"/>
  <c r="T502" i="1" s="1"/>
  <c r="U502" i="1" s="1"/>
  <c r="S503" i="1"/>
  <c r="T503" i="1" s="1"/>
  <c r="U503" i="1" s="1"/>
  <c r="S504" i="1"/>
  <c r="T504" i="1" s="1"/>
  <c r="U504" i="1" s="1"/>
  <c r="S505" i="1"/>
  <c r="T505" i="1" s="1"/>
  <c r="U505" i="1" s="1"/>
  <c r="S506" i="1"/>
  <c r="T506" i="1" s="1"/>
  <c r="U506" i="1" s="1"/>
  <c r="S507" i="1"/>
  <c r="T507" i="1" s="1"/>
  <c r="U507" i="1" s="1"/>
  <c r="S508" i="1"/>
  <c r="T508" i="1" s="1"/>
  <c r="U508" i="1" s="1"/>
  <c r="S509" i="1"/>
  <c r="T509" i="1" s="1"/>
  <c r="U509" i="1" s="1"/>
  <c r="S510" i="1"/>
  <c r="T510" i="1" s="1"/>
  <c r="U510" i="1" s="1"/>
  <c r="S511" i="1"/>
  <c r="T511" i="1" s="1"/>
  <c r="U511" i="1" s="1"/>
  <c r="S512" i="1"/>
  <c r="T512" i="1" s="1"/>
  <c r="U512" i="1" s="1"/>
  <c r="S513" i="1"/>
  <c r="T513" i="1" s="1"/>
  <c r="U513" i="1" s="1"/>
  <c r="S514" i="1"/>
  <c r="T514" i="1" s="1"/>
  <c r="U514" i="1" s="1"/>
  <c r="S515" i="1"/>
  <c r="T515" i="1" s="1"/>
  <c r="U515" i="1" s="1"/>
  <c r="S516" i="1"/>
  <c r="T516" i="1" s="1"/>
  <c r="U516" i="1" s="1"/>
  <c r="S517" i="1"/>
  <c r="T517" i="1" s="1"/>
  <c r="U517" i="1" s="1"/>
  <c r="S518" i="1"/>
  <c r="T518" i="1" s="1"/>
  <c r="U518" i="1" s="1"/>
  <c r="S519" i="1"/>
  <c r="T519" i="1" s="1"/>
  <c r="U519" i="1" s="1"/>
  <c r="S520" i="1"/>
  <c r="T520" i="1" s="1"/>
  <c r="U520" i="1" s="1"/>
  <c r="S521" i="1"/>
  <c r="T521" i="1" s="1"/>
  <c r="U521" i="1" s="1"/>
  <c r="S522" i="1"/>
  <c r="T522" i="1" s="1"/>
  <c r="U522" i="1" s="1"/>
  <c r="S523" i="1"/>
  <c r="T523" i="1" s="1"/>
  <c r="U523" i="1" s="1"/>
  <c r="S524" i="1"/>
  <c r="T524" i="1" s="1"/>
  <c r="U524" i="1" s="1"/>
  <c r="S525" i="1"/>
  <c r="T525" i="1" s="1"/>
  <c r="U525" i="1" s="1"/>
  <c r="S526" i="1"/>
  <c r="T526" i="1" s="1"/>
  <c r="U526" i="1" s="1"/>
  <c r="S527" i="1"/>
  <c r="T527" i="1" s="1"/>
  <c r="U527" i="1" s="1"/>
  <c r="S528" i="1"/>
  <c r="T528" i="1" s="1"/>
  <c r="U528" i="1" s="1"/>
  <c r="S529" i="1"/>
  <c r="T529" i="1" s="1"/>
  <c r="U529" i="1" s="1"/>
  <c r="S530" i="1"/>
  <c r="T530" i="1" s="1"/>
  <c r="U530" i="1" s="1"/>
  <c r="S531" i="1"/>
  <c r="T531" i="1" s="1"/>
  <c r="U531" i="1" s="1"/>
  <c r="S532" i="1"/>
  <c r="T532" i="1" s="1"/>
  <c r="U532" i="1" s="1"/>
  <c r="S533" i="1"/>
  <c r="T533" i="1" s="1"/>
  <c r="U533" i="1" s="1"/>
  <c r="S534" i="1"/>
  <c r="T534" i="1" s="1"/>
  <c r="U534" i="1" s="1"/>
  <c r="S535" i="1"/>
  <c r="T535" i="1" s="1"/>
  <c r="U535" i="1" s="1"/>
  <c r="S536" i="1"/>
  <c r="T536" i="1" s="1"/>
  <c r="U536" i="1" s="1"/>
  <c r="S537" i="1"/>
  <c r="T537" i="1" s="1"/>
  <c r="U537" i="1" s="1"/>
  <c r="S538" i="1"/>
  <c r="T538" i="1" s="1"/>
  <c r="U538" i="1" s="1"/>
  <c r="S539" i="1"/>
  <c r="T539" i="1" s="1"/>
  <c r="U539" i="1" s="1"/>
  <c r="S540" i="1"/>
  <c r="T540" i="1" s="1"/>
  <c r="U540" i="1" s="1"/>
  <c r="S541" i="1"/>
  <c r="T541" i="1" s="1"/>
  <c r="U541" i="1" s="1"/>
  <c r="S542" i="1"/>
  <c r="T542" i="1" s="1"/>
  <c r="U542" i="1" s="1"/>
  <c r="S543" i="1"/>
  <c r="T543" i="1" s="1"/>
  <c r="U543" i="1" s="1"/>
  <c r="S544" i="1"/>
  <c r="T544" i="1" s="1"/>
  <c r="U544" i="1" s="1"/>
  <c r="S545" i="1"/>
  <c r="T545" i="1" s="1"/>
  <c r="U545" i="1" s="1"/>
  <c r="S546" i="1"/>
  <c r="T546" i="1" s="1"/>
  <c r="U546" i="1" s="1"/>
  <c r="S547" i="1"/>
  <c r="T547" i="1" s="1"/>
  <c r="U547" i="1" s="1"/>
  <c r="S548" i="1"/>
  <c r="T548" i="1" s="1"/>
  <c r="U548" i="1" s="1"/>
  <c r="S549" i="1"/>
  <c r="T549" i="1" s="1"/>
  <c r="U549" i="1" s="1"/>
  <c r="S550" i="1"/>
  <c r="T550" i="1" s="1"/>
  <c r="U550" i="1" s="1"/>
  <c r="S551" i="1"/>
  <c r="T551" i="1" s="1"/>
  <c r="U551" i="1" s="1"/>
  <c r="S552" i="1"/>
  <c r="T552" i="1" s="1"/>
  <c r="U552" i="1" s="1"/>
  <c r="S553" i="1"/>
  <c r="T553" i="1" s="1"/>
  <c r="U553" i="1" s="1"/>
  <c r="S554" i="1"/>
  <c r="T554" i="1" s="1"/>
  <c r="U554" i="1" s="1"/>
  <c r="S555" i="1"/>
  <c r="T555" i="1" s="1"/>
  <c r="U555" i="1" s="1"/>
  <c r="S556" i="1"/>
  <c r="T556" i="1" s="1"/>
  <c r="U556" i="1" s="1"/>
  <c r="S557" i="1"/>
  <c r="T557" i="1" s="1"/>
  <c r="U557" i="1" s="1"/>
  <c r="S558" i="1"/>
  <c r="T558" i="1" s="1"/>
  <c r="U558" i="1" s="1"/>
  <c r="S559" i="1"/>
  <c r="T559" i="1" s="1"/>
  <c r="U559" i="1" s="1"/>
  <c r="S560" i="1"/>
  <c r="T560" i="1" s="1"/>
  <c r="U560" i="1" s="1"/>
  <c r="S561" i="1"/>
  <c r="T561" i="1" s="1"/>
  <c r="U561" i="1" s="1"/>
  <c r="S562" i="1"/>
  <c r="T562" i="1" s="1"/>
  <c r="U562" i="1" s="1"/>
  <c r="S563" i="1"/>
  <c r="T563" i="1" s="1"/>
  <c r="U563" i="1" s="1"/>
  <c r="S564" i="1"/>
  <c r="T564" i="1" s="1"/>
  <c r="U564" i="1" s="1"/>
  <c r="S565" i="1"/>
  <c r="T565" i="1" s="1"/>
  <c r="U565" i="1" s="1"/>
  <c r="S566" i="1"/>
  <c r="T566" i="1" s="1"/>
  <c r="U566" i="1" s="1"/>
  <c r="S567" i="1"/>
  <c r="T567" i="1" s="1"/>
  <c r="U567" i="1" s="1"/>
  <c r="S568" i="1"/>
  <c r="T568" i="1" s="1"/>
  <c r="U568" i="1" s="1"/>
  <c r="S569" i="1"/>
  <c r="T569" i="1" s="1"/>
  <c r="U569" i="1" s="1"/>
  <c r="S570" i="1"/>
  <c r="T570" i="1" s="1"/>
  <c r="U570" i="1" s="1"/>
  <c r="S571" i="1"/>
  <c r="T571" i="1" s="1"/>
  <c r="U571" i="1" s="1"/>
  <c r="S572" i="1"/>
  <c r="T572" i="1" s="1"/>
  <c r="U572" i="1" s="1"/>
  <c r="S573" i="1"/>
  <c r="T573" i="1" s="1"/>
  <c r="U573" i="1" s="1"/>
  <c r="S574" i="1"/>
  <c r="T574" i="1" s="1"/>
  <c r="U574" i="1" s="1"/>
  <c r="S575" i="1"/>
  <c r="T575" i="1" s="1"/>
  <c r="U575" i="1" s="1"/>
  <c r="S576" i="1"/>
  <c r="T576" i="1" s="1"/>
  <c r="U576" i="1" s="1"/>
  <c r="S577" i="1"/>
  <c r="T577" i="1" s="1"/>
  <c r="U577" i="1" s="1"/>
  <c r="S578" i="1"/>
  <c r="T578" i="1" s="1"/>
  <c r="U578" i="1" s="1"/>
  <c r="S579" i="1"/>
  <c r="T579" i="1" s="1"/>
  <c r="U579" i="1" s="1"/>
  <c r="S580" i="1"/>
  <c r="T580" i="1" s="1"/>
  <c r="U580" i="1" s="1"/>
  <c r="S581" i="1"/>
  <c r="T581" i="1" s="1"/>
  <c r="U581" i="1" s="1"/>
  <c r="S582" i="1"/>
  <c r="T582" i="1" s="1"/>
  <c r="U582" i="1" s="1"/>
  <c r="S583" i="1"/>
  <c r="T583" i="1" s="1"/>
  <c r="U583" i="1" s="1"/>
  <c r="S584" i="1"/>
  <c r="T584" i="1" s="1"/>
  <c r="U584" i="1" s="1"/>
  <c r="S585" i="1"/>
  <c r="T585" i="1" s="1"/>
  <c r="U585" i="1" s="1"/>
  <c r="S586" i="1"/>
  <c r="T586" i="1" s="1"/>
  <c r="U586" i="1" s="1"/>
  <c r="S587" i="1"/>
  <c r="T587" i="1" s="1"/>
  <c r="U587" i="1" s="1"/>
  <c r="S588" i="1"/>
  <c r="T588" i="1" s="1"/>
  <c r="U588" i="1" s="1"/>
  <c r="S589" i="1"/>
  <c r="T589" i="1" s="1"/>
  <c r="U589" i="1" s="1"/>
  <c r="S590" i="1"/>
  <c r="T590" i="1" s="1"/>
  <c r="U590" i="1" s="1"/>
  <c r="S591" i="1"/>
  <c r="T591" i="1" s="1"/>
  <c r="U591" i="1" s="1"/>
  <c r="S592" i="1"/>
  <c r="T592" i="1" s="1"/>
  <c r="U592" i="1" s="1"/>
  <c r="S593" i="1"/>
  <c r="T593" i="1" s="1"/>
  <c r="U593" i="1" s="1"/>
  <c r="S594" i="1"/>
  <c r="T594" i="1" s="1"/>
  <c r="U594" i="1" s="1"/>
  <c r="S595" i="1"/>
  <c r="T595" i="1" s="1"/>
  <c r="U595" i="1" s="1"/>
  <c r="S596" i="1"/>
  <c r="T596" i="1" s="1"/>
  <c r="U596" i="1" s="1"/>
  <c r="S597" i="1"/>
  <c r="T597" i="1" s="1"/>
  <c r="U597" i="1" s="1"/>
  <c r="S598" i="1"/>
  <c r="T598" i="1" s="1"/>
  <c r="U598" i="1" s="1"/>
  <c r="S599" i="1"/>
  <c r="T599" i="1" s="1"/>
  <c r="U599" i="1" s="1"/>
  <c r="S600" i="1"/>
  <c r="T600" i="1" s="1"/>
  <c r="U600" i="1" s="1"/>
  <c r="S601" i="1"/>
  <c r="T601" i="1" s="1"/>
  <c r="U601" i="1" s="1"/>
  <c r="S602" i="1"/>
  <c r="T602" i="1" s="1"/>
  <c r="U602" i="1" s="1"/>
  <c r="S603" i="1"/>
  <c r="T603" i="1" s="1"/>
  <c r="U603" i="1" s="1"/>
  <c r="S604" i="1"/>
  <c r="T604" i="1" s="1"/>
  <c r="U604" i="1" s="1"/>
  <c r="S605" i="1"/>
  <c r="T605" i="1" s="1"/>
  <c r="U605" i="1" s="1"/>
  <c r="S606" i="1"/>
  <c r="T606" i="1" s="1"/>
  <c r="U606" i="1" s="1"/>
  <c r="S607" i="1"/>
  <c r="T607" i="1" s="1"/>
  <c r="U607" i="1" s="1"/>
  <c r="S608" i="1"/>
  <c r="T608" i="1" s="1"/>
  <c r="U608" i="1" s="1"/>
  <c r="S609" i="1"/>
  <c r="T609" i="1" s="1"/>
  <c r="U609" i="1" s="1"/>
  <c r="S610" i="1"/>
  <c r="T610" i="1" s="1"/>
  <c r="U610" i="1" s="1"/>
  <c r="S611" i="1"/>
  <c r="T611" i="1" s="1"/>
  <c r="U611" i="1" s="1"/>
  <c r="S612" i="1"/>
  <c r="T612" i="1" s="1"/>
  <c r="U612" i="1" s="1"/>
  <c r="S613" i="1"/>
  <c r="T613" i="1" s="1"/>
  <c r="U613" i="1" s="1"/>
  <c r="S614" i="1"/>
  <c r="T614" i="1" s="1"/>
  <c r="U614" i="1" s="1"/>
  <c r="S615" i="1"/>
  <c r="T615" i="1" s="1"/>
  <c r="U615" i="1" s="1"/>
  <c r="S616" i="1"/>
  <c r="T616" i="1" s="1"/>
  <c r="U616" i="1" s="1"/>
  <c r="S617" i="1"/>
  <c r="T617" i="1" s="1"/>
  <c r="U617" i="1" s="1"/>
  <c r="S618" i="1"/>
  <c r="T618" i="1" s="1"/>
  <c r="U618" i="1" s="1"/>
  <c r="S619" i="1"/>
  <c r="T619" i="1" s="1"/>
  <c r="U619" i="1" s="1"/>
  <c r="S620" i="1"/>
  <c r="T620" i="1" s="1"/>
  <c r="U620" i="1" s="1"/>
  <c r="S621" i="1"/>
  <c r="T621" i="1" s="1"/>
  <c r="U621" i="1" s="1"/>
  <c r="S622" i="1"/>
  <c r="T622" i="1" s="1"/>
  <c r="U622" i="1" s="1"/>
  <c r="S623" i="1"/>
  <c r="T623" i="1" s="1"/>
  <c r="U623" i="1" s="1"/>
  <c r="S624" i="1"/>
  <c r="T624" i="1" s="1"/>
  <c r="U624" i="1" s="1"/>
  <c r="S625" i="1"/>
  <c r="T625" i="1" s="1"/>
  <c r="U625" i="1" s="1"/>
  <c r="S626" i="1"/>
  <c r="T626" i="1" s="1"/>
  <c r="U626" i="1" s="1"/>
  <c r="S627" i="1"/>
  <c r="T627" i="1" s="1"/>
  <c r="U627" i="1" s="1"/>
  <c r="S628" i="1"/>
  <c r="T628" i="1" s="1"/>
  <c r="U628" i="1" s="1"/>
  <c r="S629" i="1"/>
  <c r="T629" i="1" s="1"/>
  <c r="U629" i="1" s="1"/>
  <c r="S630" i="1"/>
  <c r="T630" i="1" s="1"/>
  <c r="U630" i="1" s="1"/>
  <c r="S631" i="1"/>
  <c r="T631" i="1" s="1"/>
  <c r="U631" i="1" s="1"/>
  <c r="S632" i="1"/>
  <c r="T632" i="1" s="1"/>
  <c r="U632" i="1" s="1"/>
  <c r="S633" i="1"/>
  <c r="T633" i="1" s="1"/>
  <c r="U633" i="1" s="1"/>
  <c r="S634" i="1"/>
  <c r="T634" i="1" s="1"/>
  <c r="U634" i="1" s="1"/>
  <c r="S635" i="1"/>
  <c r="T635" i="1" s="1"/>
  <c r="U635" i="1" s="1"/>
  <c r="S636" i="1"/>
  <c r="T636" i="1" s="1"/>
  <c r="U636" i="1" s="1"/>
  <c r="S637" i="1"/>
  <c r="T637" i="1" s="1"/>
  <c r="U637" i="1" s="1"/>
  <c r="S638" i="1"/>
  <c r="T638" i="1" s="1"/>
  <c r="U638" i="1" s="1"/>
  <c r="S639" i="1"/>
  <c r="T639" i="1" s="1"/>
  <c r="U639" i="1" s="1"/>
  <c r="S640" i="1"/>
  <c r="T640" i="1" s="1"/>
  <c r="U640" i="1" s="1"/>
  <c r="S641" i="1"/>
  <c r="T641" i="1" s="1"/>
  <c r="U641" i="1" s="1"/>
  <c r="S642" i="1"/>
  <c r="T642" i="1" s="1"/>
  <c r="U642" i="1" s="1"/>
  <c r="S643" i="1"/>
  <c r="T643" i="1" s="1"/>
  <c r="U643" i="1" s="1"/>
  <c r="S644" i="1"/>
  <c r="T644" i="1" s="1"/>
  <c r="U644" i="1" s="1"/>
  <c r="S645" i="1"/>
  <c r="T645" i="1" s="1"/>
  <c r="U645" i="1" s="1"/>
  <c r="S646" i="1"/>
  <c r="T646" i="1" s="1"/>
  <c r="U646" i="1" s="1"/>
  <c r="S647" i="1"/>
  <c r="T647" i="1" s="1"/>
  <c r="U647" i="1" s="1"/>
  <c r="S648" i="1"/>
  <c r="T648" i="1" s="1"/>
  <c r="U648" i="1" s="1"/>
  <c r="S649" i="1"/>
  <c r="T649" i="1" s="1"/>
  <c r="U649" i="1" s="1"/>
  <c r="S650" i="1"/>
  <c r="T650" i="1" s="1"/>
  <c r="U650" i="1" s="1"/>
  <c r="S651" i="1"/>
  <c r="T651" i="1" s="1"/>
  <c r="U651" i="1" s="1"/>
  <c r="S652" i="1"/>
  <c r="T652" i="1" s="1"/>
  <c r="U652" i="1" s="1"/>
  <c r="S653" i="1"/>
  <c r="T653" i="1" s="1"/>
  <c r="U653" i="1" s="1"/>
  <c r="S654" i="1"/>
  <c r="T654" i="1" s="1"/>
  <c r="U654" i="1" s="1"/>
  <c r="S655" i="1"/>
  <c r="T655" i="1" s="1"/>
  <c r="U655" i="1" s="1"/>
  <c r="S656" i="1"/>
  <c r="T656" i="1" s="1"/>
  <c r="U656" i="1" s="1"/>
  <c r="S657" i="1"/>
  <c r="T657" i="1" s="1"/>
  <c r="U657" i="1" s="1"/>
  <c r="S658" i="1"/>
  <c r="T658" i="1" s="1"/>
  <c r="U658" i="1" s="1"/>
  <c r="S659" i="1"/>
  <c r="T659" i="1" s="1"/>
  <c r="U659" i="1" s="1"/>
  <c r="S660" i="1"/>
  <c r="T660" i="1" s="1"/>
  <c r="U660" i="1" s="1"/>
  <c r="S661" i="1"/>
  <c r="T661" i="1" s="1"/>
  <c r="U661" i="1" s="1"/>
  <c r="S662" i="1"/>
  <c r="T662" i="1" s="1"/>
  <c r="U662" i="1" s="1"/>
  <c r="S663" i="1"/>
  <c r="T663" i="1" s="1"/>
  <c r="U663" i="1" s="1"/>
  <c r="S664" i="1"/>
  <c r="T664" i="1" s="1"/>
  <c r="U664" i="1" s="1"/>
  <c r="S665" i="1"/>
  <c r="T665" i="1" s="1"/>
  <c r="U665" i="1" s="1"/>
  <c r="S666" i="1"/>
  <c r="T666" i="1" s="1"/>
  <c r="U666" i="1" s="1"/>
  <c r="S667" i="1"/>
  <c r="T667" i="1" s="1"/>
  <c r="U667" i="1" s="1"/>
  <c r="S668" i="1"/>
  <c r="T668" i="1" s="1"/>
  <c r="U668" i="1" s="1"/>
  <c r="S669" i="1"/>
  <c r="T669" i="1" s="1"/>
  <c r="U669" i="1" s="1"/>
  <c r="S670" i="1"/>
  <c r="T670" i="1" s="1"/>
  <c r="U670" i="1" s="1"/>
  <c r="S671" i="1"/>
  <c r="T671" i="1" s="1"/>
  <c r="U671" i="1" s="1"/>
  <c r="S672" i="1"/>
  <c r="T672" i="1" s="1"/>
  <c r="U672" i="1" s="1"/>
  <c r="S673" i="1"/>
  <c r="T673" i="1" s="1"/>
  <c r="U673" i="1" s="1"/>
  <c r="S674" i="1"/>
  <c r="T674" i="1" s="1"/>
  <c r="U674" i="1" s="1"/>
  <c r="S675" i="1"/>
  <c r="T675" i="1" s="1"/>
  <c r="U675" i="1" s="1"/>
  <c r="S676" i="1"/>
  <c r="T676" i="1" s="1"/>
  <c r="U676" i="1" s="1"/>
  <c r="S677" i="1"/>
  <c r="T677" i="1" s="1"/>
  <c r="U677" i="1" s="1"/>
  <c r="S678" i="1"/>
  <c r="T678" i="1" s="1"/>
  <c r="U678" i="1" s="1"/>
  <c r="S679" i="1"/>
  <c r="T679" i="1" s="1"/>
  <c r="U679" i="1" s="1"/>
  <c r="S680" i="1"/>
  <c r="T680" i="1" s="1"/>
  <c r="U680" i="1" s="1"/>
  <c r="S681" i="1"/>
  <c r="T681" i="1" s="1"/>
  <c r="U681" i="1" s="1"/>
  <c r="S682" i="1"/>
  <c r="T682" i="1" s="1"/>
  <c r="U682" i="1" s="1"/>
  <c r="S683" i="1"/>
  <c r="T683" i="1" s="1"/>
  <c r="U683" i="1" s="1"/>
  <c r="S684" i="1"/>
  <c r="T684" i="1" s="1"/>
  <c r="U684" i="1" s="1"/>
  <c r="S685" i="1"/>
  <c r="T685" i="1" s="1"/>
  <c r="U685" i="1" s="1"/>
  <c r="S686" i="1"/>
  <c r="T686" i="1" s="1"/>
  <c r="U686" i="1" s="1"/>
  <c r="S687" i="1"/>
  <c r="T687" i="1" s="1"/>
  <c r="U687" i="1" s="1"/>
  <c r="S688" i="1"/>
  <c r="T688" i="1" s="1"/>
  <c r="U688" i="1" s="1"/>
  <c r="S689" i="1"/>
  <c r="T689" i="1" s="1"/>
  <c r="U689" i="1" s="1"/>
  <c r="S690" i="1"/>
  <c r="T690" i="1" s="1"/>
  <c r="U690" i="1" s="1"/>
  <c r="S691" i="1"/>
  <c r="T691" i="1" s="1"/>
  <c r="U691" i="1" s="1"/>
  <c r="S692" i="1"/>
  <c r="T692" i="1" s="1"/>
  <c r="U692" i="1" s="1"/>
  <c r="S693" i="1"/>
  <c r="T693" i="1" s="1"/>
  <c r="U693" i="1" s="1"/>
  <c r="S694" i="1"/>
  <c r="T694" i="1" s="1"/>
  <c r="U694" i="1" s="1"/>
  <c r="S695" i="1"/>
  <c r="T695" i="1" s="1"/>
  <c r="U695" i="1" s="1"/>
  <c r="S696" i="1"/>
  <c r="T696" i="1" s="1"/>
  <c r="U696" i="1" s="1"/>
  <c r="S697" i="1"/>
  <c r="T697" i="1" s="1"/>
  <c r="U697" i="1" s="1"/>
  <c r="S698" i="1"/>
  <c r="T698" i="1" s="1"/>
  <c r="U698" i="1" s="1"/>
  <c r="S699" i="1"/>
  <c r="T699" i="1" s="1"/>
  <c r="U699" i="1" s="1"/>
  <c r="S700" i="1"/>
  <c r="T700" i="1" s="1"/>
  <c r="U700" i="1" s="1"/>
  <c r="S701" i="1"/>
  <c r="T701" i="1" s="1"/>
  <c r="U701" i="1" s="1"/>
  <c r="S702" i="1"/>
  <c r="T702" i="1" s="1"/>
  <c r="U702" i="1" s="1"/>
  <c r="S703" i="1"/>
  <c r="T703" i="1" s="1"/>
  <c r="U703" i="1" s="1"/>
  <c r="S704" i="1"/>
  <c r="T704" i="1" s="1"/>
  <c r="U704" i="1" s="1"/>
  <c r="S705" i="1"/>
  <c r="T705" i="1" s="1"/>
  <c r="U705" i="1" s="1"/>
  <c r="S706" i="1"/>
  <c r="T706" i="1" s="1"/>
  <c r="U706" i="1" s="1"/>
  <c r="S707" i="1"/>
  <c r="T707" i="1" s="1"/>
  <c r="U707" i="1" s="1"/>
  <c r="S708" i="1"/>
  <c r="T708" i="1" s="1"/>
  <c r="U708" i="1" s="1"/>
  <c r="S709" i="1"/>
  <c r="T709" i="1" s="1"/>
  <c r="U709" i="1" s="1"/>
  <c r="S710" i="1"/>
  <c r="T710" i="1" s="1"/>
  <c r="U710" i="1" s="1"/>
  <c r="S711" i="1"/>
  <c r="T711" i="1" s="1"/>
  <c r="U711" i="1" s="1"/>
  <c r="S712" i="1"/>
  <c r="T712" i="1" s="1"/>
  <c r="U712" i="1" s="1"/>
  <c r="S713" i="1"/>
  <c r="T713" i="1" s="1"/>
  <c r="U713" i="1" s="1"/>
  <c r="S714" i="1"/>
  <c r="T714" i="1" s="1"/>
  <c r="U714" i="1" s="1"/>
  <c r="S715" i="1"/>
  <c r="T715" i="1" s="1"/>
  <c r="U715" i="1" s="1"/>
  <c r="S716" i="1"/>
  <c r="T716" i="1" s="1"/>
  <c r="U716" i="1" s="1"/>
  <c r="S717" i="1"/>
  <c r="T717" i="1" s="1"/>
  <c r="U717" i="1" s="1"/>
  <c r="S718" i="1"/>
  <c r="T718" i="1" s="1"/>
  <c r="U718" i="1" s="1"/>
  <c r="S719" i="1"/>
  <c r="T719" i="1" s="1"/>
  <c r="U719" i="1" s="1"/>
  <c r="S720" i="1"/>
  <c r="T720" i="1" s="1"/>
  <c r="U720" i="1" s="1"/>
  <c r="S721" i="1"/>
  <c r="T721" i="1" s="1"/>
  <c r="U721" i="1" s="1"/>
  <c r="S722" i="1"/>
  <c r="T722" i="1" s="1"/>
  <c r="U722" i="1" s="1"/>
  <c r="S723" i="1"/>
  <c r="T723" i="1" s="1"/>
  <c r="U723" i="1" s="1"/>
  <c r="S724" i="1"/>
  <c r="T724" i="1" s="1"/>
  <c r="U724" i="1" s="1"/>
  <c r="S725" i="1"/>
  <c r="T725" i="1" s="1"/>
  <c r="U725" i="1" s="1"/>
  <c r="S726" i="1"/>
  <c r="T726" i="1" s="1"/>
  <c r="U726" i="1" s="1"/>
  <c r="S727" i="1"/>
  <c r="T727" i="1" s="1"/>
  <c r="U727" i="1" s="1"/>
  <c r="S728" i="1"/>
  <c r="T728" i="1" s="1"/>
  <c r="U728" i="1" s="1"/>
  <c r="S729" i="1"/>
  <c r="T729" i="1" s="1"/>
  <c r="U729" i="1" s="1"/>
  <c r="S730" i="1"/>
  <c r="T730" i="1" s="1"/>
  <c r="U730" i="1" s="1"/>
  <c r="S731" i="1"/>
  <c r="T731" i="1" s="1"/>
  <c r="U731" i="1" s="1"/>
  <c r="S732" i="1"/>
  <c r="T732" i="1" s="1"/>
  <c r="U732" i="1" s="1"/>
  <c r="S733" i="1"/>
  <c r="T733" i="1" s="1"/>
  <c r="U733" i="1" s="1"/>
  <c r="S734" i="1"/>
  <c r="T734" i="1" s="1"/>
  <c r="U734" i="1" s="1"/>
  <c r="S735" i="1"/>
  <c r="T735" i="1" s="1"/>
  <c r="U735" i="1" s="1"/>
  <c r="S736" i="1"/>
  <c r="T736" i="1" s="1"/>
  <c r="U736" i="1" s="1"/>
  <c r="S737" i="1"/>
  <c r="T737" i="1" s="1"/>
  <c r="U737" i="1" s="1"/>
  <c r="S738" i="1"/>
  <c r="T738" i="1" s="1"/>
  <c r="U738" i="1" s="1"/>
  <c r="S739" i="1"/>
  <c r="T739" i="1" s="1"/>
  <c r="U739" i="1" s="1"/>
  <c r="S740" i="1"/>
  <c r="T740" i="1" s="1"/>
  <c r="U740" i="1" s="1"/>
  <c r="S741" i="1"/>
  <c r="T741" i="1" s="1"/>
  <c r="U741" i="1" s="1"/>
  <c r="S742" i="1"/>
  <c r="T742" i="1" s="1"/>
  <c r="U742" i="1" s="1"/>
  <c r="S743" i="1"/>
  <c r="T743" i="1" s="1"/>
  <c r="U743" i="1" s="1"/>
  <c r="S744" i="1"/>
  <c r="T744" i="1" s="1"/>
  <c r="U744" i="1" s="1"/>
  <c r="S745" i="1"/>
  <c r="T745" i="1" s="1"/>
  <c r="U745" i="1" s="1"/>
  <c r="S746" i="1"/>
  <c r="T746" i="1" s="1"/>
  <c r="U746" i="1" s="1"/>
  <c r="S747" i="1"/>
  <c r="T747" i="1" s="1"/>
  <c r="U747" i="1" s="1"/>
  <c r="S748" i="1"/>
  <c r="T748" i="1" s="1"/>
  <c r="U748" i="1" s="1"/>
  <c r="S749" i="1"/>
  <c r="T749" i="1" s="1"/>
  <c r="U749" i="1" s="1"/>
  <c r="S750" i="1"/>
  <c r="T750" i="1" s="1"/>
  <c r="U750" i="1" s="1"/>
  <c r="S751" i="1"/>
  <c r="T751" i="1" s="1"/>
  <c r="U751" i="1" s="1"/>
  <c r="S752" i="1"/>
  <c r="T752" i="1" s="1"/>
  <c r="U752" i="1" s="1"/>
  <c r="S753" i="1"/>
  <c r="T753" i="1" s="1"/>
  <c r="U753" i="1" s="1"/>
  <c r="S754" i="1"/>
  <c r="T754" i="1" s="1"/>
  <c r="U754" i="1" s="1"/>
  <c r="S755" i="1"/>
  <c r="T755" i="1" s="1"/>
  <c r="U755" i="1" s="1"/>
  <c r="S756" i="1"/>
  <c r="T756" i="1" s="1"/>
  <c r="U756" i="1" s="1"/>
  <c r="S757" i="1"/>
  <c r="T757" i="1" s="1"/>
  <c r="U757" i="1" s="1"/>
  <c r="S758" i="1"/>
  <c r="T758" i="1" s="1"/>
  <c r="U758" i="1" s="1"/>
  <c r="S759" i="1"/>
  <c r="T759" i="1" s="1"/>
  <c r="U759" i="1" s="1"/>
  <c r="S760" i="1"/>
  <c r="T760" i="1" s="1"/>
  <c r="U760" i="1" s="1"/>
  <c r="S761" i="1"/>
  <c r="T761" i="1" s="1"/>
  <c r="U761" i="1" s="1"/>
  <c r="S762" i="1"/>
  <c r="T762" i="1" s="1"/>
  <c r="U762" i="1" s="1"/>
  <c r="S763" i="1"/>
  <c r="T763" i="1" s="1"/>
  <c r="U763" i="1" s="1"/>
  <c r="S764" i="1"/>
  <c r="T764" i="1" s="1"/>
  <c r="U764" i="1" s="1"/>
  <c r="S765" i="1"/>
  <c r="T765" i="1" s="1"/>
  <c r="U765" i="1" s="1"/>
  <c r="S766" i="1"/>
  <c r="T766" i="1" s="1"/>
  <c r="U766" i="1" s="1"/>
  <c r="S767" i="1"/>
  <c r="T767" i="1" s="1"/>
  <c r="U767" i="1" s="1"/>
  <c r="S768" i="1"/>
  <c r="T768" i="1" s="1"/>
  <c r="U768" i="1" s="1"/>
  <c r="S769" i="1"/>
  <c r="T769" i="1" s="1"/>
  <c r="U769" i="1" s="1"/>
  <c r="S770" i="1"/>
  <c r="T770" i="1" s="1"/>
  <c r="U770" i="1" s="1"/>
  <c r="S771" i="1"/>
  <c r="T771" i="1" s="1"/>
  <c r="U771" i="1" s="1"/>
  <c r="S772" i="1"/>
  <c r="T772" i="1" s="1"/>
  <c r="U772" i="1" s="1"/>
  <c r="S773" i="1"/>
  <c r="T773" i="1" s="1"/>
  <c r="U773" i="1" s="1"/>
  <c r="S774" i="1"/>
  <c r="T774" i="1" s="1"/>
  <c r="U774" i="1" s="1"/>
  <c r="S775" i="1"/>
  <c r="T775" i="1" s="1"/>
  <c r="U775" i="1" s="1"/>
  <c r="S776" i="1"/>
  <c r="T776" i="1" s="1"/>
  <c r="U776" i="1" s="1"/>
  <c r="S777" i="1"/>
  <c r="T777" i="1" s="1"/>
  <c r="U777" i="1" s="1"/>
  <c r="S778" i="1"/>
  <c r="T778" i="1" s="1"/>
  <c r="U778" i="1" s="1"/>
  <c r="S779" i="1"/>
  <c r="T779" i="1" s="1"/>
  <c r="U779" i="1" s="1"/>
  <c r="S780" i="1"/>
  <c r="T780" i="1" s="1"/>
  <c r="U780" i="1" s="1"/>
  <c r="S781" i="1"/>
  <c r="T781" i="1" s="1"/>
  <c r="U781" i="1" s="1"/>
  <c r="S782" i="1"/>
  <c r="T782" i="1" s="1"/>
  <c r="U782" i="1" s="1"/>
  <c r="S783" i="1"/>
  <c r="T783" i="1" s="1"/>
  <c r="U783" i="1" s="1"/>
  <c r="S784" i="1"/>
  <c r="T784" i="1" s="1"/>
  <c r="U784" i="1" s="1"/>
  <c r="S785" i="1"/>
  <c r="T785" i="1" s="1"/>
  <c r="U785" i="1" s="1"/>
  <c r="S786" i="1"/>
  <c r="T786" i="1" s="1"/>
  <c r="U786" i="1" s="1"/>
  <c r="S787" i="1"/>
  <c r="T787" i="1" s="1"/>
  <c r="U787" i="1" s="1"/>
  <c r="S788" i="1"/>
  <c r="T788" i="1" s="1"/>
  <c r="U788" i="1" s="1"/>
  <c r="S789" i="1"/>
  <c r="T789" i="1" s="1"/>
  <c r="U789" i="1" s="1"/>
  <c r="S790" i="1"/>
  <c r="T790" i="1" s="1"/>
  <c r="U790" i="1" s="1"/>
  <c r="S791" i="1"/>
  <c r="T791" i="1" s="1"/>
  <c r="U791" i="1" s="1"/>
  <c r="S792" i="1"/>
  <c r="T792" i="1" s="1"/>
  <c r="U792" i="1" s="1"/>
  <c r="S793" i="1"/>
  <c r="T793" i="1" s="1"/>
  <c r="U793" i="1" s="1"/>
  <c r="S794" i="1"/>
  <c r="T794" i="1" s="1"/>
  <c r="U794" i="1" s="1"/>
  <c r="S795" i="1"/>
  <c r="T795" i="1" s="1"/>
  <c r="U795" i="1" s="1"/>
  <c r="S796" i="1"/>
  <c r="T796" i="1" s="1"/>
  <c r="U796" i="1" s="1"/>
  <c r="S797" i="1"/>
  <c r="T797" i="1" s="1"/>
  <c r="U797" i="1" s="1"/>
  <c r="S798" i="1"/>
  <c r="T798" i="1" s="1"/>
  <c r="U798" i="1" s="1"/>
  <c r="S799" i="1"/>
  <c r="T799" i="1" s="1"/>
  <c r="U799" i="1" s="1"/>
  <c r="S800" i="1"/>
  <c r="T800" i="1" s="1"/>
  <c r="U800" i="1" s="1"/>
  <c r="S801" i="1"/>
  <c r="T801" i="1" s="1"/>
  <c r="U801" i="1" s="1"/>
  <c r="S802" i="1"/>
  <c r="T802" i="1" s="1"/>
  <c r="U802" i="1" s="1"/>
  <c r="S803" i="1"/>
  <c r="T803" i="1" s="1"/>
  <c r="U803" i="1" s="1"/>
  <c r="S804" i="1"/>
  <c r="T804" i="1" s="1"/>
  <c r="U804" i="1" s="1"/>
  <c r="S805" i="1"/>
  <c r="T805" i="1" s="1"/>
  <c r="U805" i="1" s="1"/>
  <c r="S806" i="1"/>
  <c r="T806" i="1" s="1"/>
  <c r="U806" i="1" s="1"/>
  <c r="S807" i="1"/>
  <c r="T807" i="1" s="1"/>
  <c r="U807" i="1" s="1"/>
  <c r="S808" i="1"/>
  <c r="T808" i="1" s="1"/>
  <c r="U808" i="1" s="1"/>
  <c r="S809" i="1"/>
  <c r="T809" i="1" s="1"/>
  <c r="U809" i="1" s="1"/>
  <c r="S810" i="1"/>
  <c r="T810" i="1" s="1"/>
  <c r="U810" i="1" s="1"/>
  <c r="S811" i="1"/>
  <c r="T811" i="1" s="1"/>
  <c r="U811" i="1" s="1"/>
  <c r="S812" i="1"/>
  <c r="T812" i="1" s="1"/>
  <c r="U812" i="1" s="1"/>
  <c r="S813" i="1"/>
  <c r="T813" i="1" s="1"/>
  <c r="U813" i="1" s="1"/>
  <c r="S814" i="1"/>
  <c r="T814" i="1" s="1"/>
  <c r="U814" i="1" s="1"/>
  <c r="S815" i="1"/>
  <c r="T815" i="1" s="1"/>
  <c r="U815" i="1" s="1"/>
  <c r="S816" i="1"/>
  <c r="T816" i="1" s="1"/>
  <c r="U816" i="1" s="1"/>
  <c r="S817" i="1"/>
  <c r="T817" i="1" s="1"/>
  <c r="U817" i="1" s="1"/>
  <c r="S818" i="1"/>
  <c r="T818" i="1" s="1"/>
  <c r="U818" i="1" s="1"/>
  <c r="S819" i="1"/>
  <c r="T819" i="1" s="1"/>
  <c r="U819" i="1" s="1"/>
  <c r="S820" i="1"/>
  <c r="T820" i="1" s="1"/>
  <c r="U820" i="1" s="1"/>
  <c r="S821" i="1"/>
  <c r="T821" i="1" s="1"/>
  <c r="U821" i="1" s="1"/>
  <c r="S822" i="1"/>
  <c r="T822" i="1" s="1"/>
  <c r="U822" i="1" s="1"/>
  <c r="S823" i="1"/>
  <c r="T823" i="1" s="1"/>
  <c r="U823" i="1" s="1"/>
  <c r="S824" i="1"/>
  <c r="T824" i="1" s="1"/>
  <c r="U824" i="1" s="1"/>
  <c r="S825" i="1"/>
  <c r="T825" i="1" s="1"/>
  <c r="U825" i="1" s="1"/>
  <c r="S826" i="1"/>
  <c r="T826" i="1" s="1"/>
  <c r="U826" i="1" s="1"/>
  <c r="S827" i="1"/>
  <c r="T827" i="1" s="1"/>
  <c r="U827" i="1" s="1"/>
  <c r="S828" i="1"/>
  <c r="T828" i="1" s="1"/>
  <c r="U828" i="1" s="1"/>
  <c r="S829" i="1"/>
  <c r="T829" i="1" s="1"/>
  <c r="U829" i="1" s="1"/>
  <c r="S830" i="1"/>
  <c r="T830" i="1" s="1"/>
  <c r="U830" i="1" s="1"/>
  <c r="S831" i="1"/>
  <c r="T831" i="1" s="1"/>
  <c r="U831" i="1" s="1"/>
  <c r="S832" i="1"/>
  <c r="T832" i="1" s="1"/>
  <c r="U832" i="1" s="1"/>
  <c r="S833" i="1"/>
  <c r="T833" i="1" s="1"/>
  <c r="U833" i="1" s="1"/>
  <c r="S834" i="1"/>
  <c r="T834" i="1" s="1"/>
  <c r="U834" i="1" s="1"/>
  <c r="S835" i="1"/>
  <c r="T835" i="1" s="1"/>
  <c r="U835" i="1" s="1"/>
  <c r="S836" i="1"/>
  <c r="T836" i="1" s="1"/>
  <c r="U836" i="1" s="1"/>
  <c r="S837" i="1"/>
  <c r="T837" i="1" s="1"/>
  <c r="U837" i="1" s="1"/>
  <c r="S838" i="1"/>
  <c r="T838" i="1" s="1"/>
  <c r="U838" i="1" s="1"/>
  <c r="S839" i="1"/>
  <c r="T839" i="1" s="1"/>
  <c r="U839" i="1" s="1"/>
  <c r="S840" i="1"/>
  <c r="T840" i="1" s="1"/>
  <c r="U840" i="1" s="1"/>
  <c r="S841" i="1"/>
  <c r="T841" i="1" s="1"/>
  <c r="U841" i="1" s="1"/>
  <c r="S842" i="1"/>
  <c r="T842" i="1" s="1"/>
  <c r="U842" i="1" s="1"/>
  <c r="S843" i="1"/>
  <c r="T843" i="1" s="1"/>
  <c r="U843" i="1" s="1"/>
  <c r="S844" i="1"/>
  <c r="T844" i="1" s="1"/>
  <c r="U844" i="1" s="1"/>
  <c r="S845" i="1"/>
  <c r="T845" i="1" s="1"/>
  <c r="U845" i="1" s="1"/>
  <c r="S846" i="1"/>
  <c r="T846" i="1" s="1"/>
  <c r="U846" i="1" s="1"/>
  <c r="S847" i="1"/>
  <c r="T847" i="1" s="1"/>
  <c r="U847" i="1" s="1"/>
  <c r="S848" i="1"/>
  <c r="T848" i="1" s="1"/>
  <c r="U848" i="1" s="1"/>
  <c r="S849" i="1"/>
  <c r="T849" i="1" s="1"/>
  <c r="U849" i="1" s="1"/>
  <c r="S850" i="1"/>
  <c r="T850" i="1" s="1"/>
  <c r="U850" i="1" s="1"/>
  <c r="S851" i="1"/>
  <c r="T851" i="1" s="1"/>
  <c r="U851" i="1" s="1"/>
  <c r="S852" i="1"/>
  <c r="T852" i="1" s="1"/>
  <c r="U852" i="1" s="1"/>
  <c r="S853" i="1"/>
  <c r="T853" i="1" s="1"/>
  <c r="U853" i="1" s="1"/>
  <c r="S854" i="1"/>
  <c r="T854" i="1" s="1"/>
  <c r="U854" i="1" s="1"/>
  <c r="S855" i="1"/>
  <c r="T855" i="1" s="1"/>
  <c r="U855" i="1" s="1"/>
  <c r="S856" i="1"/>
  <c r="T856" i="1" s="1"/>
  <c r="U856" i="1" s="1"/>
  <c r="S857" i="1"/>
  <c r="T857" i="1" s="1"/>
  <c r="U857" i="1" s="1"/>
  <c r="S858" i="1"/>
  <c r="T858" i="1" s="1"/>
  <c r="U858" i="1" s="1"/>
  <c r="S859" i="1"/>
  <c r="T859" i="1" s="1"/>
  <c r="U859" i="1" s="1"/>
  <c r="S860" i="1"/>
  <c r="T860" i="1" s="1"/>
  <c r="U860" i="1" s="1"/>
  <c r="S861" i="1"/>
  <c r="T861" i="1" s="1"/>
  <c r="U861" i="1" s="1"/>
  <c r="S862" i="1"/>
  <c r="T862" i="1" s="1"/>
  <c r="U862" i="1" s="1"/>
  <c r="S863" i="1"/>
  <c r="T863" i="1" s="1"/>
  <c r="U863" i="1" s="1"/>
  <c r="S864" i="1"/>
  <c r="T864" i="1" s="1"/>
  <c r="U864" i="1" s="1"/>
  <c r="S865" i="1"/>
  <c r="T865" i="1" s="1"/>
  <c r="U865" i="1" s="1"/>
  <c r="S866" i="1"/>
  <c r="T866" i="1" s="1"/>
  <c r="U866" i="1" s="1"/>
  <c r="S867" i="1"/>
  <c r="T867" i="1" s="1"/>
  <c r="U867" i="1" s="1"/>
  <c r="S868" i="1"/>
  <c r="T868" i="1" s="1"/>
  <c r="U868" i="1" s="1"/>
  <c r="S869" i="1"/>
  <c r="T869" i="1" s="1"/>
  <c r="U869" i="1" s="1"/>
  <c r="S870" i="1"/>
  <c r="T870" i="1" s="1"/>
  <c r="U870" i="1" s="1"/>
  <c r="S871" i="1"/>
  <c r="T871" i="1" s="1"/>
  <c r="U871" i="1" s="1"/>
  <c r="S872" i="1"/>
  <c r="T872" i="1" s="1"/>
  <c r="U872" i="1" s="1"/>
  <c r="S873" i="1"/>
  <c r="T873" i="1" s="1"/>
  <c r="U873" i="1" s="1"/>
  <c r="S874" i="1"/>
  <c r="T874" i="1" s="1"/>
  <c r="U874" i="1" s="1"/>
  <c r="S875" i="1"/>
  <c r="T875" i="1" s="1"/>
  <c r="U875" i="1" s="1"/>
  <c r="S876" i="1"/>
  <c r="T876" i="1" s="1"/>
  <c r="U876" i="1" s="1"/>
  <c r="S877" i="1"/>
  <c r="T877" i="1" s="1"/>
  <c r="U877" i="1" s="1"/>
  <c r="S878" i="1"/>
  <c r="T878" i="1" s="1"/>
  <c r="U878" i="1" s="1"/>
  <c r="S879" i="1"/>
  <c r="T879" i="1" s="1"/>
  <c r="U879" i="1" s="1"/>
  <c r="S880" i="1"/>
  <c r="T880" i="1" s="1"/>
  <c r="U880" i="1" s="1"/>
  <c r="S881" i="1"/>
  <c r="T881" i="1" s="1"/>
  <c r="U881" i="1" s="1"/>
  <c r="S882" i="1"/>
  <c r="T882" i="1" s="1"/>
  <c r="U882" i="1" s="1"/>
  <c r="S883" i="1"/>
  <c r="T883" i="1" s="1"/>
  <c r="U883" i="1" s="1"/>
  <c r="S884" i="1"/>
  <c r="T884" i="1" s="1"/>
  <c r="U884" i="1" s="1"/>
  <c r="S885" i="1"/>
  <c r="T885" i="1" s="1"/>
  <c r="U885" i="1" s="1"/>
  <c r="S886" i="1"/>
  <c r="T886" i="1" s="1"/>
  <c r="U886" i="1" s="1"/>
  <c r="S887" i="1"/>
  <c r="T887" i="1" s="1"/>
  <c r="U887" i="1" s="1"/>
  <c r="S888" i="1"/>
  <c r="T888" i="1" s="1"/>
  <c r="U888" i="1" s="1"/>
  <c r="S889" i="1"/>
  <c r="T889" i="1" s="1"/>
  <c r="U889" i="1" s="1"/>
  <c r="S890" i="1"/>
  <c r="T890" i="1" s="1"/>
  <c r="U890" i="1" s="1"/>
  <c r="S891" i="1"/>
  <c r="T891" i="1" s="1"/>
  <c r="U891" i="1" s="1"/>
  <c r="S892" i="1"/>
  <c r="T892" i="1" s="1"/>
  <c r="U892" i="1" s="1"/>
  <c r="S893" i="1"/>
  <c r="T893" i="1" s="1"/>
  <c r="U893" i="1" s="1"/>
  <c r="S894" i="1"/>
  <c r="T894" i="1" s="1"/>
  <c r="U894" i="1" s="1"/>
  <c r="S895" i="1"/>
  <c r="T895" i="1" s="1"/>
  <c r="U895" i="1" s="1"/>
  <c r="S896" i="1"/>
  <c r="T896" i="1" s="1"/>
  <c r="U896" i="1" s="1"/>
  <c r="S897" i="1"/>
  <c r="T897" i="1" s="1"/>
  <c r="U897" i="1" s="1"/>
  <c r="S898" i="1"/>
  <c r="T898" i="1" s="1"/>
  <c r="U898" i="1" s="1"/>
  <c r="S899" i="1"/>
  <c r="T899" i="1" s="1"/>
  <c r="U899" i="1" s="1"/>
  <c r="S900" i="1"/>
  <c r="T900" i="1" s="1"/>
  <c r="U900" i="1" s="1"/>
  <c r="S901" i="1"/>
  <c r="T901" i="1" s="1"/>
  <c r="U901" i="1" s="1"/>
  <c r="S902" i="1"/>
  <c r="T902" i="1" s="1"/>
  <c r="U902" i="1" s="1"/>
  <c r="S903" i="1"/>
  <c r="T903" i="1" s="1"/>
  <c r="U903" i="1" s="1"/>
  <c r="S904" i="1"/>
  <c r="T904" i="1" s="1"/>
  <c r="U904" i="1" s="1"/>
  <c r="S905" i="1"/>
  <c r="T905" i="1" s="1"/>
  <c r="U905" i="1" s="1"/>
  <c r="S906" i="1"/>
  <c r="T906" i="1" s="1"/>
  <c r="U906" i="1" s="1"/>
  <c r="S907" i="1"/>
  <c r="T907" i="1" s="1"/>
  <c r="U907" i="1" s="1"/>
  <c r="S908" i="1"/>
  <c r="T908" i="1" s="1"/>
  <c r="U908" i="1" s="1"/>
  <c r="S909" i="1"/>
  <c r="T909" i="1" s="1"/>
  <c r="U909" i="1" s="1"/>
  <c r="S910" i="1"/>
  <c r="T910" i="1" s="1"/>
  <c r="U910" i="1" s="1"/>
  <c r="S911" i="1"/>
  <c r="T911" i="1" s="1"/>
  <c r="U911" i="1" s="1"/>
  <c r="S912" i="1"/>
  <c r="T912" i="1" s="1"/>
  <c r="U912" i="1" s="1"/>
  <c r="S913" i="1"/>
  <c r="T913" i="1" s="1"/>
  <c r="U913" i="1" s="1"/>
  <c r="S914" i="1"/>
  <c r="T914" i="1" s="1"/>
  <c r="U914" i="1" s="1"/>
  <c r="S915" i="1"/>
  <c r="T915" i="1" s="1"/>
  <c r="U915" i="1" s="1"/>
  <c r="S916" i="1"/>
  <c r="T916" i="1" s="1"/>
  <c r="U916" i="1" s="1"/>
  <c r="S917" i="1"/>
  <c r="T917" i="1" s="1"/>
  <c r="U917" i="1" s="1"/>
  <c r="S918" i="1"/>
  <c r="T918" i="1" s="1"/>
  <c r="U918" i="1" s="1"/>
  <c r="S919" i="1"/>
  <c r="T919" i="1" s="1"/>
  <c r="U919" i="1" s="1"/>
  <c r="S920" i="1"/>
  <c r="T920" i="1" s="1"/>
  <c r="U920" i="1" s="1"/>
  <c r="S921" i="1"/>
  <c r="T921" i="1" s="1"/>
  <c r="U921" i="1" s="1"/>
  <c r="S922" i="1"/>
  <c r="T922" i="1" s="1"/>
  <c r="U922" i="1" s="1"/>
  <c r="S923" i="1"/>
  <c r="T923" i="1" s="1"/>
  <c r="U923" i="1" s="1"/>
  <c r="S924" i="1"/>
  <c r="T924" i="1" s="1"/>
  <c r="U924" i="1" s="1"/>
  <c r="S925" i="1"/>
  <c r="T925" i="1" s="1"/>
  <c r="U925" i="1" s="1"/>
  <c r="S926" i="1"/>
  <c r="T926" i="1" s="1"/>
  <c r="U926" i="1" s="1"/>
  <c r="S927" i="1"/>
  <c r="T927" i="1" s="1"/>
  <c r="U927" i="1" s="1"/>
  <c r="S928" i="1"/>
  <c r="T928" i="1" s="1"/>
  <c r="U928" i="1" s="1"/>
  <c r="S929" i="1"/>
  <c r="T929" i="1" s="1"/>
  <c r="U929" i="1" s="1"/>
  <c r="S930" i="1"/>
  <c r="T930" i="1" s="1"/>
  <c r="U930" i="1" s="1"/>
  <c r="S931" i="1"/>
  <c r="T931" i="1" s="1"/>
  <c r="U931" i="1" s="1"/>
  <c r="S932" i="1"/>
  <c r="T932" i="1" s="1"/>
  <c r="U932" i="1" s="1"/>
  <c r="S933" i="1"/>
  <c r="T933" i="1" s="1"/>
  <c r="U933" i="1" s="1"/>
  <c r="S934" i="1"/>
  <c r="T934" i="1" s="1"/>
  <c r="U934" i="1" s="1"/>
  <c r="S935" i="1"/>
  <c r="T935" i="1" s="1"/>
  <c r="U935" i="1" s="1"/>
  <c r="S936" i="1"/>
  <c r="T936" i="1" s="1"/>
  <c r="U936" i="1" s="1"/>
  <c r="S937" i="1"/>
  <c r="T937" i="1" s="1"/>
  <c r="U937" i="1" s="1"/>
  <c r="S938" i="1"/>
  <c r="T938" i="1" s="1"/>
  <c r="U938" i="1" s="1"/>
  <c r="S939" i="1"/>
  <c r="T939" i="1" s="1"/>
  <c r="U939" i="1" s="1"/>
  <c r="S940" i="1"/>
  <c r="T940" i="1" s="1"/>
  <c r="U940" i="1" s="1"/>
  <c r="S941" i="1"/>
  <c r="T941" i="1" s="1"/>
  <c r="U941" i="1" s="1"/>
  <c r="S942" i="1"/>
  <c r="T942" i="1" s="1"/>
  <c r="U942" i="1" s="1"/>
  <c r="S943" i="1"/>
  <c r="T943" i="1" s="1"/>
  <c r="U943" i="1" s="1"/>
  <c r="S944" i="1"/>
  <c r="T944" i="1" s="1"/>
  <c r="U944" i="1" s="1"/>
  <c r="S945" i="1"/>
  <c r="T945" i="1" s="1"/>
  <c r="U945" i="1" s="1"/>
  <c r="S946" i="1"/>
  <c r="T946" i="1" s="1"/>
  <c r="U946" i="1" s="1"/>
  <c r="S947" i="1"/>
  <c r="T947" i="1" s="1"/>
  <c r="U947" i="1" s="1"/>
  <c r="S948" i="1"/>
  <c r="T948" i="1" s="1"/>
  <c r="U948" i="1" s="1"/>
  <c r="S949" i="1"/>
  <c r="T949" i="1" s="1"/>
  <c r="U949" i="1" s="1"/>
  <c r="S950" i="1"/>
  <c r="T950" i="1" s="1"/>
  <c r="U950" i="1" s="1"/>
  <c r="S951" i="1"/>
  <c r="T951" i="1" s="1"/>
  <c r="U951" i="1" s="1"/>
  <c r="S952" i="1"/>
  <c r="T952" i="1" s="1"/>
  <c r="U952" i="1" s="1"/>
  <c r="S953" i="1"/>
  <c r="T953" i="1" s="1"/>
  <c r="U953" i="1" s="1"/>
  <c r="S954" i="1"/>
  <c r="T954" i="1" s="1"/>
  <c r="U954" i="1" s="1"/>
  <c r="S955" i="1"/>
  <c r="T955" i="1" s="1"/>
  <c r="U955" i="1" s="1"/>
  <c r="S956" i="1"/>
  <c r="T956" i="1" s="1"/>
  <c r="U956" i="1" s="1"/>
  <c r="S957" i="1"/>
  <c r="T957" i="1" s="1"/>
  <c r="U957" i="1" s="1"/>
  <c r="S958" i="1"/>
  <c r="T958" i="1" s="1"/>
  <c r="U958" i="1" s="1"/>
  <c r="S959" i="1"/>
  <c r="T959" i="1" s="1"/>
  <c r="U959" i="1" s="1"/>
  <c r="S960" i="1"/>
  <c r="T960" i="1" s="1"/>
  <c r="U960" i="1" s="1"/>
  <c r="S961" i="1"/>
  <c r="T961" i="1" s="1"/>
  <c r="U961" i="1" s="1"/>
  <c r="S962" i="1"/>
  <c r="T962" i="1" s="1"/>
  <c r="U962" i="1" s="1"/>
  <c r="S963" i="1"/>
  <c r="T963" i="1" s="1"/>
  <c r="U963" i="1" s="1"/>
  <c r="S964" i="1"/>
  <c r="T964" i="1" s="1"/>
  <c r="U964" i="1" s="1"/>
  <c r="S965" i="1"/>
  <c r="T965" i="1" s="1"/>
  <c r="U965" i="1" s="1"/>
  <c r="S966" i="1"/>
  <c r="T966" i="1" s="1"/>
  <c r="U966" i="1" s="1"/>
  <c r="S967" i="1"/>
  <c r="T967" i="1" s="1"/>
  <c r="U967" i="1" s="1"/>
  <c r="S968" i="1"/>
  <c r="T968" i="1" s="1"/>
  <c r="U968" i="1" s="1"/>
  <c r="S969" i="1"/>
  <c r="T969" i="1" s="1"/>
  <c r="U969" i="1" s="1"/>
  <c r="S970" i="1"/>
  <c r="T970" i="1" s="1"/>
  <c r="U970" i="1" s="1"/>
  <c r="S971" i="1"/>
  <c r="T971" i="1" s="1"/>
  <c r="U971" i="1" s="1"/>
  <c r="S972" i="1"/>
  <c r="T972" i="1" s="1"/>
  <c r="U972" i="1" s="1"/>
  <c r="S973" i="1"/>
  <c r="T973" i="1" s="1"/>
  <c r="U973" i="1" s="1"/>
  <c r="S974" i="1"/>
  <c r="T974" i="1" s="1"/>
  <c r="U974" i="1" s="1"/>
  <c r="S975" i="1"/>
  <c r="T975" i="1" s="1"/>
  <c r="U975" i="1" s="1"/>
  <c r="S976" i="1"/>
  <c r="T976" i="1" s="1"/>
  <c r="U976" i="1" s="1"/>
  <c r="S977" i="1"/>
  <c r="T977" i="1" s="1"/>
  <c r="U977" i="1" s="1"/>
  <c r="S978" i="1"/>
  <c r="T978" i="1" s="1"/>
  <c r="U978" i="1" s="1"/>
  <c r="S979" i="1"/>
  <c r="T979" i="1" s="1"/>
  <c r="U979" i="1" s="1"/>
  <c r="S980" i="1"/>
  <c r="T980" i="1" s="1"/>
  <c r="U980" i="1" s="1"/>
  <c r="S981" i="1"/>
  <c r="T981" i="1" s="1"/>
  <c r="U981" i="1" s="1"/>
  <c r="S982" i="1"/>
  <c r="T982" i="1" s="1"/>
  <c r="U982" i="1" s="1"/>
  <c r="S983" i="1"/>
  <c r="T983" i="1" s="1"/>
  <c r="U983" i="1" s="1"/>
  <c r="S984" i="1"/>
  <c r="T984" i="1" s="1"/>
  <c r="U984" i="1" s="1"/>
  <c r="S985" i="1"/>
  <c r="T985" i="1" s="1"/>
  <c r="U985" i="1" s="1"/>
  <c r="S986" i="1"/>
  <c r="T986" i="1" s="1"/>
  <c r="U986" i="1" s="1"/>
  <c r="S987" i="1"/>
  <c r="T987" i="1" s="1"/>
  <c r="U987" i="1" s="1"/>
  <c r="S988" i="1"/>
  <c r="T988" i="1" s="1"/>
  <c r="U988" i="1" s="1"/>
  <c r="S989" i="1"/>
  <c r="T989" i="1" s="1"/>
  <c r="U989" i="1" s="1"/>
  <c r="S990" i="1"/>
  <c r="T990" i="1" s="1"/>
  <c r="U990" i="1" s="1"/>
  <c r="S991" i="1"/>
  <c r="T991" i="1" s="1"/>
  <c r="U991" i="1" s="1"/>
  <c r="S992" i="1"/>
  <c r="T992" i="1" s="1"/>
  <c r="U992" i="1" s="1"/>
  <c r="S993" i="1"/>
  <c r="T993" i="1" s="1"/>
  <c r="U993" i="1" s="1"/>
  <c r="S994" i="1"/>
  <c r="T994" i="1" s="1"/>
  <c r="U994" i="1" s="1"/>
  <c r="S995" i="1"/>
  <c r="T995" i="1" s="1"/>
  <c r="U995" i="1" s="1"/>
  <c r="S996" i="1"/>
  <c r="T996" i="1" s="1"/>
  <c r="U996" i="1" s="1"/>
  <c r="S997" i="1"/>
  <c r="T997" i="1" s="1"/>
  <c r="U997" i="1" s="1"/>
  <c r="S998" i="1"/>
  <c r="T998" i="1" s="1"/>
  <c r="U998" i="1" s="1"/>
  <c r="S999" i="1"/>
  <c r="T999" i="1" s="1"/>
  <c r="U999" i="1" s="1"/>
  <c r="S1000" i="1"/>
  <c r="T1000" i="1" s="1"/>
  <c r="U1000" i="1" s="1"/>
  <c r="S1001" i="1"/>
  <c r="T1001" i="1" s="1"/>
  <c r="U1001" i="1" s="1"/>
  <c r="S3" i="1"/>
  <c r="T3" i="1" s="1"/>
  <c r="U3" i="1" s="1"/>
  <c r="S4" i="1"/>
  <c r="T4" i="1" s="1"/>
  <c r="U4" i="1" s="1"/>
  <c r="S5" i="1"/>
  <c r="T5" i="1" s="1"/>
  <c r="U5" i="1" s="1"/>
  <c r="S6" i="1"/>
  <c r="T6" i="1" s="1"/>
  <c r="U6" i="1" s="1"/>
  <c r="S7" i="1"/>
  <c r="T7" i="1" s="1"/>
  <c r="U7" i="1" s="1"/>
  <c r="S8" i="1"/>
  <c r="T8" i="1" s="1"/>
  <c r="U8" i="1" s="1"/>
  <c r="S9" i="1"/>
  <c r="T9" i="1" s="1"/>
  <c r="U9" i="1" s="1"/>
  <c r="S10" i="1"/>
  <c r="T10" i="1" s="1"/>
  <c r="U10" i="1" s="1"/>
  <c r="S11" i="1"/>
  <c r="T11" i="1" s="1"/>
  <c r="U11" i="1" s="1"/>
  <c r="S12" i="1"/>
  <c r="T12" i="1" s="1"/>
  <c r="U12" i="1" s="1"/>
  <c r="S13" i="1"/>
  <c r="T13" i="1" s="1"/>
  <c r="U13" i="1" s="1"/>
  <c r="S14" i="1"/>
  <c r="T14" i="1" s="1"/>
  <c r="U14" i="1" s="1"/>
  <c r="S15" i="1"/>
  <c r="T15" i="1" s="1"/>
  <c r="U15" i="1" s="1"/>
  <c r="S16" i="1"/>
  <c r="T16" i="1" s="1"/>
  <c r="U16" i="1" s="1"/>
  <c r="S17" i="1"/>
  <c r="T17" i="1" s="1"/>
  <c r="U17" i="1" s="1"/>
  <c r="S18" i="1"/>
  <c r="T18" i="1" s="1"/>
  <c r="U18" i="1" s="1"/>
  <c r="S19" i="1"/>
  <c r="T19" i="1" s="1"/>
  <c r="U19" i="1" s="1"/>
  <c r="S20" i="1"/>
  <c r="T20" i="1" s="1"/>
  <c r="U20" i="1" s="1"/>
  <c r="S21" i="1"/>
  <c r="T21" i="1" s="1"/>
  <c r="U21" i="1" s="1"/>
  <c r="S22" i="1"/>
  <c r="T22" i="1" s="1"/>
  <c r="U22" i="1" s="1"/>
  <c r="S23" i="1"/>
  <c r="T23" i="1" s="1"/>
  <c r="U23" i="1" s="1"/>
  <c r="S24" i="1"/>
  <c r="T24" i="1" s="1"/>
  <c r="U24" i="1" s="1"/>
  <c r="S25" i="1"/>
  <c r="T25" i="1" s="1"/>
  <c r="U25" i="1" s="1"/>
  <c r="S26" i="1"/>
  <c r="T26" i="1" s="1"/>
  <c r="U26" i="1" s="1"/>
  <c r="S27" i="1"/>
  <c r="T27" i="1" s="1"/>
  <c r="U27" i="1" s="1"/>
  <c r="S28" i="1"/>
  <c r="T28" i="1" s="1"/>
  <c r="U28" i="1" s="1"/>
  <c r="S29" i="1"/>
  <c r="T29" i="1" s="1"/>
  <c r="U29" i="1" s="1"/>
  <c r="S30" i="1"/>
  <c r="T30" i="1" s="1"/>
  <c r="U30" i="1" s="1"/>
  <c r="S2" i="1"/>
  <c r="T2" i="1" s="1"/>
  <c r="U2" i="1" s="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0" i="1"/>
  <c r="R61" i="1"/>
  <c r="R62" i="1"/>
  <c r="R63" i="1"/>
  <c r="R64" i="1"/>
  <c r="R65" i="1"/>
  <c r="R66" i="1"/>
  <c r="R67" i="1"/>
  <c r="R68" i="1"/>
  <c r="R69" i="1"/>
  <c r="R70" i="1"/>
  <c r="R71" i="1"/>
  <c r="R72" i="1"/>
  <c r="R48" i="1"/>
  <c r="R49" i="1"/>
  <c r="R50" i="1"/>
  <c r="R51" i="1"/>
  <c r="R52" i="1"/>
  <c r="R53" i="1"/>
  <c r="R54" i="1"/>
  <c r="R55" i="1"/>
  <c r="R56" i="1"/>
  <c r="R57" i="1"/>
  <c r="R58" i="1"/>
  <c r="R59" i="1"/>
  <c r="R33" i="1"/>
  <c r="R34" i="1"/>
  <c r="R35" i="1"/>
  <c r="R36" i="1"/>
  <c r="R37" i="1"/>
  <c r="R38" i="1"/>
  <c r="R39" i="1"/>
  <c r="R40" i="1"/>
  <c r="R41" i="1"/>
  <c r="R42" i="1"/>
  <c r="R43" i="1"/>
  <c r="R44" i="1"/>
  <c r="R45" i="1"/>
  <c r="R46" i="1"/>
  <c r="R47" i="1"/>
  <c r="R21" i="1"/>
  <c r="R22" i="1"/>
  <c r="R23" i="1"/>
  <c r="R24" i="1"/>
  <c r="R25" i="1"/>
  <c r="R26" i="1"/>
  <c r="R27" i="1"/>
  <c r="R28" i="1"/>
  <c r="R29" i="1"/>
  <c r="R30" i="1"/>
  <c r="R31" i="1"/>
  <c r="R32" i="1"/>
  <c r="R10" i="1"/>
  <c r="R11" i="1"/>
  <c r="R12" i="1"/>
  <c r="R13" i="1"/>
  <c r="R14" i="1"/>
  <c r="R15" i="1"/>
  <c r="R16" i="1"/>
  <c r="R17" i="1"/>
  <c r="R18" i="1"/>
  <c r="R19" i="1"/>
  <c r="R20" i="1"/>
  <c r="R9" i="1"/>
  <c r="R8" i="1"/>
  <c r="R7" i="1"/>
  <c r="R6" i="1"/>
  <c r="R5" i="1"/>
  <c r="R4" i="1"/>
  <c r="R3" i="1"/>
  <c r="R2" i="1"/>
</calcChain>
</file>

<file path=xl/sharedStrings.xml><?xml version="1.0" encoding="utf-8"?>
<sst xmlns="http://schemas.openxmlformats.org/spreadsheetml/2006/main" count="6111" uniqueCount="240">
  <si>
    <t>Product_ID</t>
  </si>
  <si>
    <t>Product_Name</t>
  </si>
  <si>
    <t>Category</t>
  </si>
  <si>
    <t>Supplier</t>
  </si>
  <si>
    <t>Stock_Quantity</t>
  </si>
  <si>
    <t>Units_Sold_Last_30_Days</t>
  </si>
  <si>
    <t>Units_Sold_Last_60_Days</t>
  </si>
  <si>
    <t>Price</t>
  </si>
  <si>
    <t>Reorder_Level</t>
  </si>
  <si>
    <t>Lead_Time_Days</t>
  </si>
  <si>
    <t>Last_Restock_Date</t>
  </si>
  <si>
    <t>Expiry_Days</t>
  </si>
  <si>
    <t>Customer_Rating</t>
  </si>
  <si>
    <t>Return_Quantity</t>
  </si>
  <si>
    <t>Discount_Applied</t>
  </si>
  <si>
    <t>Storage_Location</t>
  </si>
  <si>
    <t>Product_15</t>
  </si>
  <si>
    <t>Product_3</t>
  </si>
  <si>
    <t>Product_87</t>
  </si>
  <si>
    <t>Product_25</t>
  </si>
  <si>
    <t>Product_36</t>
  </si>
  <si>
    <t>Product_69</t>
  </si>
  <si>
    <t>Product_46</t>
  </si>
  <si>
    <t>Product_78</t>
  </si>
  <si>
    <t>Product_43</t>
  </si>
  <si>
    <t>Product_32</t>
  </si>
  <si>
    <t>Product_2</t>
  </si>
  <si>
    <t>Product_80</t>
  </si>
  <si>
    <t>Product_64</t>
  </si>
  <si>
    <t>Product_92</t>
  </si>
  <si>
    <t>Product_71</t>
  </si>
  <si>
    <t>Product_40</t>
  </si>
  <si>
    <t>Product_37</t>
  </si>
  <si>
    <t>Product_58</t>
  </si>
  <si>
    <t>Product_72</t>
  </si>
  <si>
    <t>Product_45</t>
  </si>
  <si>
    <t>Product_4</t>
  </si>
  <si>
    <t>Product_97</t>
  </si>
  <si>
    <t>Product_79</t>
  </si>
  <si>
    <t>Product_39</t>
  </si>
  <si>
    <t>Product_99</t>
  </si>
  <si>
    <t>Product_62</t>
  </si>
  <si>
    <t>Product_17</t>
  </si>
  <si>
    <t>Product_98</t>
  </si>
  <si>
    <t>Product_86</t>
  </si>
  <si>
    <t>Product_41</t>
  </si>
  <si>
    <t>Product_24</t>
  </si>
  <si>
    <t>Product_74</t>
  </si>
  <si>
    <t>Product_85</t>
  </si>
  <si>
    <t>Product_57</t>
  </si>
  <si>
    <t>Product_21</t>
  </si>
  <si>
    <t>Product_42</t>
  </si>
  <si>
    <t>Product_11</t>
  </si>
  <si>
    <t>Product_13</t>
  </si>
  <si>
    <t>Product_89</t>
  </si>
  <si>
    <t>Product_22</t>
  </si>
  <si>
    <t>Product_59</t>
  </si>
  <si>
    <t>Product_18</t>
  </si>
  <si>
    <t>Product_48</t>
  </si>
  <si>
    <t>Product_50</t>
  </si>
  <si>
    <t>Product_28</t>
  </si>
  <si>
    <t>Product_1</t>
  </si>
  <si>
    <t>Product_47</t>
  </si>
  <si>
    <t>Product_60</t>
  </si>
  <si>
    <t>Product_61</t>
  </si>
  <si>
    <t>Product_68</t>
  </si>
  <si>
    <t>Product_76</t>
  </si>
  <si>
    <t>Product_88</t>
  </si>
  <si>
    <t>Product_51</t>
  </si>
  <si>
    <t>Product_93</t>
  </si>
  <si>
    <t>Product_49</t>
  </si>
  <si>
    <t>Product_30</t>
  </si>
  <si>
    <t>Product_53</t>
  </si>
  <si>
    <t>Product_84</t>
  </si>
  <si>
    <t>Product_5</t>
  </si>
  <si>
    <t>Product_67</t>
  </si>
  <si>
    <t>Product_52</t>
  </si>
  <si>
    <t>Product_94</t>
  </si>
  <si>
    <t>Product_14</t>
  </si>
  <si>
    <t>Product_75</t>
  </si>
  <si>
    <t>Product_38</t>
  </si>
  <si>
    <t>Product_34</t>
  </si>
  <si>
    <t>Product_82</t>
  </si>
  <si>
    <t>Product_44</t>
  </si>
  <si>
    <t>Product_26</t>
  </si>
  <si>
    <t>Product_6</t>
  </si>
  <si>
    <t>Product_35</t>
  </si>
  <si>
    <t>Product_54</t>
  </si>
  <si>
    <t>Product_65</t>
  </si>
  <si>
    <t>Product_33</t>
  </si>
  <si>
    <t>Product_83</t>
  </si>
  <si>
    <t>Product_9</t>
  </si>
  <si>
    <t>Product_27</t>
  </si>
  <si>
    <t>Product_100</t>
  </si>
  <si>
    <t>Product_8</t>
  </si>
  <si>
    <t>Product_31</t>
  </si>
  <si>
    <t>Product_81</t>
  </si>
  <si>
    <t>Product_73</t>
  </si>
  <si>
    <t>Product_56</t>
  </si>
  <si>
    <t>Product_90</t>
  </si>
  <si>
    <t>Product_55</t>
  </si>
  <si>
    <t>Product_29</t>
  </si>
  <si>
    <t>Product_91</t>
  </si>
  <si>
    <t>Product_96</t>
  </si>
  <si>
    <t>Product_66</t>
  </si>
  <si>
    <t>Product_16</t>
  </si>
  <si>
    <t>Product_10</t>
  </si>
  <si>
    <t>Product_20</t>
  </si>
  <si>
    <t>Product_19</t>
  </si>
  <si>
    <t>Product_70</t>
  </si>
  <si>
    <t>Product_7</t>
  </si>
  <si>
    <t>Product_95</t>
  </si>
  <si>
    <t>Product_63</t>
  </si>
  <si>
    <t>Product_23</t>
  </si>
  <si>
    <t>Product_77</t>
  </si>
  <si>
    <t>Product_12</t>
  </si>
  <si>
    <t>Stationery</t>
  </si>
  <si>
    <t>Electronics</t>
  </si>
  <si>
    <t>Clothing</t>
  </si>
  <si>
    <t>Food</t>
  </si>
  <si>
    <t>Home</t>
  </si>
  <si>
    <t>Supplier_C</t>
  </si>
  <si>
    <t>Supplier_B</t>
  </si>
  <si>
    <t>Supplier_D</t>
  </si>
  <si>
    <t>Supplier_A</t>
  </si>
  <si>
    <t>2026-03-04</t>
  </si>
  <si>
    <t>2026-02-15</t>
  </si>
  <si>
    <t>2026-01-29</t>
  </si>
  <si>
    <t>2026-02-03</t>
  </si>
  <si>
    <t>2026-01-10</t>
  </si>
  <si>
    <t>2026-03-15</t>
  </si>
  <si>
    <t>2026-01-31</t>
  </si>
  <si>
    <t>2026-03-17</t>
  </si>
  <si>
    <t>2026-02-09</t>
  </si>
  <si>
    <t>2026-02-07</t>
  </si>
  <si>
    <t>2026-01-08</t>
  </si>
  <si>
    <t>2026-03-26</t>
  </si>
  <si>
    <t>2026-02-27</t>
  </si>
  <si>
    <t>2026-03-19</t>
  </si>
  <si>
    <t>2026-01-03</t>
  </si>
  <si>
    <t>2026-02-06</t>
  </si>
  <si>
    <t>2026-01-05</t>
  </si>
  <si>
    <t>2026-01-01</t>
  </si>
  <si>
    <t>2026-03-21</t>
  </si>
  <si>
    <t>2026-01-23</t>
  </si>
  <si>
    <t>2026-03-06</t>
  </si>
  <si>
    <t>2026-03-07</t>
  </si>
  <si>
    <t>2026-01-22</t>
  </si>
  <si>
    <t>2026-01-15</t>
  </si>
  <si>
    <t>2026-02-01</t>
  </si>
  <si>
    <t>2026-01-11</t>
  </si>
  <si>
    <t>2026-03-05</t>
  </si>
  <si>
    <t>2026-03-10</t>
  </si>
  <si>
    <t>2026-03-14</t>
  </si>
  <si>
    <t>2026-02-17</t>
  </si>
  <si>
    <t>2026-02-10</t>
  </si>
  <si>
    <t>2026-01-26</t>
  </si>
  <si>
    <t>2026-03-11</t>
  </si>
  <si>
    <t>2026-03-22</t>
  </si>
  <si>
    <t>2026-01-20</t>
  </si>
  <si>
    <t>2026-03-23</t>
  </si>
  <si>
    <t>2026-01-30</t>
  </si>
  <si>
    <t>2026-03-16</t>
  </si>
  <si>
    <t>2026-01-04</t>
  </si>
  <si>
    <t>2026-03-18</t>
  </si>
  <si>
    <t>2026-03-01</t>
  </si>
  <si>
    <t>2026-01-18</t>
  </si>
  <si>
    <t>2026-03-13</t>
  </si>
  <si>
    <t>2026-03-02</t>
  </si>
  <si>
    <t>2026-03-24</t>
  </si>
  <si>
    <t>2026-01-24</t>
  </si>
  <si>
    <t>2025-12-29</t>
  </si>
  <si>
    <t>2026-03-25</t>
  </si>
  <si>
    <t>2026-01-21</t>
  </si>
  <si>
    <t>2026-02-08</t>
  </si>
  <si>
    <t>2026-02-18</t>
  </si>
  <si>
    <t>2026-02-23</t>
  </si>
  <si>
    <t>2026-02-28</t>
  </si>
  <si>
    <t>2026-01-13</t>
  </si>
  <si>
    <t>2026-03-20</t>
  </si>
  <si>
    <t>2026-01-02</t>
  </si>
  <si>
    <t>2026-01-06</t>
  </si>
  <si>
    <t>2026-03-08</t>
  </si>
  <si>
    <t>2026-02-21</t>
  </si>
  <si>
    <t>2026-02-22</t>
  </si>
  <si>
    <t>2026-01-14</t>
  </si>
  <si>
    <t>2026-03-03</t>
  </si>
  <si>
    <t>2026-01-27</t>
  </si>
  <si>
    <t>2026-03-12</t>
  </si>
  <si>
    <t>2026-01-17</t>
  </si>
  <si>
    <t>2026-03-27</t>
  </si>
  <si>
    <t>2026-01-07</t>
  </si>
  <si>
    <t>2025-12-30</t>
  </si>
  <si>
    <t>2026-01-19</t>
  </si>
  <si>
    <t>2026-01-16</t>
  </si>
  <si>
    <t>2026-02-12</t>
  </si>
  <si>
    <t>2026-02-16</t>
  </si>
  <si>
    <t>2025-12-31</t>
  </si>
  <si>
    <t>2026-03-09</t>
  </si>
  <si>
    <t>2026-02-25</t>
  </si>
  <si>
    <t>2026-01-25</t>
  </si>
  <si>
    <t>2026-02-02</t>
  </si>
  <si>
    <t>2026-03-28</t>
  </si>
  <si>
    <t>2026-01-28</t>
  </si>
  <si>
    <t>2026-02-20</t>
  </si>
  <si>
    <t>2026-02-11</t>
  </si>
  <si>
    <t>2026-02-24</t>
  </si>
  <si>
    <t>2026-02-14</t>
  </si>
  <si>
    <t>2026-02-26</t>
  </si>
  <si>
    <t>2026-02-19</t>
  </si>
  <si>
    <t>2026-02-04</t>
  </si>
  <si>
    <t>2026-02-05</t>
  </si>
  <si>
    <t>2026-01-09</t>
  </si>
  <si>
    <t>2026-01-12</t>
  </si>
  <si>
    <t>2026-02-13</t>
  </si>
  <si>
    <t>No</t>
  </si>
  <si>
    <t>Yes</t>
  </si>
  <si>
    <t>Warehouse_A</t>
  </si>
  <si>
    <t>Warehouse_B</t>
  </si>
  <si>
    <t>Store</t>
  </si>
  <si>
    <t>SALES TREND</t>
  </si>
  <si>
    <t>TURNOVER RATIO</t>
  </si>
  <si>
    <t>RISK LEVEL</t>
  </si>
  <si>
    <t xml:space="preserve">RECOMMENDED ACTION </t>
  </si>
  <si>
    <t>Row Labels</t>
  </si>
  <si>
    <t>Grand Total</t>
  </si>
  <si>
    <t>Count of Product_ID</t>
  </si>
  <si>
    <t>Column Labels</t>
  </si>
  <si>
    <t>COST_PRICE</t>
  </si>
  <si>
    <t>Sum of TURNOVER RATIO</t>
  </si>
  <si>
    <t>High Risk</t>
  </si>
  <si>
    <t>Low Risk</t>
  </si>
  <si>
    <t>Medium Risk</t>
  </si>
  <si>
    <t>Sum of Product_ID</t>
  </si>
  <si>
    <t>KPI Name</t>
  </si>
  <si>
    <t>Value</t>
  </si>
  <si>
    <t>Total Products</t>
  </si>
  <si>
    <t>Avg Turnover</t>
  </si>
  <si>
    <t>HIGH RISK %</t>
  </si>
  <si>
    <t>High-risk products require immediate attention to avoid dead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</si>
</sst>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9C0006"/>
      <name val="Calibri"/>
      <family val="2"/>
      <scheme val="minor"/>
    </font>
    <font>
      <sz val="11"/>
      <color rgb="FFFF0000"/>
      <name val="Calibri"/>
      <family val="2"/>
      <scheme val="minor"/>
    </font>
    <font>
      <sz val="11"/>
      <color theme="0"/>
      <name val="Calibri"/>
      <family val="2"/>
      <scheme val="minor"/>
    </font>
    <font>
      <sz val="16"/>
      <color rgb="FFFF0000"/>
      <name val="Calibri"/>
      <family val="2"/>
      <scheme val="minor"/>
    </font>
    <font>
      <sz val="14"/>
      <color theme="1"/>
      <name val="Calibri"/>
      <family val="2"/>
      <scheme val="minor"/>
    </font>
    <font>
      <sz val="14"/>
      <color theme="1"/>
      <name val="Arial Black"/>
      <family val="2"/>
    </font>
    <font>
      <sz val="14"/>
      <color theme="0"/>
      <name val="Calibri"/>
      <family val="2"/>
      <scheme val="minor"/>
    </font>
    <font>
      <sz val="14"/>
      <color rgb="FF9C0006"/>
      <name val="Calibri"/>
      <family val="2"/>
      <scheme val="minor"/>
    </font>
  </fonts>
  <fills count="13">
    <fill>
      <patternFill patternType="none"/>
    </fill>
    <fill>
      <patternFill patternType="gray125"/>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6"/>
      </patternFill>
    </fill>
    <fill>
      <patternFill patternType="solid">
        <fgColor theme="6" tint="0.39997558519241921"/>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s>
  <cellStyleXfs count="13">
    <xf numFmtId="0" fontId="0" fillId="0" borderId="0"/>
    <xf numFmtId="0" fontId="3" fillId="2" borderId="0" applyNumberFormat="0" applyBorder="0" applyAlignment="0" applyProtection="0"/>
    <xf numFmtId="0" fontId="4" fillId="0" borderId="0" applyNumberFormat="0" applyFill="0" applyBorder="0" applyAlignment="0" applyProtection="0"/>
    <xf numFmtId="0" fontId="5"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5" fillId="6" borderId="0" applyNumberFormat="0" applyBorder="0" applyAlignment="0" applyProtection="0"/>
    <xf numFmtId="0" fontId="2" fillId="7" borderId="0" applyNumberFormat="0" applyBorder="0" applyAlignment="0" applyProtection="0"/>
    <xf numFmtId="0" fontId="5"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5" fillId="11" borderId="0" applyNumberFormat="0" applyBorder="0" applyAlignment="0" applyProtection="0"/>
    <xf numFmtId="0" fontId="2" fillId="12" borderId="0" applyNumberFormat="0" applyBorder="0" applyAlignment="0" applyProtection="0"/>
  </cellStyleXfs>
  <cellXfs count="2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1" fillId="0" borderId="4" xfId="0" applyFont="1" applyBorder="1" applyAlignment="1">
      <alignment horizontal="center" vertical="top"/>
    </xf>
    <xf numFmtId="0" fontId="0" fillId="0" borderId="0" xfId="0" applyAlignment="1">
      <alignment horizontal="left" indent="1"/>
    </xf>
    <xf numFmtId="0" fontId="6" fillId="0" borderId="0" xfId="2" applyFont="1" applyAlignment="1">
      <alignment horizontal="center" vertical="center" wrapText="1"/>
    </xf>
    <xf numFmtId="0" fontId="7" fillId="0" borderId="0" xfId="0" applyFont="1"/>
    <xf numFmtId="0" fontId="8" fillId="0" borderId="0" xfId="0" applyFont="1"/>
    <xf numFmtId="0" fontId="7" fillId="10" borderId="0" xfId="10" applyFont="1" applyAlignment="1">
      <alignment vertical="center" wrapText="1"/>
    </xf>
    <xf numFmtId="0" fontId="9" fillId="3" borderId="0" xfId="3" applyFont="1" applyAlignment="1">
      <alignment vertical="center" wrapText="1"/>
    </xf>
    <xf numFmtId="0" fontId="10" fillId="2" borderId="0" xfId="1" applyFont="1" applyAlignment="1">
      <alignment vertical="center" wrapText="1"/>
    </xf>
    <xf numFmtId="0" fontId="9" fillId="6" borderId="0" xfId="6" applyFont="1" applyAlignment="1">
      <alignment vertical="center" wrapText="1"/>
    </xf>
    <xf numFmtId="0" fontId="7" fillId="12" borderId="3" xfId="12" applyFont="1" applyBorder="1" applyAlignment="1">
      <alignment vertical="center" wrapText="1"/>
    </xf>
    <xf numFmtId="0" fontId="9" fillId="11" borderId="0" xfId="11" applyFont="1" applyAlignment="1">
      <alignment vertical="center" wrapText="1"/>
    </xf>
    <xf numFmtId="0" fontId="7" fillId="9" borderId="0" xfId="9" applyFont="1" applyAlignment="1">
      <alignment vertical="center" wrapText="1"/>
    </xf>
    <xf numFmtId="0" fontId="9" fillId="8" borderId="0" xfId="8" applyFont="1" applyAlignment="1">
      <alignment vertical="center" wrapText="1"/>
    </xf>
    <xf numFmtId="0" fontId="7" fillId="4" borderId="0" xfId="4" applyFont="1" applyAlignment="1">
      <alignment vertical="center" wrapText="1"/>
    </xf>
    <xf numFmtId="0" fontId="7" fillId="5" borderId="0" xfId="5" applyFont="1" applyAlignment="1">
      <alignment vertical="center" wrapText="1"/>
    </xf>
    <xf numFmtId="0" fontId="7" fillId="7" borderId="0" xfId="7" applyFont="1" applyAlignment="1">
      <alignment vertical="center" wrapText="1"/>
    </xf>
    <xf numFmtId="0" fontId="9" fillId="6" borderId="0" xfId="6" applyFont="1"/>
  </cellXfs>
  <cellStyles count="13">
    <cellStyle name="20% - Accent1" xfId="4" builtinId="30"/>
    <cellStyle name="20% - Accent2" xfId="7" builtinId="34"/>
    <cellStyle name="20% - Accent6" xfId="12" builtinId="50"/>
    <cellStyle name="40% - Accent1" xfId="5" builtinId="31"/>
    <cellStyle name="40% - Accent5" xfId="10" builtinId="47"/>
    <cellStyle name="60% - Accent3" xfId="9" builtinId="40"/>
    <cellStyle name="Accent1" xfId="3" builtinId="29"/>
    <cellStyle name="Accent2" xfId="6" builtinId="33"/>
    <cellStyle name="Accent3" xfId="8" builtinId="37"/>
    <cellStyle name="Accent6" xfId="11" builtinId="49"/>
    <cellStyle name="Bad" xfId="1" builtinId="27"/>
    <cellStyle name="Normal" xfId="0" builtinId="0"/>
    <cellStyle name="Warning Text" xfId="2" builtin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[shelf_logic_dataset_advanced FINAL DATASET.xlsx]PIVOT TABLE!PivotTable4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RISK LEVEL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'PIVOT TABLE'!$B$3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C7-4A6C-94B7-BFD214A0AD3E}"/>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C7-4A6C-94B7-BFD214A0AD3E}"/>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C7-4A6C-94B7-BFD214A0AD3E}"/>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0C7-4A6C-94B7-BFD214A0AD3E}"/>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0C7-4A6C-94B7-BFD214A0AD3E}"/>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0C7-4A6C-94B7-BFD214A0AD3E}"/>
              </c:ext>
            </c:extLst>
          </c:dPt>
          <c:dPt>
            <c:idx val="6"/>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E0C7-4A6C-94B7-BFD214A0AD3E}"/>
              </c:ext>
            </c:extLst>
          </c:dPt>
          <c:dPt>
            <c:idx val="7"/>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E0C7-4A6C-94B7-BFD214A0AD3E}"/>
              </c:ext>
            </c:extLst>
          </c:dPt>
          <c:dPt>
            <c:idx val="8"/>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E0C7-4A6C-94B7-BFD214A0AD3E}"/>
              </c:ext>
            </c:extLst>
          </c:dPt>
          <c:dPt>
            <c:idx val="9"/>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E0C7-4A6C-94B7-BFD214A0AD3E}"/>
              </c:ext>
            </c:extLst>
          </c:dPt>
          <c:dPt>
            <c:idx val="10"/>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E0C7-4A6C-94B7-BFD214A0AD3E}"/>
              </c:ext>
            </c:extLst>
          </c:dPt>
          <c:dPt>
            <c:idx val="1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E0C7-4A6C-94B7-BFD214A0AD3E}"/>
              </c:ext>
            </c:extLst>
          </c:dPt>
          <c:dPt>
            <c:idx val="12"/>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E0C7-4A6C-94B7-BFD214A0AD3E}"/>
              </c:ext>
            </c:extLst>
          </c:dPt>
          <c:cat>
            <c:multiLvlStrRef>
              <c:f>'PIVOT TABLE'!$A$4:$A$8</c:f>
              <c:multiLvlStrCache>
                <c:ptCount val="3"/>
                <c:lvl>
                  <c:pt idx="0">
                    <c:v>High Risk</c:v>
                  </c:pt>
                  <c:pt idx="1">
                    <c:v>Low Risk</c:v>
                  </c:pt>
                  <c:pt idx="2">
                    <c:v>Medium Risk</c:v>
                  </c:pt>
                </c:lvl>
                <c:lvl>
                  <c:pt idx="0">
                    <c:v>Supplier_C</c:v>
                  </c:pt>
                </c:lvl>
              </c:multiLvlStrCache>
            </c:multiLvlStrRef>
          </c:cat>
          <c:val>
            <c:numRef>
              <c:f>'PIVOT TABLE'!$B$4:$B$8</c:f>
              <c:numCache>
                <c:formatCode>General</c:formatCode>
                <c:ptCount val="3"/>
                <c:pt idx="0">
                  <c:v>25</c:v>
                </c:pt>
                <c:pt idx="1">
                  <c:v>26</c:v>
                </c:pt>
                <c:pt idx="2">
                  <c:v>23</c:v>
                </c:pt>
              </c:numCache>
            </c:numRef>
          </c:val>
          <c:extLst>
            <c:ext xmlns:c16="http://schemas.microsoft.com/office/drawing/2014/chart" uri="{C3380CC4-5D6E-409C-BE32-E72D297353CC}">
              <c16:uniqueId val="{00000000-482F-4E3F-B037-45C59F5B65D2}"/>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[shelf_logic_dataset_advanced FINAL DATASET.xlsx]PIVOT TABLE!PivotTable8</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IDENTIFY SLOW-MOVING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TABLE'!$N$4:$N$62</c:f>
              <c:strCache>
                <c:ptCount val="58"/>
                <c:pt idx="0">
                  <c:v>Product_39</c:v>
                </c:pt>
                <c:pt idx="1">
                  <c:v>Product_52</c:v>
                </c:pt>
                <c:pt idx="2">
                  <c:v>Product_58</c:v>
                </c:pt>
                <c:pt idx="3">
                  <c:v>Product_18</c:v>
                </c:pt>
                <c:pt idx="4">
                  <c:v>Product_83</c:v>
                </c:pt>
                <c:pt idx="5">
                  <c:v>Product_1</c:v>
                </c:pt>
                <c:pt idx="6">
                  <c:v>Product_49</c:v>
                </c:pt>
                <c:pt idx="7">
                  <c:v>Product_48</c:v>
                </c:pt>
                <c:pt idx="8">
                  <c:v>Product_73</c:v>
                </c:pt>
                <c:pt idx="9">
                  <c:v>Product_72</c:v>
                </c:pt>
                <c:pt idx="10">
                  <c:v>Product_96</c:v>
                </c:pt>
                <c:pt idx="11">
                  <c:v>Product_12</c:v>
                </c:pt>
                <c:pt idx="12">
                  <c:v>Product_65</c:v>
                </c:pt>
                <c:pt idx="13">
                  <c:v>Product_92</c:v>
                </c:pt>
                <c:pt idx="14">
                  <c:v>Product_85</c:v>
                </c:pt>
                <c:pt idx="15">
                  <c:v>Product_40</c:v>
                </c:pt>
                <c:pt idx="16">
                  <c:v>Product_86</c:v>
                </c:pt>
                <c:pt idx="17">
                  <c:v>Product_46</c:v>
                </c:pt>
                <c:pt idx="18">
                  <c:v>Product_94</c:v>
                </c:pt>
                <c:pt idx="19">
                  <c:v>Product_4</c:v>
                </c:pt>
                <c:pt idx="20">
                  <c:v>Product_60</c:v>
                </c:pt>
                <c:pt idx="21">
                  <c:v>Product_11</c:v>
                </c:pt>
                <c:pt idx="22">
                  <c:v>Product_53</c:v>
                </c:pt>
                <c:pt idx="23">
                  <c:v>Product_81</c:v>
                </c:pt>
                <c:pt idx="24">
                  <c:v>Product_87</c:v>
                </c:pt>
                <c:pt idx="25">
                  <c:v>Product_3</c:v>
                </c:pt>
                <c:pt idx="26">
                  <c:v>Product_38</c:v>
                </c:pt>
                <c:pt idx="27">
                  <c:v>Product_62</c:v>
                </c:pt>
                <c:pt idx="28">
                  <c:v>Product_9</c:v>
                </c:pt>
                <c:pt idx="29">
                  <c:v>Product_61</c:v>
                </c:pt>
                <c:pt idx="30">
                  <c:v>Product_98</c:v>
                </c:pt>
                <c:pt idx="31">
                  <c:v>Product_41</c:v>
                </c:pt>
                <c:pt idx="32">
                  <c:v>Product_6</c:v>
                </c:pt>
                <c:pt idx="33">
                  <c:v>Product_33</c:v>
                </c:pt>
                <c:pt idx="34">
                  <c:v>Product_69</c:v>
                </c:pt>
                <c:pt idx="35">
                  <c:v>Product_54</c:v>
                </c:pt>
                <c:pt idx="36">
                  <c:v>Product_43</c:v>
                </c:pt>
                <c:pt idx="37">
                  <c:v>Product_13</c:v>
                </c:pt>
                <c:pt idx="38">
                  <c:v>Product_32</c:v>
                </c:pt>
                <c:pt idx="39">
                  <c:v>Product_64</c:v>
                </c:pt>
                <c:pt idx="40">
                  <c:v>Product_59</c:v>
                </c:pt>
                <c:pt idx="41">
                  <c:v>Product_68</c:v>
                </c:pt>
                <c:pt idx="42">
                  <c:v>Product_89</c:v>
                </c:pt>
                <c:pt idx="43">
                  <c:v>Product_5</c:v>
                </c:pt>
                <c:pt idx="44">
                  <c:v>Product_82</c:v>
                </c:pt>
                <c:pt idx="45">
                  <c:v>Product_29</c:v>
                </c:pt>
                <c:pt idx="46">
                  <c:v>Product_79</c:v>
                </c:pt>
                <c:pt idx="47">
                  <c:v>Product_36</c:v>
                </c:pt>
                <c:pt idx="48">
                  <c:v>Product_2</c:v>
                </c:pt>
                <c:pt idx="49">
                  <c:v>Product_50</c:v>
                </c:pt>
                <c:pt idx="50">
                  <c:v>Product_28</c:v>
                </c:pt>
                <c:pt idx="51">
                  <c:v>Product_99</c:v>
                </c:pt>
                <c:pt idx="52">
                  <c:v>Product_37</c:v>
                </c:pt>
                <c:pt idx="53">
                  <c:v>Product_70</c:v>
                </c:pt>
                <c:pt idx="54">
                  <c:v>Product_75</c:v>
                </c:pt>
                <c:pt idx="55">
                  <c:v>Product_78</c:v>
                </c:pt>
                <c:pt idx="56">
                  <c:v>Product_74</c:v>
                </c:pt>
                <c:pt idx="57">
                  <c:v>Product_45</c:v>
                </c:pt>
              </c:strCache>
            </c:strRef>
          </c:cat>
          <c:val>
            <c:numRef>
              <c:f>'PIVOT TABLE'!$O$4:$O$62</c:f>
              <c:numCache>
                <c:formatCode>General</c:formatCode>
                <c:ptCount val="58"/>
                <c:pt idx="0">
                  <c:v>5.1643192488262914E-2</c:v>
                </c:pt>
                <c:pt idx="1">
                  <c:v>0.14000000000000001</c:v>
                </c:pt>
                <c:pt idx="2">
                  <c:v>0.17486338797814208</c:v>
                </c:pt>
                <c:pt idx="3">
                  <c:v>0.28773584905660377</c:v>
                </c:pt>
                <c:pt idx="4">
                  <c:v>0.38048780487804879</c:v>
                </c:pt>
                <c:pt idx="5">
                  <c:v>0.41987179487179488</c:v>
                </c:pt>
                <c:pt idx="6">
                  <c:v>0.47695852534562211</c:v>
                </c:pt>
                <c:pt idx="7">
                  <c:v>0.50134048257372654</c:v>
                </c:pt>
                <c:pt idx="8">
                  <c:v>0.52012383900928794</c:v>
                </c:pt>
                <c:pt idx="9">
                  <c:v>0.52136569117297171</c:v>
                </c:pt>
                <c:pt idx="10">
                  <c:v>0.59437751004016059</c:v>
                </c:pt>
                <c:pt idx="11">
                  <c:v>0.60550458715596334</c:v>
                </c:pt>
                <c:pt idx="12">
                  <c:v>0.65978703655958326</c:v>
                </c:pt>
                <c:pt idx="13">
                  <c:v>0.67374005305039786</c:v>
                </c:pt>
                <c:pt idx="14">
                  <c:v>0.78128313891834567</c:v>
                </c:pt>
                <c:pt idx="15">
                  <c:v>0.82926829268292679</c:v>
                </c:pt>
                <c:pt idx="16">
                  <c:v>0.83177570093457942</c:v>
                </c:pt>
                <c:pt idx="17">
                  <c:v>0.90776699029126218</c:v>
                </c:pt>
                <c:pt idx="18">
                  <c:v>0.9178082191780822</c:v>
                </c:pt>
                <c:pt idx="19">
                  <c:v>0.96457969078443317</c:v>
                </c:pt>
                <c:pt idx="20">
                  <c:v>0.98193223443223454</c:v>
                </c:pt>
                <c:pt idx="21">
                  <c:v>1.080536912751678</c:v>
                </c:pt>
                <c:pt idx="22">
                  <c:v>1.1114245014245014</c:v>
                </c:pt>
                <c:pt idx="23">
                  <c:v>1.1140478286384976</c:v>
                </c:pt>
                <c:pt idx="24">
                  <c:v>1.14525250030868</c:v>
                </c:pt>
                <c:pt idx="25">
                  <c:v>1.1666666666666667</c:v>
                </c:pt>
                <c:pt idx="26">
                  <c:v>1.1990950226244343</c:v>
                </c:pt>
                <c:pt idx="27">
                  <c:v>1.2688679245283019</c:v>
                </c:pt>
                <c:pt idx="28">
                  <c:v>1.3</c:v>
                </c:pt>
                <c:pt idx="29">
                  <c:v>1.3260869565217392</c:v>
                </c:pt>
                <c:pt idx="30">
                  <c:v>1.3638888888888889</c:v>
                </c:pt>
                <c:pt idx="31">
                  <c:v>1.4081632653061225</c:v>
                </c:pt>
                <c:pt idx="32">
                  <c:v>1.4148067737733392</c:v>
                </c:pt>
                <c:pt idx="33">
                  <c:v>1.4645669291338583</c:v>
                </c:pt>
                <c:pt idx="34">
                  <c:v>1.5043478260869565</c:v>
                </c:pt>
                <c:pt idx="35">
                  <c:v>1.8611677753141169</c:v>
                </c:pt>
                <c:pt idx="36">
                  <c:v>1.8719211822660098</c:v>
                </c:pt>
                <c:pt idx="37">
                  <c:v>1.9949238578680204</c:v>
                </c:pt>
                <c:pt idx="38">
                  <c:v>2.1659970822578836</c:v>
                </c:pt>
                <c:pt idx="39">
                  <c:v>2.2119244008573102</c:v>
                </c:pt>
                <c:pt idx="40">
                  <c:v>2.2706087151841867</c:v>
                </c:pt>
                <c:pt idx="41">
                  <c:v>2.4341004538372957</c:v>
                </c:pt>
                <c:pt idx="42">
                  <c:v>2.5101694915254238</c:v>
                </c:pt>
                <c:pt idx="43">
                  <c:v>2.5423416432243671</c:v>
                </c:pt>
                <c:pt idx="44">
                  <c:v>2.5849056603773586</c:v>
                </c:pt>
                <c:pt idx="45">
                  <c:v>2.626947349838916</c:v>
                </c:pt>
                <c:pt idx="46">
                  <c:v>2.7125498891352553</c:v>
                </c:pt>
                <c:pt idx="47">
                  <c:v>3.0098583615000805</c:v>
                </c:pt>
                <c:pt idx="48">
                  <c:v>3.1010101010101012</c:v>
                </c:pt>
                <c:pt idx="49">
                  <c:v>3.248946653191326</c:v>
                </c:pt>
                <c:pt idx="50">
                  <c:v>3.4574165293686541</c:v>
                </c:pt>
                <c:pt idx="51">
                  <c:v>3.4871794871794872</c:v>
                </c:pt>
                <c:pt idx="52">
                  <c:v>4.3641147725848892</c:v>
                </c:pt>
                <c:pt idx="53">
                  <c:v>4.3979591836734695</c:v>
                </c:pt>
                <c:pt idx="54">
                  <c:v>4.4705882352941178</c:v>
                </c:pt>
                <c:pt idx="55">
                  <c:v>7.245580808080808</c:v>
                </c:pt>
                <c:pt idx="56">
                  <c:v>11.828874119310244</c:v>
                </c:pt>
                <c:pt idx="57">
                  <c:v>12.5625</c:v>
                </c:pt>
              </c:numCache>
            </c:numRef>
          </c:val>
          <c:extLst>
            <c:ext xmlns:c16="http://schemas.microsoft.com/office/drawing/2014/chart" uri="{C3380CC4-5D6E-409C-BE32-E72D297353CC}">
              <c16:uniqueId val="{00000000-D2C7-456A-928E-92E63C463BFD}"/>
            </c:ext>
          </c:extLst>
        </c:ser>
        <c:dLbls>
          <c:showLegendKey val="0"/>
          <c:showVal val="0"/>
          <c:showCatName val="0"/>
          <c:showSerName val="0"/>
          <c:showPercent val="0"/>
          <c:showBubbleSize val="0"/>
        </c:dLbls>
        <c:gapWidth val="182"/>
        <c:overlap val="-50"/>
        <c:axId val="1957921391"/>
        <c:axId val="1957921871"/>
      </c:barChart>
      <c:catAx>
        <c:axId val="19579213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7921871"/>
        <c:crosses val="autoZero"/>
        <c:auto val="1"/>
        <c:lblAlgn val="ctr"/>
        <c:lblOffset val="100"/>
        <c:noMultiLvlLbl val="0"/>
      </c:catAx>
      <c:valAx>
        <c:axId val="19579218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792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[shelf_logic_dataset_advanced FINAL DATASET.xlsx]PIVOT TABLE!PivotTable11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CHATEGORY-WISE</a:t>
            </a:r>
            <a:r>
              <a:rPr lang="en-IN" baseline="0"/>
              <a: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TABLE'!$C$31:$C$32</c:f>
              <c:strCache>
                <c:ptCount val="1"/>
                <c:pt idx="0">
                  <c:v>High Risk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TABLE'!$C$33:$C$38</c:f>
              <c:numCache>
                <c:formatCode>General</c:formatCode>
                <c:ptCount val="5"/>
                <c:pt idx="0">
                  <c:v>12778</c:v>
                </c:pt>
                <c:pt idx="1">
                  <c:v>13355</c:v>
                </c:pt>
                <c:pt idx="2">
                  <c:v>10585</c:v>
                </c:pt>
                <c:pt idx="3">
                  <c:v>8728</c:v>
                </c:pt>
                <c:pt idx="4">
                  <c:v>6367</c:v>
                </c:pt>
              </c:numCache>
            </c:numRef>
          </c:val>
          <c:extLst>
            <c:ext xmlns:c16="http://schemas.microsoft.com/office/drawing/2014/chart" uri="{C3380CC4-5D6E-409C-BE32-E72D297353CC}">
              <c16:uniqueId val="{00000000-D5F4-4936-9207-6C746B3EC5C4}"/>
            </c:ext>
          </c:extLst>
        </c:ser>
        <c:ser>
          <c:idx val="1"/>
          <c:order val="1"/>
          <c:tx>
            <c:strRef>
              <c:f>'PIVOT TABLE'!$D$31:$D$32</c:f>
              <c:strCache>
                <c:ptCount val="1"/>
                <c:pt idx="0">
                  <c:v>Low Risk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TABLE'!$D$33:$D$38</c:f>
              <c:numCache>
                <c:formatCode>General</c:formatCode>
                <c:ptCount val="5"/>
                <c:pt idx="0">
                  <c:v>11571</c:v>
                </c:pt>
                <c:pt idx="1">
                  <c:v>12764</c:v>
                </c:pt>
                <c:pt idx="2">
                  <c:v>14822</c:v>
                </c:pt>
                <c:pt idx="3">
                  <c:v>11740</c:v>
                </c:pt>
                <c:pt idx="4">
                  <c:v>10226</c:v>
                </c:pt>
              </c:numCache>
            </c:numRef>
          </c:val>
          <c:extLst>
            <c:ext xmlns:c16="http://schemas.microsoft.com/office/drawing/2014/chart" uri="{C3380CC4-5D6E-409C-BE32-E72D297353CC}">
              <c16:uniqueId val="{00000001-D5F4-4936-9207-6C746B3EC5C4}"/>
            </c:ext>
          </c:extLst>
        </c:ser>
        <c:ser>
          <c:idx val="2"/>
          <c:order val="2"/>
          <c:tx>
            <c:strRef>
              <c:f>'PIVOT TABLE'!$E$31:$E$32</c:f>
              <c:strCache>
                <c:ptCount val="1"/>
                <c:pt idx="0">
                  <c:v>Medium Risk</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TABLE'!$E$33:$E$38</c:f>
              <c:numCache>
                <c:formatCode>General</c:formatCode>
                <c:ptCount val="5"/>
                <c:pt idx="0">
                  <c:v>6489</c:v>
                </c:pt>
                <c:pt idx="1">
                  <c:v>12826</c:v>
                </c:pt>
                <c:pt idx="2">
                  <c:v>15058</c:v>
                </c:pt>
                <c:pt idx="3">
                  <c:v>9269</c:v>
                </c:pt>
                <c:pt idx="4">
                  <c:v>17039</c:v>
                </c:pt>
              </c:numCache>
            </c:numRef>
          </c:val>
          <c:extLst>
            <c:ext xmlns:c16="http://schemas.microsoft.com/office/drawing/2014/chart" uri="{C3380CC4-5D6E-409C-BE32-E72D297353CC}">
              <c16:uniqueId val="{00000002-D5F4-4936-9207-6C746B3EC5C4}"/>
            </c:ext>
          </c:extLst>
        </c:ser>
        <c:dLbls>
          <c:showLegendKey val="0"/>
          <c:showVal val="0"/>
          <c:showCatName val="0"/>
          <c:showSerName val="0"/>
          <c:showPercent val="0"/>
          <c:showBubbleSize val="0"/>
        </c:dLbls>
        <c:gapWidth val="115"/>
        <c:overlap val="-20"/>
        <c:axId val="1951851135"/>
        <c:axId val="1951853055"/>
      </c:barChart>
      <c:catAx>
        <c:axId val="19518511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853055"/>
        <c:crosses val="autoZero"/>
        <c:auto val="1"/>
        <c:lblAlgn val="ctr"/>
        <c:lblOffset val="100"/>
        <c:noMultiLvlLbl val="0"/>
      </c:catAx>
      <c:valAx>
        <c:axId val="19518530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8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[shelf_logic_dataset_advanced FINAL DATASET.xlsx]PIVOT TABLE!PivotTable4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INVENTORY</a:t>
            </a:r>
            <a:r>
              <a:rPr lang="en-US" baseline="0"/>
              <a:t> RISK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'PIVOT TABLE'!$B$3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9B2-4DE6-A643-6444D32B0F0B}"/>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9B2-4DE6-A643-6444D32B0F0B}"/>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9B2-4DE6-A643-6444D32B0F0B}"/>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9B2-4DE6-A643-6444D32B0F0B}"/>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9B2-4DE6-A643-6444D32B0F0B}"/>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9B2-4DE6-A643-6444D32B0F0B}"/>
              </c:ext>
            </c:extLst>
          </c:dPt>
          <c:dPt>
            <c:idx val="6"/>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9B2-4DE6-A643-6444D32B0F0B}"/>
              </c:ext>
            </c:extLst>
          </c:dPt>
          <c:dPt>
            <c:idx val="7"/>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09B2-4DE6-A643-6444D32B0F0B}"/>
              </c:ext>
            </c:extLst>
          </c:dPt>
          <c:dPt>
            <c:idx val="8"/>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09B2-4DE6-A643-6444D32B0F0B}"/>
              </c:ext>
            </c:extLst>
          </c:dPt>
          <c:dPt>
            <c:idx val="9"/>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09B2-4DE6-A643-6444D32B0F0B}"/>
              </c:ext>
            </c:extLst>
          </c:dPt>
          <c:dPt>
            <c:idx val="10"/>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09B2-4DE6-A643-6444D32B0F0B}"/>
              </c:ext>
            </c:extLst>
          </c:dPt>
          <c:dPt>
            <c:idx val="1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09B2-4DE6-A643-6444D32B0F0B}"/>
              </c:ext>
            </c:extLst>
          </c:dPt>
          <c:dPt>
            <c:idx val="12"/>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09B2-4DE6-A643-6444D32B0F0B}"/>
              </c:ext>
            </c:extLst>
          </c:dPt>
          <c:cat>
            <c:multiLvlStrRef>
              <c:f>'PIVOT TABLE'!$A$4:$A$8</c:f>
              <c:multiLvlStrCache>
                <c:ptCount val="3"/>
                <c:lvl>
                  <c:pt idx="0">
                    <c:v>High Risk</c:v>
                  </c:pt>
                  <c:pt idx="1">
                    <c:v>Low Risk</c:v>
                  </c:pt>
                  <c:pt idx="2">
                    <c:v>Medium Risk</c:v>
                  </c:pt>
                </c:lvl>
                <c:lvl>
                  <c:pt idx="0">
                    <c:v>Supplier_C</c:v>
                  </c:pt>
                </c:lvl>
              </c:multiLvlStrCache>
            </c:multiLvlStrRef>
          </c:cat>
          <c:val>
            <c:numRef>
              <c:f>'PIVOT TABLE'!$B$4:$B$8</c:f>
              <c:numCache>
                <c:formatCode>General</c:formatCode>
                <c:ptCount val="3"/>
                <c:pt idx="0">
                  <c:v>25</c:v>
                </c:pt>
                <c:pt idx="1">
                  <c:v>26</c:v>
                </c:pt>
                <c:pt idx="2">
                  <c:v>23</c:v>
                </c:pt>
              </c:numCache>
            </c:numRef>
          </c:val>
          <c:extLst>
            <c:ext xmlns:c16="http://schemas.microsoft.com/office/drawing/2014/chart" uri="{C3380CC4-5D6E-409C-BE32-E72D297353CC}">
              <c16:uniqueId val="{0000001A-09B2-4DE6-A643-6444D32B0F0B}"/>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[shelf_logic_dataset_advanced FINAL DATASET.xlsx]PIVOT TABLE!PivotTable11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a:t>
            </a:r>
            <a:r>
              <a:rPr lang="en-IN" baseline="0"/>
              <a:t> RISK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TABLE'!$C$31:$C$32</c:f>
              <c:strCache>
                <c:ptCount val="1"/>
                <c:pt idx="0">
                  <c:v>High Risk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TABLE'!$C$33:$C$38</c:f>
              <c:numCache>
                <c:formatCode>General</c:formatCode>
                <c:ptCount val="5"/>
                <c:pt idx="0">
                  <c:v>12778</c:v>
                </c:pt>
                <c:pt idx="1">
                  <c:v>13355</c:v>
                </c:pt>
                <c:pt idx="2">
                  <c:v>10585</c:v>
                </c:pt>
                <c:pt idx="3">
                  <c:v>8728</c:v>
                </c:pt>
                <c:pt idx="4">
                  <c:v>6367</c:v>
                </c:pt>
              </c:numCache>
            </c:numRef>
          </c:val>
          <c:extLst>
            <c:ext xmlns:c16="http://schemas.microsoft.com/office/drawing/2014/chart" uri="{C3380CC4-5D6E-409C-BE32-E72D297353CC}">
              <c16:uniqueId val="{00000000-E611-4147-9093-ABAAD2A98354}"/>
            </c:ext>
          </c:extLst>
        </c:ser>
        <c:ser>
          <c:idx val="1"/>
          <c:order val="1"/>
          <c:tx>
            <c:strRef>
              <c:f>'PIVOT TABLE'!$D$31:$D$32</c:f>
              <c:strCache>
                <c:ptCount val="1"/>
                <c:pt idx="0">
                  <c:v>Low Risk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TABLE'!$D$33:$D$38</c:f>
              <c:numCache>
                <c:formatCode>General</c:formatCode>
                <c:ptCount val="5"/>
                <c:pt idx="0">
                  <c:v>11571</c:v>
                </c:pt>
                <c:pt idx="1">
                  <c:v>12764</c:v>
                </c:pt>
                <c:pt idx="2">
                  <c:v>14822</c:v>
                </c:pt>
                <c:pt idx="3">
                  <c:v>11740</c:v>
                </c:pt>
                <c:pt idx="4">
                  <c:v>10226</c:v>
                </c:pt>
              </c:numCache>
            </c:numRef>
          </c:val>
          <c:extLst>
            <c:ext xmlns:c16="http://schemas.microsoft.com/office/drawing/2014/chart" uri="{C3380CC4-5D6E-409C-BE32-E72D297353CC}">
              <c16:uniqueId val="{00000001-E611-4147-9093-ABAAD2A98354}"/>
            </c:ext>
          </c:extLst>
        </c:ser>
        <c:ser>
          <c:idx val="2"/>
          <c:order val="2"/>
          <c:tx>
            <c:strRef>
              <c:f>'PIVOT TABLE'!$E$31:$E$32</c:f>
              <c:strCache>
                <c:ptCount val="1"/>
                <c:pt idx="0">
                  <c:v>Medium Risk</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TABLE'!$B$33:$B$38</c:f>
              <c:strCache>
                <c:ptCount val="5"/>
                <c:pt idx="0">
                  <c:v>Clothing</c:v>
                </c:pt>
                <c:pt idx="1">
                  <c:v>Electronics</c:v>
                </c:pt>
                <c:pt idx="2">
                  <c:v>Food</c:v>
                </c:pt>
                <c:pt idx="3">
                  <c:v>Home</c:v>
                </c:pt>
                <c:pt idx="4">
                  <c:v>Stationery</c:v>
                </c:pt>
              </c:strCache>
            </c:strRef>
          </c:cat>
          <c:val>
            <c:numRef>
              <c:f>'PIVOT TABLE'!$E$33:$E$38</c:f>
              <c:numCache>
                <c:formatCode>General</c:formatCode>
                <c:ptCount val="5"/>
                <c:pt idx="0">
                  <c:v>6489</c:v>
                </c:pt>
                <c:pt idx="1">
                  <c:v>12826</c:v>
                </c:pt>
                <c:pt idx="2">
                  <c:v>15058</c:v>
                </c:pt>
                <c:pt idx="3">
                  <c:v>9269</c:v>
                </c:pt>
                <c:pt idx="4">
                  <c:v>17039</c:v>
                </c:pt>
              </c:numCache>
            </c:numRef>
          </c:val>
          <c:extLst>
            <c:ext xmlns:c16="http://schemas.microsoft.com/office/drawing/2014/chart" uri="{C3380CC4-5D6E-409C-BE32-E72D297353CC}">
              <c16:uniqueId val="{00000002-E611-4147-9093-ABAAD2A98354}"/>
            </c:ext>
          </c:extLst>
        </c:ser>
        <c:dLbls>
          <c:showLegendKey val="0"/>
          <c:showVal val="0"/>
          <c:showCatName val="0"/>
          <c:showSerName val="0"/>
          <c:showPercent val="0"/>
          <c:showBubbleSize val="0"/>
        </c:dLbls>
        <c:gapWidth val="115"/>
        <c:overlap val="-20"/>
        <c:axId val="1951851135"/>
        <c:axId val="1951853055"/>
      </c:barChart>
      <c:catAx>
        <c:axId val="19518511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853055"/>
        <c:crosses val="autoZero"/>
        <c:auto val="1"/>
        <c:lblAlgn val="ctr"/>
        <c:lblOffset val="100"/>
        <c:noMultiLvlLbl val="0"/>
      </c:catAx>
      <c:valAx>
        <c:axId val="19518530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85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[shelf_logic_dataset_advanced FINAL DATASET.xlsx]PIVOT TABLE!PivotTable8</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a:t>
            </a:r>
            <a:r>
              <a:rPr lang="en-IN" baseline="0"/>
              <a:t> SLOW-MOVING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TABLE'!$N$4:$N$62</c:f>
              <c:strCache>
                <c:ptCount val="58"/>
                <c:pt idx="0">
                  <c:v>Product_39</c:v>
                </c:pt>
                <c:pt idx="1">
                  <c:v>Product_52</c:v>
                </c:pt>
                <c:pt idx="2">
                  <c:v>Product_58</c:v>
                </c:pt>
                <c:pt idx="3">
                  <c:v>Product_18</c:v>
                </c:pt>
                <c:pt idx="4">
                  <c:v>Product_83</c:v>
                </c:pt>
                <c:pt idx="5">
                  <c:v>Product_1</c:v>
                </c:pt>
                <c:pt idx="6">
                  <c:v>Product_49</c:v>
                </c:pt>
                <c:pt idx="7">
                  <c:v>Product_48</c:v>
                </c:pt>
                <c:pt idx="8">
                  <c:v>Product_73</c:v>
                </c:pt>
                <c:pt idx="9">
                  <c:v>Product_72</c:v>
                </c:pt>
                <c:pt idx="10">
                  <c:v>Product_96</c:v>
                </c:pt>
                <c:pt idx="11">
                  <c:v>Product_12</c:v>
                </c:pt>
                <c:pt idx="12">
                  <c:v>Product_65</c:v>
                </c:pt>
                <c:pt idx="13">
                  <c:v>Product_92</c:v>
                </c:pt>
                <c:pt idx="14">
                  <c:v>Product_85</c:v>
                </c:pt>
                <c:pt idx="15">
                  <c:v>Product_40</c:v>
                </c:pt>
                <c:pt idx="16">
                  <c:v>Product_86</c:v>
                </c:pt>
                <c:pt idx="17">
                  <c:v>Product_46</c:v>
                </c:pt>
                <c:pt idx="18">
                  <c:v>Product_94</c:v>
                </c:pt>
                <c:pt idx="19">
                  <c:v>Product_4</c:v>
                </c:pt>
                <c:pt idx="20">
                  <c:v>Product_60</c:v>
                </c:pt>
                <c:pt idx="21">
                  <c:v>Product_11</c:v>
                </c:pt>
                <c:pt idx="22">
                  <c:v>Product_53</c:v>
                </c:pt>
                <c:pt idx="23">
                  <c:v>Product_81</c:v>
                </c:pt>
                <c:pt idx="24">
                  <c:v>Product_87</c:v>
                </c:pt>
                <c:pt idx="25">
                  <c:v>Product_3</c:v>
                </c:pt>
                <c:pt idx="26">
                  <c:v>Product_38</c:v>
                </c:pt>
                <c:pt idx="27">
                  <c:v>Product_62</c:v>
                </c:pt>
                <c:pt idx="28">
                  <c:v>Product_9</c:v>
                </c:pt>
                <c:pt idx="29">
                  <c:v>Product_61</c:v>
                </c:pt>
                <c:pt idx="30">
                  <c:v>Product_98</c:v>
                </c:pt>
                <c:pt idx="31">
                  <c:v>Product_41</c:v>
                </c:pt>
                <c:pt idx="32">
                  <c:v>Product_6</c:v>
                </c:pt>
                <c:pt idx="33">
                  <c:v>Product_33</c:v>
                </c:pt>
                <c:pt idx="34">
                  <c:v>Product_69</c:v>
                </c:pt>
                <c:pt idx="35">
                  <c:v>Product_54</c:v>
                </c:pt>
                <c:pt idx="36">
                  <c:v>Product_43</c:v>
                </c:pt>
                <c:pt idx="37">
                  <c:v>Product_13</c:v>
                </c:pt>
                <c:pt idx="38">
                  <c:v>Product_32</c:v>
                </c:pt>
                <c:pt idx="39">
                  <c:v>Product_64</c:v>
                </c:pt>
                <c:pt idx="40">
                  <c:v>Product_59</c:v>
                </c:pt>
                <c:pt idx="41">
                  <c:v>Product_68</c:v>
                </c:pt>
                <c:pt idx="42">
                  <c:v>Product_89</c:v>
                </c:pt>
                <c:pt idx="43">
                  <c:v>Product_5</c:v>
                </c:pt>
                <c:pt idx="44">
                  <c:v>Product_82</c:v>
                </c:pt>
                <c:pt idx="45">
                  <c:v>Product_29</c:v>
                </c:pt>
                <c:pt idx="46">
                  <c:v>Product_79</c:v>
                </c:pt>
                <c:pt idx="47">
                  <c:v>Product_36</c:v>
                </c:pt>
                <c:pt idx="48">
                  <c:v>Product_2</c:v>
                </c:pt>
                <c:pt idx="49">
                  <c:v>Product_50</c:v>
                </c:pt>
                <c:pt idx="50">
                  <c:v>Product_28</c:v>
                </c:pt>
                <c:pt idx="51">
                  <c:v>Product_99</c:v>
                </c:pt>
                <c:pt idx="52">
                  <c:v>Product_37</c:v>
                </c:pt>
                <c:pt idx="53">
                  <c:v>Product_70</c:v>
                </c:pt>
                <c:pt idx="54">
                  <c:v>Product_75</c:v>
                </c:pt>
                <c:pt idx="55">
                  <c:v>Product_78</c:v>
                </c:pt>
                <c:pt idx="56">
                  <c:v>Product_74</c:v>
                </c:pt>
                <c:pt idx="57">
                  <c:v>Product_45</c:v>
                </c:pt>
              </c:strCache>
            </c:strRef>
          </c:cat>
          <c:val>
            <c:numRef>
              <c:f>'PIVOT TABLE'!$O$4:$O$62</c:f>
              <c:numCache>
                <c:formatCode>General</c:formatCode>
                <c:ptCount val="58"/>
                <c:pt idx="0">
                  <c:v>5.1643192488262914E-2</c:v>
                </c:pt>
                <c:pt idx="1">
                  <c:v>0.14000000000000001</c:v>
                </c:pt>
                <c:pt idx="2">
                  <c:v>0.17486338797814208</c:v>
                </c:pt>
                <c:pt idx="3">
                  <c:v>0.28773584905660377</c:v>
                </c:pt>
                <c:pt idx="4">
                  <c:v>0.38048780487804879</c:v>
                </c:pt>
                <c:pt idx="5">
                  <c:v>0.41987179487179488</c:v>
                </c:pt>
                <c:pt idx="6">
                  <c:v>0.47695852534562211</c:v>
                </c:pt>
                <c:pt idx="7">
                  <c:v>0.50134048257372654</c:v>
                </c:pt>
                <c:pt idx="8">
                  <c:v>0.52012383900928794</c:v>
                </c:pt>
                <c:pt idx="9">
                  <c:v>0.52136569117297171</c:v>
                </c:pt>
                <c:pt idx="10">
                  <c:v>0.59437751004016059</c:v>
                </c:pt>
                <c:pt idx="11">
                  <c:v>0.60550458715596334</c:v>
                </c:pt>
                <c:pt idx="12">
                  <c:v>0.65978703655958326</c:v>
                </c:pt>
                <c:pt idx="13">
                  <c:v>0.67374005305039786</c:v>
                </c:pt>
                <c:pt idx="14">
                  <c:v>0.78128313891834567</c:v>
                </c:pt>
                <c:pt idx="15">
                  <c:v>0.82926829268292679</c:v>
                </c:pt>
                <c:pt idx="16">
                  <c:v>0.83177570093457942</c:v>
                </c:pt>
                <c:pt idx="17">
                  <c:v>0.90776699029126218</c:v>
                </c:pt>
                <c:pt idx="18">
                  <c:v>0.9178082191780822</c:v>
                </c:pt>
                <c:pt idx="19">
                  <c:v>0.96457969078443317</c:v>
                </c:pt>
                <c:pt idx="20">
                  <c:v>0.98193223443223454</c:v>
                </c:pt>
                <c:pt idx="21">
                  <c:v>1.080536912751678</c:v>
                </c:pt>
                <c:pt idx="22">
                  <c:v>1.1114245014245014</c:v>
                </c:pt>
                <c:pt idx="23">
                  <c:v>1.1140478286384976</c:v>
                </c:pt>
                <c:pt idx="24">
                  <c:v>1.14525250030868</c:v>
                </c:pt>
                <c:pt idx="25">
                  <c:v>1.1666666666666667</c:v>
                </c:pt>
                <c:pt idx="26">
                  <c:v>1.1990950226244343</c:v>
                </c:pt>
                <c:pt idx="27">
                  <c:v>1.2688679245283019</c:v>
                </c:pt>
                <c:pt idx="28">
                  <c:v>1.3</c:v>
                </c:pt>
                <c:pt idx="29">
                  <c:v>1.3260869565217392</c:v>
                </c:pt>
                <c:pt idx="30">
                  <c:v>1.3638888888888889</c:v>
                </c:pt>
                <c:pt idx="31">
                  <c:v>1.4081632653061225</c:v>
                </c:pt>
                <c:pt idx="32">
                  <c:v>1.4148067737733392</c:v>
                </c:pt>
                <c:pt idx="33">
                  <c:v>1.4645669291338583</c:v>
                </c:pt>
                <c:pt idx="34">
                  <c:v>1.5043478260869565</c:v>
                </c:pt>
                <c:pt idx="35">
                  <c:v>1.8611677753141169</c:v>
                </c:pt>
                <c:pt idx="36">
                  <c:v>1.8719211822660098</c:v>
                </c:pt>
                <c:pt idx="37">
                  <c:v>1.9949238578680204</c:v>
                </c:pt>
                <c:pt idx="38">
                  <c:v>2.1659970822578836</c:v>
                </c:pt>
                <c:pt idx="39">
                  <c:v>2.2119244008573102</c:v>
                </c:pt>
                <c:pt idx="40">
                  <c:v>2.2706087151841867</c:v>
                </c:pt>
                <c:pt idx="41">
                  <c:v>2.4341004538372957</c:v>
                </c:pt>
                <c:pt idx="42">
                  <c:v>2.5101694915254238</c:v>
                </c:pt>
                <c:pt idx="43">
                  <c:v>2.5423416432243671</c:v>
                </c:pt>
                <c:pt idx="44">
                  <c:v>2.5849056603773586</c:v>
                </c:pt>
                <c:pt idx="45">
                  <c:v>2.626947349838916</c:v>
                </c:pt>
                <c:pt idx="46">
                  <c:v>2.7125498891352553</c:v>
                </c:pt>
                <c:pt idx="47">
                  <c:v>3.0098583615000805</c:v>
                </c:pt>
                <c:pt idx="48">
                  <c:v>3.1010101010101012</c:v>
                </c:pt>
                <c:pt idx="49">
                  <c:v>3.248946653191326</c:v>
                </c:pt>
                <c:pt idx="50">
                  <c:v>3.4574165293686541</c:v>
                </c:pt>
                <c:pt idx="51">
                  <c:v>3.4871794871794872</c:v>
                </c:pt>
                <c:pt idx="52">
                  <c:v>4.3641147725848892</c:v>
                </c:pt>
                <c:pt idx="53">
                  <c:v>4.3979591836734695</c:v>
                </c:pt>
                <c:pt idx="54">
                  <c:v>4.4705882352941178</c:v>
                </c:pt>
                <c:pt idx="55">
                  <c:v>7.245580808080808</c:v>
                </c:pt>
                <c:pt idx="56">
                  <c:v>11.828874119310244</c:v>
                </c:pt>
                <c:pt idx="57">
                  <c:v>12.5625</c:v>
                </c:pt>
              </c:numCache>
            </c:numRef>
          </c:val>
          <c:extLst>
            <c:ext xmlns:c16="http://schemas.microsoft.com/office/drawing/2014/chart" uri="{C3380CC4-5D6E-409C-BE32-E72D297353CC}">
              <c16:uniqueId val="{00000000-1F8B-4DC8-A556-EFFA6A5558F3}"/>
            </c:ext>
          </c:extLst>
        </c:ser>
        <c:dLbls>
          <c:showLegendKey val="0"/>
          <c:showVal val="0"/>
          <c:showCatName val="0"/>
          <c:showSerName val="0"/>
          <c:showPercent val="0"/>
          <c:showBubbleSize val="0"/>
        </c:dLbls>
        <c:gapWidth val="182"/>
        <c:overlap val="-50"/>
        <c:axId val="1957921391"/>
        <c:axId val="1957921871"/>
      </c:barChart>
      <c:catAx>
        <c:axId val="19579213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7921871"/>
        <c:crosses val="autoZero"/>
        <c:auto val="1"/>
        <c:lblAlgn val="ctr"/>
        <c:lblOffset val="100"/>
        <c:noMultiLvlLbl val="0"/>
      </c:catAx>
      <c:valAx>
        <c:axId val="19579218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792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523875</xdr:colOff>
      <xdr:row>1</xdr:row>
      <xdr:rowOff>61912</xdr:rowOff>
    </xdr:from>
    <xdr:to>
      <xdr:col>10</xdr:col>
      <xdr:colOff>28575</xdr:colOff>
      <xdr:row>15</xdr:row>
      <xdr:rowOff>138112</xdr:rowOff>
    </xdr:to>
    <xdr:graphicFrame macro="">
      <xdr:nvGraphicFramePr>
        <xdr:cNvPr id="2" name="Chart 1">
          <a:extLst>
            <a:ext uri="{FF2B5EF4-FFF2-40B4-BE49-F238E27FC236}">
              <a16:creationId xmlns:a16="http://schemas.microsoft.com/office/drawing/2014/main" id="{F320E4F2-650B-A130-0CEA-CA6AD0210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95250</xdr:colOff>
      <xdr:row>9</xdr:row>
      <xdr:rowOff>61912</xdr:rowOff>
    </xdr:from>
    <xdr:to>
      <xdr:col>22</xdr:col>
      <xdr:colOff>400050</xdr:colOff>
      <xdr:row>23</xdr:row>
      <xdr:rowOff>138112</xdr:rowOff>
    </xdr:to>
    <xdr:graphicFrame macro="">
      <xdr:nvGraphicFramePr>
        <xdr:cNvPr id="4" name="Chart 3">
          <a:extLst>
            <a:ext uri="{FF2B5EF4-FFF2-40B4-BE49-F238E27FC236}">
              <a16:creationId xmlns:a16="http://schemas.microsoft.com/office/drawing/2014/main" id="{7101D36C-39A1-FFC4-A140-B8DFADB98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971550</xdr:colOff>
      <xdr:row>38</xdr:row>
      <xdr:rowOff>138112</xdr:rowOff>
    </xdr:from>
    <xdr:to>
      <xdr:col>6</xdr:col>
      <xdr:colOff>561975</xdr:colOff>
      <xdr:row>53</xdr:row>
      <xdr:rowOff>23812</xdr:rowOff>
    </xdr:to>
    <xdr:graphicFrame macro="">
      <xdr:nvGraphicFramePr>
        <xdr:cNvPr id="5" name="Chart 4">
          <a:extLst>
            <a:ext uri="{FF2B5EF4-FFF2-40B4-BE49-F238E27FC236}">
              <a16:creationId xmlns:a16="http://schemas.microsoft.com/office/drawing/2014/main" id="{9BA667E3-2884-B6E1-325F-5AAD6E356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990600</xdr:colOff>
      <xdr:row>53</xdr:row>
      <xdr:rowOff>76200</xdr:rowOff>
    </xdr:from>
    <xdr:to>
      <xdr:col>2</xdr:col>
      <xdr:colOff>466725</xdr:colOff>
      <xdr:row>66</xdr:row>
      <xdr:rowOff>123825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BC37D3F-AD9E-51D2-B43D-0DE63F9837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0" y="1017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533400</xdr:colOff>
      <xdr:row>53</xdr:row>
      <xdr:rowOff>114300</xdr:rowOff>
    </xdr:from>
    <xdr:to>
      <xdr:col>8</xdr:col>
      <xdr:colOff>390525</xdr:colOff>
      <xdr:row>66</xdr:row>
      <xdr:rowOff>161925</xdr:rowOff>
    </xdr:to>
    <mc:AlternateContent xmlns:mc="http://schemas.openxmlformats.org/markup-compatibility/2006" xmlns:a14="http://schemas.microsoft.com/office/drawing/2010/main">
      <mc:Choice Requires="a14">
        <xdr:graphicFrame macro="">
          <xdr:nvGraphicFramePr>
            <xdr:cNvPr id="7" name="Supplier">
              <a:extLst>
                <a:ext uri="{FF2B5EF4-FFF2-40B4-BE49-F238E27FC236}">
                  <a16:creationId xmlns:a16="http://schemas.microsoft.com/office/drawing/2014/main" id="{FA7A1274-5C96-AE4E-3E3B-E75AF98E40E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5381625" y="1021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876300</xdr:colOff>
      <xdr:row>53</xdr:row>
      <xdr:rowOff>85725</xdr:rowOff>
    </xdr:from>
    <xdr:to>
      <xdr:col>5</xdr:col>
      <xdr:colOff>209550</xdr:colOff>
      <xdr:row>66</xdr:row>
      <xdr:rowOff>133350</xdr:rowOff>
    </xdr:to>
    <mc:AlternateContent xmlns:mc="http://schemas.openxmlformats.org/markup-compatibility/2006" xmlns:a14="http://schemas.microsoft.com/office/drawing/2010/main">
      <mc:Choice Requires="a14">
        <xdr:graphicFrame macro="">
          <xdr:nvGraphicFramePr>
            <xdr:cNvPr id="8" name="Storage_Location">
              <a:extLst>
                <a:ext uri="{FF2B5EF4-FFF2-40B4-BE49-F238E27FC236}">
                  <a16:creationId xmlns:a16="http://schemas.microsoft.com/office/drawing/2014/main" id="{35D97F0F-6A4A-E7E9-A0F7-E5E05B3928A7}"/>
                </a:ext>
              </a:extLst>
            </xdr:cNvPr>
            <xdr:cNvGraphicFramePr/>
          </xdr:nvGraphicFramePr>
          <xdr:xfrm>
            <a:off x="0" y="0"/>
            <a:ext cx="0" cy="0"/>
          </xdr:xfrm>
          <a:graphic>
            <a:graphicData uri="http://schemas.microsoft.com/office/drawing/2010/slicer">
              <sle:slicer xmlns:sle="http://schemas.microsoft.com/office/drawing/2010/slicer" name="Storage_Location"/>
            </a:graphicData>
          </a:graphic>
        </xdr:graphicFrame>
      </mc:Choice>
      <mc:Fallback xmlns="">
        <xdr:sp macro="" textlink="">
          <xdr:nvSpPr>
            <xdr:cNvPr id="0" name=""/>
            <xdr:cNvSpPr>
              <a:spLocks noTextEdit="1"/>
            </xdr:cNvSpPr>
          </xdr:nvSpPr>
          <xdr:spPr>
            <a:xfrm>
              <a:off x="3228975" y="10182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504825</xdr:colOff>
      <xdr:row>24</xdr:row>
      <xdr:rowOff>38100</xdr:rowOff>
    </xdr:from>
    <xdr:to>
      <xdr:col>24</xdr:col>
      <xdr:colOff>504825</xdr:colOff>
      <xdr:row>37</xdr:row>
      <xdr:rowOff>85725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1D0CDFC0-A2A2-8CE7-ABF9-661FC73EAFC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487775" y="461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352425</xdr:colOff>
      <xdr:row>24</xdr:row>
      <xdr:rowOff>76200</xdr:rowOff>
    </xdr:from>
    <xdr:to>
      <xdr:col>21</xdr:col>
      <xdr:colOff>352425</xdr:colOff>
      <xdr:row>37</xdr:row>
      <xdr:rowOff>123825</xdr:rowOff>
    </xdr:to>
    <mc:AlternateContent xmlns:mc="http://schemas.openxmlformats.org/markup-compatibility/2006" xmlns:a14="http://schemas.microsoft.com/office/drawing/2010/main">
      <mc:Choice Requires="a14">
        <xdr:graphicFrame macro="">
          <xdr:nvGraphicFramePr>
            <xdr:cNvPr id="10" name="Supplier 1">
              <a:extLst>
                <a:ext uri="{FF2B5EF4-FFF2-40B4-BE49-F238E27FC236}">
                  <a16:creationId xmlns:a16="http://schemas.microsoft.com/office/drawing/2014/main" id="{8FB43466-58C7-7F5F-B3ED-B4662EFE31E2}"/>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4506575" y="464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123825</xdr:colOff>
      <xdr:row>24</xdr:row>
      <xdr:rowOff>57150</xdr:rowOff>
    </xdr:from>
    <xdr:to>
      <xdr:col>18</xdr:col>
      <xdr:colOff>123825</xdr:colOff>
      <xdr:row>37</xdr:row>
      <xdr:rowOff>104775</xdr:rowOff>
    </xdr:to>
    <mc:AlternateContent xmlns:mc="http://schemas.openxmlformats.org/markup-compatibility/2006" xmlns:a14="http://schemas.microsoft.com/office/drawing/2010/main">
      <mc:Choice Requires="a14">
        <xdr:graphicFrame macro="">
          <xdr:nvGraphicFramePr>
            <xdr:cNvPr id="11" name="Storage_Location 1">
              <a:extLst>
                <a:ext uri="{FF2B5EF4-FFF2-40B4-BE49-F238E27FC236}">
                  <a16:creationId xmlns:a16="http://schemas.microsoft.com/office/drawing/2014/main" id="{9EF0C554-212C-9F93-A9DA-903A7EA28AB9}"/>
                </a:ext>
              </a:extLst>
            </xdr:cNvPr>
            <xdr:cNvGraphicFramePr/>
          </xdr:nvGraphicFramePr>
          <xdr:xfrm>
            <a:off x="0" y="0"/>
            <a:ext cx="0" cy="0"/>
          </xdr:xfrm>
          <a:graphic>
            <a:graphicData uri="http://schemas.microsoft.com/office/drawing/2010/slicer">
              <sle:slicer xmlns:sle="http://schemas.microsoft.com/office/drawing/2010/slicer" name="Storage_Location 1"/>
            </a:graphicData>
          </a:graphic>
        </xdr:graphicFrame>
      </mc:Choice>
      <mc:Fallback xmlns="">
        <xdr:sp macro="" textlink="">
          <xdr:nvSpPr>
            <xdr:cNvPr id="0" name=""/>
            <xdr:cNvSpPr>
              <a:spLocks noTextEdit="1"/>
            </xdr:cNvSpPr>
          </xdr:nvSpPr>
          <xdr:spPr>
            <a:xfrm>
              <a:off x="12449175" y="4629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15</xdr:row>
      <xdr:rowOff>161925</xdr:rowOff>
    </xdr:from>
    <xdr:to>
      <xdr:col>10</xdr:col>
      <xdr:colOff>419100</xdr:colOff>
      <xdr:row>29</xdr:row>
      <xdr:rowOff>19050</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DA9CD0F5-E4FB-BCAE-F92F-E0577CDC48A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629400" y="3019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609600</xdr:colOff>
      <xdr:row>15</xdr:row>
      <xdr:rowOff>161925</xdr:rowOff>
    </xdr:from>
    <xdr:to>
      <xdr:col>7</xdr:col>
      <xdr:colOff>238125</xdr:colOff>
      <xdr:row>29</xdr:row>
      <xdr:rowOff>19050</xdr:rowOff>
    </xdr:to>
    <mc:AlternateContent xmlns:mc="http://schemas.openxmlformats.org/markup-compatibility/2006" xmlns:a14="http://schemas.microsoft.com/office/drawing/2010/main">
      <mc:Choice Requires="a14">
        <xdr:graphicFrame macro="">
          <xdr:nvGraphicFramePr>
            <xdr:cNvPr id="13" name="Supplier 2">
              <a:extLst>
                <a:ext uri="{FF2B5EF4-FFF2-40B4-BE49-F238E27FC236}">
                  <a16:creationId xmlns:a16="http://schemas.microsoft.com/office/drawing/2014/main" id="{A9FF0C3B-C303-978A-C865-81DD558BAF78}"/>
                </a:ext>
              </a:extLst>
            </xdr:cNvPr>
            <xdr:cNvGraphicFramePr/>
          </xdr:nvGraphicFramePr>
          <xdr:xfrm>
            <a:off x="0" y="0"/>
            <a:ext cx="0" cy="0"/>
          </xdr:xfrm>
          <a:graphic>
            <a:graphicData uri="http://schemas.microsoft.com/office/drawing/2010/slicer">
              <sle:slicer xmlns:sle="http://schemas.microsoft.com/office/drawing/2010/slicer" name="Supplier 2"/>
            </a:graphicData>
          </a:graphic>
        </xdr:graphicFrame>
      </mc:Choice>
      <mc:Fallback xmlns="">
        <xdr:sp macro="" textlink="">
          <xdr:nvSpPr>
            <xdr:cNvPr id="0" name=""/>
            <xdr:cNvSpPr>
              <a:spLocks noTextEdit="1"/>
            </xdr:cNvSpPr>
          </xdr:nvSpPr>
          <xdr:spPr>
            <a:xfrm>
              <a:off x="4619625" y="3019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16</xdr:row>
      <xdr:rowOff>9525</xdr:rowOff>
    </xdr:from>
    <xdr:to>
      <xdr:col>4</xdr:col>
      <xdr:colOff>428625</xdr:colOff>
      <xdr:row>29</xdr:row>
      <xdr:rowOff>57150</xdr:rowOff>
    </xdr:to>
    <mc:AlternateContent xmlns:mc="http://schemas.openxmlformats.org/markup-compatibility/2006" xmlns:a14="http://schemas.microsoft.com/office/drawing/2010/main">
      <mc:Choice Requires="a14">
        <xdr:graphicFrame macro="">
          <xdr:nvGraphicFramePr>
            <xdr:cNvPr id="14" name="Storage_Location 2">
              <a:extLst>
                <a:ext uri="{FF2B5EF4-FFF2-40B4-BE49-F238E27FC236}">
                  <a16:creationId xmlns:a16="http://schemas.microsoft.com/office/drawing/2014/main" id="{A8796E0F-0CD3-0CBE-83FC-1084111B036D}"/>
                </a:ext>
              </a:extLst>
            </xdr:cNvPr>
            <xdr:cNvGraphicFramePr/>
          </xdr:nvGraphicFramePr>
          <xdr:xfrm>
            <a:off x="0" y="0"/>
            <a:ext cx="0" cy="0"/>
          </xdr:xfrm>
          <a:graphic>
            <a:graphicData uri="http://schemas.microsoft.com/office/drawing/2010/slicer">
              <sle:slicer xmlns:sle="http://schemas.microsoft.com/office/drawing/2010/slicer" name="Storage_Location 2"/>
            </a:graphicData>
          </a:graphic>
        </xdr:graphicFrame>
      </mc:Choice>
      <mc:Fallback xmlns="">
        <xdr:sp macro="" textlink="">
          <xdr:nvSpPr>
            <xdr:cNvPr id="0" name=""/>
            <xdr:cNvSpPr>
              <a:spLocks noTextEdit="1"/>
            </xdr:cNvSpPr>
          </xdr:nvSpPr>
          <xdr:spPr>
            <a:xfrm>
              <a:off x="2609850" y="3057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12</xdr:row>
      <xdr:rowOff>352425</xdr:rowOff>
    </xdr:from>
    <xdr:to>
      <xdr:col>15</xdr:col>
      <xdr:colOff>47625</xdr:colOff>
      <xdr:row>27</xdr:row>
      <xdr:rowOff>47625</xdr:rowOff>
    </xdr:to>
    <xdr:graphicFrame macro="">
      <xdr:nvGraphicFramePr>
        <xdr:cNvPr id="2" name="Chart 1">
          <a:extLst>
            <a:ext uri="{FF2B5EF4-FFF2-40B4-BE49-F238E27FC236}">
              <a16:creationId xmlns:a16="http://schemas.microsoft.com/office/drawing/2014/main" id="{1C76B65C-17F9-4976-9A19-B2CD6D8E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38100</xdr:colOff>
      <xdr:row>13</xdr:row>
      <xdr:rowOff>9525</xdr:rowOff>
    </xdr:from>
    <xdr:to>
      <xdr:col>25</xdr:col>
      <xdr:colOff>352425</xdr:colOff>
      <xdr:row>27</xdr:row>
      <xdr:rowOff>85725</xdr:rowOff>
    </xdr:to>
    <xdr:graphicFrame macro="">
      <xdr:nvGraphicFramePr>
        <xdr:cNvPr id="4" name="Chart 3">
          <a:extLst>
            <a:ext uri="{FF2B5EF4-FFF2-40B4-BE49-F238E27FC236}">
              <a16:creationId xmlns:a16="http://schemas.microsoft.com/office/drawing/2014/main" id="{46B6FA20-598E-43C8-B3B4-093BC46A5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29</xdr:row>
      <xdr:rowOff>19050</xdr:rowOff>
    </xdr:from>
    <xdr:to>
      <xdr:col>19</xdr:col>
      <xdr:colOff>266700</xdr:colOff>
      <xdr:row>43</xdr:row>
      <xdr:rowOff>95250</xdr:rowOff>
    </xdr:to>
    <xdr:graphicFrame macro="">
      <xdr:nvGraphicFramePr>
        <xdr:cNvPr id="6" name="Chart 5">
          <a:extLst>
            <a:ext uri="{FF2B5EF4-FFF2-40B4-BE49-F238E27FC236}">
              <a16:creationId xmlns:a16="http://schemas.microsoft.com/office/drawing/2014/main" id="{5F046D29-8372-4F58-BFB8-E0A0A0C2B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758243055556" createdVersion="8" refreshedVersion="8" minRefreshableVersion="3" recordCount="1000" xr:uid="{B7BD8A9A-EF30-4F18-ACCA-B65B866C9C8E}">
  <cacheSource type="worksheet">
    <worksheetSource ref="A1:U1001" sheet="Sheet1"/>
  </cacheSource>
  <cacheFields count="21">
    <cacheField name="Product_ID" numFmtId="0">
      <sharedItems containsSemiMixedTypes="0" containsString="0" containsNumber="1" containsInteger="1" minValue="1" maxValue="1000"/>
    </cacheField>
    <cacheField name="Product_Name" numFmtId="0">
      <sharedItems/>
    </cacheField>
    <cacheField name="Category" numFmtId="0">
      <sharedItems count="5">
        <s v="Stationery"/>
        <s v="Electronics"/>
        <s v="Clothing"/>
        <s v="Food"/>
        <s v="Home"/>
      </sharedItems>
    </cacheField>
    <cacheField name="Supplier" numFmtId="0">
      <sharedItems count="4">
        <s v="Supplier_C"/>
        <s v="Supplier_B"/>
        <s v="Supplier_D"/>
        <s v="Supplier_A"/>
      </sharedItems>
    </cacheField>
    <cacheField name="Stock_Quantity" numFmtId="0">
      <sharedItems containsSemiMixedTypes="0" containsString="0" containsNumber="1" containsInteger="1" minValue="20" maxValue="500"/>
    </cacheField>
    <cacheField name="Units_Sold_Last_30_Days" numFmtId="0">
      <sharedItems containsSemiMixedTypes="0" containsString="0" containsNumber="1" containsInteger="1" minValue="0" maxValue="449"/>
    </cacheField>
    <cacheField name="Units_Sold_Last_60_Days" numFmtId="0">
      <sharedItems containsSemiMixedTypes="0" containsString="0" containsNumber="1" containsInteger="1" minValue="10" maxValue="400"/>
    </cacheField>
    <cacheField name="Price" numFmtId="0">
      <sharedItems containsSemiMixedTypes="0" containsString="0" containsNumber="1" minValue="51.12" maxValue="4975.29"/>
    </cacheField>
    <cacheField name="COST_PRICE" numFmtId="0">
      <sharedItems containsSemiMixedTypes="0" containsString="0" containsNumber="1" minValue="28.87" maxValue="3821.44"/>
    </cacheField>
    <cacheField name="Reorder_Level" numFmtId="0">
      <sharedItems containsSemiMixedTypes="0" containsString="0" containsNumber="1" containsInteger="1" minValue="30" maxValue="150"/>
    </cacheField>
    <cacheField name="Lead_Time_Days" numFmtId="0">
      <sharedItems containsSemiMixedTypes="0" containsString="0" containsNumber="1" containsInteger="1" minValue="1" maxValue="15"/>
    </cacheField>
    <cacheField name="Last_Restock_Date" numFmtId="0">
      <sharedItems/>
    </cacheField>
    <cacheField name="Expiry_Days" numFmtId="0">
      <sharedItems containsSemiMixedTypes="0" containsString="0" containsNumber="1" containsInteger="1" minValue="30" maxValue="365"/>
    </cacheField>
    <cacheField name="Customer_Rating" numFmtId="0">
      <sharedItems containsSemiMixedTypes="0" containsString="0" containsNumber="1" containsInteger="1" minValue="1" maxValue="5"/>
    </cacheField>
    <cacheField name="Return_Quantity" numFmtId="0">
      <sharedItems containsSemiMixedTypes="0" containsString="0" containsNumber="1" containsInteger="1" minValue="0" maxValue="50"/>
    </cacheField>
    <cacheField name="Discount_Applied" numFmtId="0">
      <sharedItems/>
    </cacheField>
    <cacheField name="Storage_Location" numFmtId="0">
      <sharedItems count="3">
        <s v="Warehouse_A"/>
        <s v="Warehouse_B"/>
        <s v="Store"/>
      </sharedItems>
    </cacheField>
    <cacheField name="SALES TREND" numFmtId="0">
      <sharedItems containsSemiMixedTypes="0" containsString="0" containsNumber="1" containsInteger="1" minValue="-50" maxValue="50"/>
    </cacheField>
    <cacheField name="TURNOVER RATIO" numFmtId="0">
      <sharedItems containsSemiMixedTypes="0" containsString="0" containsNumber="1" minValue="0" maxValue="22.45"/>
    </cacheField>
    <cacheField name="RISK LEVEL" numFmtId="0">
      <sharedItems count="3">
        <s v="Medium Risk"/>
        <s v="Low Risk"/>
        <s v="High Risk"/>
      </sharedItems>
    </cacheField>
    <cacheField name="RECOMMENDED ACTION " numFmtId="0">
      <sharedItems/>
    </cacheField>
  </cacheFields>
  <extLst>
    <ext xmlns:x14="http://schemas.microsoft.com/office/spreadsheetml/2009/9/main" uri="{725AE2AE-9491-48be-B2B4-4EB974FC3084}">
      <x14:pivotCacheDefinition pivotCacheId="20627678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772102199073" createdVersion="8" refreshedVersion="8" minRefreshableVersion="3" recordCount="1000" xr:uid="{6BF3A2F1-3396-4988-9DCB-D52608D7FAA9}">
  <cacheSource type="worksheet">
    <worksheetSource ref="A1:U1001" sheet="Sheet1"/>
  </cacheSource>
  <cacheFields count="21">
    <cacheField name="Product_ID" numFmtId="0">
      <sharedItems containsSemiMixedTypes="0" containsString="0" containsNumber="1" containsInteger="1" minValue="1" maxValue="1000"/>
    </cacheField>
    <cacheField name="Product_Name" numFmtId="0">
      <sharedItems count="100">
        <s v="Product_15"/>
        <s v="Product_3"/>
        <s v="Product_87"/>
        <s v="Product_25"/>
        <s v="Product_36"/>
        <s v="Product_69"/>
        <s v="Product_46"/>
        <s v="Product_78"/>
        <s v="Product_43"/>
        <s v="Product_32"/>
        <s v="Product_2"/>
        <s v="Product_80"/>
        <s v="Product_64"/>
        <s v="Product_92"/>
        <s v="Product_71"/>
        <s v="Product_40"/>
        <s v="Product_37"/>
        <s v="Product_58"/>
        <s v="Product_72"/>
        <s v="Product_45"/>
        <s v="Product_4"/>
        <s v="Product_97"/>
        <s v="Product_79"/>
        <s v="Product_39"/>
        <s v="Product_99"/>
        <s v="Product_62"/>
        <s v="Product_17"/>
        <s v="Product_98"/>
        <s v="Product_86"/>
        <s v="Product_41"/>
        <s v="Product_24"/>
        <s v="Product_74"/>
        <s v="Product_85"/>
        <s v="Product_57"/>
        <s v="Product_21"/>
        <s v="Product_42"/>
        <s v="Product_11"/>
        <s v="Product_13"/>
        <s v="Product_89"/>
        <s v="Product_22"/>
        <s v="Product_59"/>
        <s v="Product_18"/>
        <s v="Product_48"/>
        <s v="Product_50"/>
        <s v="Product_28"/>
        <s v="Product_1"/>
        <s v="Product_47"/>
        <s v="Product_60"/>
        <s v="Product_61"/>
        <s v="Product_68"/>
        <s v="Product_76"/>
        <s v="Product_88"/>
        <s v="Product_51"/>
        <s v="Product_93"/>
        <s v="Product_49"/>
        <s v="Product_30"/>
        <s v="Product_53"/>
        <s v="Product_84"/>
        <s v="Product_5"/>
        <s v="Product_67"/>
        <s v="Product_52"/>
        <s v="Product_94"/>
        <s v="Product_14"/>
        <s v="Product_75"/>
        <s v="Product_38"/>
        <s v="Product_34"/>
        <s v="Product_82"/>
        <s v="Product_44"/>
        <s v="Product_26"/>
        <s v="Product_6"/>
        <s v="Product_35"/>
        <s v="Product_54"/>
        <s v="Product_65"/>
        <s v="Product_33"/>
        <s v="Product_83"/>
        <s v="Product_9"/>
        <s v="Product_27"/>
        <s v="Product_100"/>
        <s v="Product_8"/>
        <s v="Product_31"/>
        <s v="Product_81"/>
        <s v="Product_73"/>
        <s v="Product_56"/>
        <s v="Product_90"/>
        <s v="Product_55"/>
        <s v="Product_29"/>
        <s v="Product_91"/>
        <s v="Product_96"/>
        <s v="Product_66"/>
        <s v="Product_16"/>
        <s v="Product_10"/>
        <s v="Product_20"/>
        <s v="Product_19"/>
        <s v="Product_70"/>
        <s v="Product_7"/>
        <s v="Product_95"/>
        <s v="Product_63"/>
        <s v="Product_23"/>
        <s v="Product_77"/>
        <s v="Product_12"/>
      </sharedItems>
    </cacheField>
    <cacheField name="Category" numFmtId="0">
      <sharedItems count="5">
        <s v="Stationery"/>
        <s v="Electronics"/>
        <s v="Clothing"/>
        <s v="Food"/>
        <s v="Home"/>
      </sharedItems>
    </cacheField>
    <cacheField name="Supplier" numFmtId="0">
      <sharedItems count="4">
        <s v="Supplier_C"/>
        <s v="Supplier_B"/>
        <s v="Supplier_D"/>
        <s v="Supplier_A"/>
      </sharedItems>
    </cacheField>
    <cacheField name="Stock_Quantity" numFmtId="0">
      <sharedItems containsSemiMixedTypes="0" containsString="0" containsNumber="1" containsInteger="1" minValue="20" maxValue="500"/>
    </cacheField>
    <cacheField name="Units_Sold_Last_30_Days" numFmtId="0">
      <sharedItems containsSemiMixedTypes="0" containsString="0" containsNumber="1" containsInteger="1" minValue="0" maxValue="449"/>
    </cacheField>
    <cacheField name="Units_Sold_Last_60_Days" numFmtId="0">
      <sharedItems containsSemiMixedTypes="0" containsString="0" containsNumber="1" containsInteger="1" minValue="10" maxValue="400"/>
    </cacheField>
    <cacheField name="Price" numFmtId="0">
      <sharedItems containsSemiMixedTypes="0" containsString="0" containsNumber="1" minValue="51.12" maxValue="4975.29"/>
    </cacheField>
    <cacheField name="COST_PRICE" numFmtId="0">
      <sharedItems containsSemiMixedTypes="0" containsString="0" containsNumber="1" minValue="28.87" maxValue="3821.44"/>
    </cacheField>
    <cacheField name="Reorder_Level" numFmtId="0">
      <sharedItems containsSemiMixedTypes="0" containsString="0" containsNumber="1" containsInteger="1" minValue="30" maxValue="150"/>
    </cacheField>
    <cacheField name="Lead_Time_Days" numFmtId="0">
      <sharedItems containsSemiMixedTypes="0" containsString="0" containsNumber="1" containsInteger="1" minValue="1" maxValue="15"/>
    </cacheField>
    <cacheField name="Last_Restock_Date" numFmtId="0">
      <sharedItems/>
    </cacheField>
    <cacheField name="Expiry_Days" numFmtId="0">
      <sharedItems containsSemiMixedTypes="0" containsString="0" containsNumber="1" containsInteger="1" minValue="30" maxValue="365"/>
    </cacheField>
    <cacheField name="Customer_Rating" numFmtId="0">
      <sharedItems containsSemiMixedTypes="0" containsString="0" containsNumber="1" containsInteger="1" minValue="1" maxValue="5"/>
    </cacheField>
    <cacheField name="Return_Quantity" numFmtId="0">
      <sharedItems containsSemiMixedTypes="0" containsString="0" containsNumber="1" containsInteger="1" minValue="0" maxValue="50"/>
    </cacheField>
    <cacheField name="Discount_Applied" numFmtId="0">
      <sharedItems/>
    </cacheField>
    <cacheField name="Storage_Location" numFmtId="0">
      <sharedItems count="3">
        <s v="Warehouse_A"/>
        <s v="Warehouse_B"/>
        <s v="Store"/>
      </sharedItems>
    </cacheField>
    <cacheField name="SALES TREND" numFmtId="0">
      <sharedItems containsSemiMixedTypes="0" containsString="0" containsNumber="1" containsInteger="1" minValue="-50" maxValue="50"/>
    </cacheField>
    <cacheField name="TURNOVER RATIO" numFmtId="0">
      <sharedItems containsSemiMixedTypes="0" containsString="0" containsNumber="1" minValue="0" maxValue="22.45"/>
    </cacheField>
    <cacheField name="RISK LEVEL" numFmtId="0">
      <sharedItems/>
    </cacheField>
    <cacheField name="RECOMMENDED ACTION " numFmtId="0">
      <sharedItems/>
    </cacheField>
  </cacheFields>
  <extLst>
    <ext xmlns:x14="http://schemas.microsoft.com/office/spreadsheetml/2009/9/main" uri="{725AE2AE-9491-48be-B2B4-4EB974FC3084}">
      <x14:pivotCacheDefinition pivotCacheId="2964629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782095486109" createdVersion="8" refreshedVersion="8" minRefreshableVersion="3" recordCount="1000" xr:uid="{BAE0F9D7-56BE-4E9F-9B8A-5FFDE4147424}">
  <cacheSource type="worksheet">
    <worksheetSource ref="A1:U1001" sheet="Sheet1"/>
  </cacheSource>
  <cacheFields count="21">
    <cacheField name="Product_ID" numFmtId="0">
      <sharedItems containsSemiMixedTypes="0" containsString="0" containsNumber="1" containsInteger="1" minValue="1" maxValue="1000"/>
    </cacheField>
    <cacheField name="Product_Name" numFmtId="0">
      <sharedItems/>
    </cacheField>
    <cacheField name="Category" numFmtId="0">
      <sharedItems count="5">
        <s v="Stationery"/>
        <s v="Electronics"/>
        <s v="Clothing"/>
        <s v="Food"/>
        <s v="Home"/>
      </sharedItems>
    </cacheField>
    <cacheField name="Supplier" numFmtId="0">
      <sharedItems count="4">
        <s v="Supplier_C"/>
        <s v="Supplier_B"/>
        <s v="Supplier_D"/>
        <s v="Supplier_A"/>
      </sharedItems>
    </cacheField>
    <cacheField name="Stock_Quantity" numFmtId="0">
      <sharedItems containsSemiMixedTypes="0" containsString="0" containsNumber="1" containsInteger="1" minValue="20" maxValue="500"/>
    </cacheField>
    <cacheField name="Units_Sold_Last_30_Days" numFmtId="0">
      <sharedItems containsSemiMixedTypes="0" containsString="0" containsNumber="1" containsInteger="1" minValue="0" maxValue="449"/>
    </cacheField>
    <cacheField name="Units_Sold_Last_60_Days" numFmtId="0">
      <sharedItems containsSemiMixedTypes="0" containsString="0" containsNumber="1" containsInteger="1" minValue="10" maxValue="400"/>
    </cacheField>
    <cacheField name="Price" numFmtId="0">
      <sharedItems containsSemiMixedTypes="0" containsString="0" containsNumber="1" minValue="51.12" maxValue="4975.29"/>
    </cacheField>
    <cacheField name="COST_PRICE" numFmtId="0">
      <sharedItems containsSemiMixedTypes="0" containsString="0" containsNumber="1" minValue="28.87" maxValue="3821.44"/>
    </cacheField>
    <cacheField name="Reorder_Level" numFmtId="0">
      <sharedItems containsSemiMixedTypes="0" containsString="0" containsNumber="1" containsInteger="1" minValue="30" maxValue="150"/>
    </cacheField>
    <cacheField name="Lead_Time_Days" numFmtId="0">
      <sharedItems containsSemiMixedTypes="0" containsString="0" containsNumber="1" containsInteger="1" minValue="1" maxValue="15"/>
    </cacheField>
    <cacheField name="Last_Restock_Date" numFmtId="0">
      <sharedItems/>
    </cacheField>
    <cacheField name="Expiry_Days" numFmtId="0">
      <sharedItems containsSemiMixedTypes="0" containsString="0" containsNumber="1" containsInteger="1" minValue="30" maxValue="365"/>
    </cacheField>
    <cacheField name="Customer_Rating" numFmtId="0">
      <sharedItems containsSemiMixedTypes="0" containsString="0" containsNumber="1" containsInteger="1" minValue="1" maxValue="5"/>
    </cacheField>
    <cacheField name="Return_Quantity" numFmtId="0">
      <sharedItems containsSemiMixedTypes="0" containsString="0" containsNumber="1" containsInteger="1" minValue="0" maxValue="50"/>
    </cacheField>
    <cacheField name="Discount_Applied" numFmtId="0">
      <sharedItems/>
    </cacheField>
    <cacheField name="Storage_Location" numFmtId="0">
      <sharedItems count="3">
        <s v="Warehouse_A"/>
        <s v="Warehouse_B"/>
        <s v="Store"/>
      </sharedItems>
    </cacheField>
    <cacheField name="SALES TREND" numFmtId="0">
      <sharedItems containsSemiMixedTypes="0" containsString="0" containsNumber="1" containsInteger="1" minValue="-50" maxValue="50"/>
    </cacheField>
    <cacheField name="TURNOVER RATIO" numFmtId="0">
      <sharedItems containsSemiMixedTypes="0" containsString="0" containsNumber="1" minValue="0" maxValue="22.45"/>
    </cacheField>
    <cacheField name="RISK LEVEL" numFmtId="0">
      <sharedItems count="3">
        <s v="Medium Risk"/>
        <s v="Low Risk"/>
        <s v="High Risk"/>
      </sharedItems>
    </cacheField>
    <cacheField name="RECOMMENDED ACTION " numFmtId="0">
      <sharedItems/>
    </cacheField>
  </cacheFields>
  <extLst>
    <ext xmlns:x14="http://schemas.microsoft.com/office/spreadsheetml/2009/9/main" uri="{725AE2AE-9491-48be-B2B4-4EB974FC3084}">
      <x14:pivotCacheDefinition pivotCacheId="1704034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Product_15"/>
    <x v="0"/>
    <x v="0"/>
    <n v="193"/>
    <n v="109"/>
    <n v="146"/>
    <n v="4516.84"/>
    <n v="3046.2"/>
    <n v="147"/>
    <n v="5"/>
    <s v="2026-03-04"/>
    <n v="301"/>
    <n v="2"/>
    <n v="31"/>
    <s v="No"/>
    <x v="0"/>
    <n v="-37"/>
    <n v="0.56476683937823835"/>
    <x v="0"/>
    <s v="Monitor Sales"/>
  </r>
  <r>
    <n v="2"/>
    <s v="Product_3"/>
    <x v="1"/>
    <x v="1"/>
    <n v="196"/>
    <n v="334"/>
    <n v="311"/>
    <n v="1362.99"/>
    <n v="805.68"/>
    <n v="87"/>
    <n v="13"/>
    <s v="2026-02-15"/>
    <n v="53"/>
    <n v="1"/>
    <n v="38"/>
    <s v="No"/>
    <x v="0"/>
    <n v="23"/>
    <n v="1.7040816326530612"/>
    <x v="1"/>
    <s v="Maintain Stock"/>
  </r>
  <r>
    <n v="3"/>
    <s v="Product_87"/>
    <x v="2"/>
    <x v="0"/>
    <n v="287"/>
    <n v="220"/>
    <n v="182"/>
    <n v="2544.1999999999998"/>
    <n v="2002.09"/>
    <n v="148"/>
    <n v="13"/>
    <s v="2026-01-29"/>
    <n v="332"/>
    <n v="4"/>
    <n v="2"/>
    <s v="No"/>
    <x v="0"/>
    <n v="38"/>
    <n v="0.76655052264808365"/>
    <x v="0"/>
    <s v="Monitor Sales"/>
  </r>
  <r>
    <n v="4"/>
    <s v="Product_25"/>
    <x v="1"/>
    <x v="2"/>
    <n v="387"/>
    <n v="348"/>
    <n v="334"/>
    <n v="1010.31"/>
    <n v="603.15"/>
    <n v="130"/>
    <n v="3"/>
    <s v="2026-02-03"/>
    <n v="170"/>
    <n v="2"/>
    <n v="14"/>
    <s v="Yes"/>
    <x v="1"/>
    <n v="14"/>
    <n v="0.89922480620155043"/>
    <x v="0"/>
    <s v="Monitor Sales"/>
  </r>
  <r>
    <n v="5"/>
    <s v="Product_36"/>
    <x v="3"/>
    <x v="2"/>
    <n v="152"/>
    <n v="398"/>
    <n v="394"/>
    <n v="275.68"/>
    <n v="150.33000000000001"/>
    <n v="117"/>
    <n v="5"/>
    <s v="2026-01-10"/>
    <n v="63"/>
    <n v="4"/>
    <n v="38"/>
    <s v="No"/>
    <x v="2"/>
    <n v="4"/>
    <n v="2.6184210526315788"/>
    <x v="1"/>
    <s v="Maintain Stock"/>
  </r>
  <r>
    <n v="6"/>
    <s v="Product_69"/>
    <x v="3"/>
    <x v="0"/>
    <n v="32"/>
    <n v="269"/>
    <n v="318"/>
    <n v="2532.19"/>
    <n v="1322.13"/>
    <n v="133"/>
    <n v="11"/>
    <s v="2026-03-15"/>
    <n v="312"/>
    <n v="3"/>
    <n v="17"/>
    <s v="No"/>
    <x v="1"/>
    <n v="-49"/>
    <n v="8.40625"/>
    <x v="1"/>
    <s v="Maintain Stock"/>
  </r>
  <r>
    <n v="7"/>
    <s v="Product_46"/>
    <x v="0"/>
    <x v="2"/>
    <n v="206"/>
    <n v="187"/>
    <n v="183"/>
    <n v="1470.79"/>
    <n v="922.65"/>
    <n v="122"/>
    <n v="9"/>
    <s v="2026-01-31"/>
    <n v="343"/>
    <n v="1"/>
    <n v="8"/>
    <s v="Yes"/>
    <x v="2"/>
    <n v="4"/>
    <n v="0.90776699029126218"/>
    <x v="0"/>
    <s v="Monitor Sales"/>
  </r>
  <r>
    <n v="8"/>
    <s v="Product_78"/>
    <x v="3"/>
    <x v="2"/>
    <n v="238"/>
    <n v="143"/>
    <n v="169"/>
    <n v="2492.6799999999998"/>
    <n v="1375.04"/>
    <n v="141"/>
    <n v="6"/>
    <s v="2026-03-17"/>
    <n v="362"/>
    <n v="3"/>
    <n v="25"/>
    <s v="Yes"/>
    <x v="0"/>
    <n v="-26"/>
    <n v="0.60084033613445376"/>
    <x v="0"/>
    <s v="Monitor Sales"/>
  </r>
  <r>
    <n v="9"/>
    <s v="Product_46"/>
    <x v="0"/>
    <x v="0"/>
    <n v="319"/>
    <n v="270"/>
    <n v="242"/>
    <n v="1877.22"/>
    <n v="1231.45"/>
    <n v="140"/>
    <n v="9"/>
    <s v="2026-02-09"/>
    <n v="333"/>
    <n v="3"/>
    <n v="17"/>
    <s v="Yes"/>
    <x v="2"/>
    <n v="28"/>
    <n v="0.84639498432601878"/>
    <x v="0"/>
    <s v="Monitor Sales"/>
  </r>
  <r>
    <n v="10"/>
    <s v="Product_15"/>
    <x v="3"/>
    <x v="3"/>
    <n v="30"/>
    <n v="204"/>
    <n v="190"/>
    <n v="4132.04"/>
    <n v="2901.16"/>
    <n v="150"/>
    <n v="4"/>
    <s v="2026-02-07"/>
    <n v="207"/>
    <n v="3"/>
    <n v="22"/>
    <s v="Yes"/>
    <x v="2"/>
    <n v="14"/>
    <n v="6.8"/>
    <x v="1"/>
    <s v="Maintain Stock"/>
  </r>
  <r>
    <n v="11"/>
    <s v="Product_43"/>
    <x v="1"/>
    <x v="0"/>
    <n v="42"/>
    <n v="324"/>
    <n v="352"/>
    <n v="3815.73"/>
    <n v="2115.61"/>
    <n v="109"/>
    <n v="12"/>
    <s v="2026-01-08"/>
    <n v="260"/>
    <n v="3"/>
    <n v="25"/>
    <s v="Yes"/>
    <x v="0"/>
    <n v="-28"/>
    <n v="7.7142857142857144"/>
    <x v="1"/>
    <s v="Maintain Stock"/>
  </r>
  <r>
    <n v="12"/>
    <s v="Product_32"/>
    <x v="3"/>
    <x v="2"/>
    <n v="112"/>
    <n v="214"/>
    <n v="173"/>
    <n v="2948.09"/>
    <n v="2321.9"/>
    <n v="94"/>
    <n v="9"/>
    <s v="2026-03-26"/>
    <n v="361"/>
    <n v="1"/>
    <n v="8"/>
    <s v="Yes"/>
    <x v="0"/>
    <n v="41"/>
    <n v="1.9107142857142858"/>
    <x v="1"/>
    <s v="Maintain Stock"/>
  </r>
  <r>
    <n v="13"/>
    <s v="Product_2"/>
    <x v="4"/>
    <x v="3"/>
    <n v="35"/>
    <n v="274"/>
    <n v="287"/>
    <n v="3478.3"/>
    <n v="1920.13"/>
    <n v="144"/>
    <n v="9"/>
    <s v="2026-02-27"/>
    <n v="285"/>
    <n v="3"/>
    <n v="19"/>
    <s v="Yes"/>
    <x v="2"/>
    <n v="-13"/>
    <n v="7.8285714285714283"/>
    <x v="1"/>
    <s v="Maintain Stock"/>
  </r>
  <r>
    <n v="14"/>
    <s v="Product_80"/>
    <x v="3"/>
    <x v="2"/>
    <n v="341"/>
    <n v="308"/>
    <n v="338"/>
    <n v="2683.77"/>
    <n v="1961.91"/>
    <n v="127"/>
    <n v="4"/>
    <s v="2026-03-19"/>
    <n v="99"/>
    <n v="1"/>
    <n v="44"/>
    <s v="No"/>
    <x v="1"/>
    <n v="-30"/>
    <n v="0.90322580645161288"/>
    <x v="0"/>
    <s v="Monitor Sales"/>
  </r>
  <r>
    <n v="15"/>
    <s v="Product_64"/>
    <x v="2"/>
    <x v="3"/>
    <n v="254"/>
    <n v="237"/>
    <n v="233"/>
    <n v="4115.3599999999997"/>
    <n v="2376.15"/>
    <n v="80"/>
    <n v="4"/>
    <s v="2026-01-03"/>
    <n v="363"/>
    <n v="2"/>
    <n v="19"/>
    <s v="Yes"/>
    <x v="0"/>
    <n v="4"/>
    <n v="0.93307086614173229"/>
    <x v="0"/>
    <s v="Monitor Sales"/>
  </r>
  <r>
    <n v="16"/>
    <s v="Product_92"/>
    <x v="3"/>
    <x v="1"/>
    <n v="237"/>
    <n v="103"/>
    <n v="105"/>
    <n v="4782.57"/>
    <n v="3535.3"/>
    <n v="52"/>
    <n v="13"/>
    <s v="2026-02-06"/>
    <n v="124"/>
    <n v="2"/>
    <n v="1"/>
    <s v="No"/>
    <x v="1"/>
    <n v="-2"/>
    <n v="0.43459915611814348"/>
    <x v="2"/>
    <s v="Apply Discount / Promotion"/>
  </r>
  <r>
    <n v="17"/>
    <s v="Product_71"/>
    <x v="2"/>
    <x v="3"/>
    <n v="242"/>
    <n v="192"/>
    <n v="241"/>
    <n v="1205.6300000000001"/>
    <n v="643.17999999999995"/>
    <n v="118"/>
    <n v="10"/>
    <s v="2026-03-17"/>
    <n v="273"/>
    <n v="2"/>
    <n v="6"/>
    <s v="Yes"/>
    <x v="1"/>
    <n v="-49"/>
    <n v="0.79338842975206614"/>
    <x v="0"/>
    <s v="Monitor Sales"/>
  </r>
  <r>
    <n v="18"/>
    <s v="Product_40"/>
    <x v="3"/>
    <x v="3"/>
    <n v="271"/>
    <n v="355"/>
    <n v="311"/>
    <n v="3321.74"/>
    <n v="2188.36"/>
    <n v="73"/>
    <n v="3"/>
    <s v="2026-01-05"/>
    <n v="198"/>
    <n v="5"/>
    <n v="23"/>
    <s v="Yes"/>
    <x v="2"/>
    <n v="44"/>
    <n v="1.3099630996309963"/>
    <x v="1"/>
    <s v="Maintain Stock"/>
  </r>
  <r>
    <n v="19"/>
    <s v="Product_37"/>
    <x v="1"/>
    <x v="1"/>
    <n v="478"/>
    <n v="187"/>
    <n v="200"/>
    <n v="4720.1400000000003"/>
    <n v="2952.72"/>
    <n v="97"/>
    <n v="4"/>
    <s v="2026-01-01"/>
    <n v="328"/>
    <n v="1"/>
    <n v="5"/>
    <s v="Yes"/>
    <x v="0"/>
    <n v="-13"/>
    <n v="0.39121338912133891"/>
    <x v="2"/>
    <s v="Apply Discount / Promotion"/>
  </r>
  <r>
    <n v="20"/>
    <s v="Product_58"/>
    <x v="1"/>
    <x v="1"/>
    <n v="364"/>
    <n v="273"/>
    <n v="226"/>
    <n v="1528.49"/>
    <n v="1099.73"/>
    <n v="115"/>
    <n v="9"/>
    <s v="2026-03-21"/>
    <n v="291"/>
    <n v="5"/>
    <n v="5"/>
    <s v="No"/>
    <x v="1"/>
    <n v="47"/>
    <n v="0.75"/>
    <x v="0"/>
    <s v="Monitor Sales"/>
  </r>
  <r>
    <n v="21"/>
    <s v="Product_72"/>
    <x v="1"/>
    <x v="1"/>
    <n v="84"/>
    <n v="292"/>
    <n v="308"/>
    <n v="805.32"/>
    <n v="564.86"/>
    <n v="127"/>
    <n v="11"/>
    <s v="2026-01-23"/>
    <n v="365"/>
    <n v="4"/>
    <n v="12"/>
    <s v="No"/>
    <x v="0"/>
    <n v="-16"/>
    <n v="3.4761904761904763"/>
    <x v="1"/>
    <s v="Maintain Stock"/>
  </r>
  <r>
    <n v="22"/>
    <s v="Product_45"/>
    <x v="0"/>
    <x v="2"/>
    <n v="32"/>
    <n v="402"/>
    <n v="355"/>
    <n v="1700.54"/>
    <n v="1244.5999999999999"/>
    <n v="79"/>
    <n v="12"/>
    <s v="2026-03-06"/>
    <n v="176"/>
    <n v="5"/>
    <n v="2"/>
    <s v="No"/>
    <x v="2"/>
    <n v="47"/>
    <n v="12.5625"/>
    <x v="1"/>
    <s v="Maintain Stock"/>
  </r>
  <r>
    <n v="23"/>
    <s v="Product_4"/>
    <x v="4"/>
    <x v="1"/>
    <n v="295"/>
    <n v="31"/>
    <n v="19"/>
    <n v="731.03"/>
    <n v="574.9"/>
    <n v="51"/>
    <n v="9"/>
    <s v="2026-03-07"/>
    <n v="151"/>
    <n v="5"/>
    <n v="41"/>
    <s v="No"/>
    <x v="2"/>
    <n v="12"/>
    <n v="0.10508474576271186"/>
    <x v="2"/>
    <s v="Apply Discount / Promotion"/>
  </r>
  <r>
    <n v="24"/>
    <s v="Product_97"/>
    <x v="0"/>
    <x v="2"/>
    <n v="72"/>
    <n v="131"/>
    <n v="139"/>
    <n v="3406.31"/>
    <n v="2265.98"/>
    <n v="74"/>
    <n v="13"/>
    <s v="2026-01-01"/>
    <n v="69"/>
    <n v="1"/>
    <n v="27"/>
    <s v="No"/>
    <x v="0"/>
    <n v="-8"/>
    <n v="1.8194444444444444"/>
    <x v="1"/>
    <s v="Maintain Stock"/>
  </r>
  <r>
    <n v="25"/>
    <s v="Product_79"/>
    <x v="2"/>
    <x v="0"/>
    <n v="129"/>
    <n v="219"/>
    <n v="196"/>
    <n v="3071.46"/>
    <n v="2413.02"/>
    <n v="63"/>
    <n v="12"/>
    <s v="2026-01-22"/>
    <n v="64"/>
    <n v="1"/>
    <n v="9"/>
    <s v="Yes"/>
    <x v="2"/>
    <n v="23"/>
    <n v="1.6976744186046511"/>
    <x v="1"/>
    <s v="Maintain Stock"/>
  </r>
  <r>
    <n v="26"/>
    <s v="Product_39"/>
    <x v="1"/>
    <x v="1"/>
    <n v="416"/>
    <n v="306"/>
    <n v="302"/>
    <n v="4112.3900000000003"/>
    <n v="2653.92"/>
    <n v="96"/>
    <n v="5"/>
    <s v="2026-01-15"/>
    <n v="280"/>
    <n v="2"/>
    <n v="31"/>
    <s v="No"/>
    <x v="1"/>
    <n v="4"/>
    <n v="0.73557692307692313"/>
    <x v="0"/>
    <s v="Monitor Sales"/>
  </r>
  <r>
    <n v="27"/>
    <s v="Product_99"/>
    <x v="0"/>
    <x v="0"/>
    <n v="49"/>
    <n v="369"/>
    <n v="350"/>
    <n v="4343.22"/>
    <n v="2506.58"/>
    <n v="148"/>
    <n v="2"/>
    <s v="2026-02-01"/>
    <n v="101"/>
    <n v="4"/>
    <n v="42"/>
    <s v="No"/>
    <x v="2"/>
    <n v="19"/>
    <n v="7.5306122448979593"/>
    <x v="1"/>
    <s v="Maintain Stock"/>
  </r>
  <r>
    <n v="28"/>
    <s v="Product_62"/>
    <x v="4"/>
    <x v="3"/>
    <n v="53"/>
    <n v="429"/>
    <n v="395"/>
    <n v="767.03"/>
    <n v="504.18"/>
    <n v="60"/>
    <n v="7"/>
    <s v="2026-03-04"/>
    <n v="170"/>
    <n v="1"/>
    <n v="20"/>
    <s v="Yes"/>
    <x v="0"/>
    <n v="34"/>
    <n v="8.0943396226415096"/>
    <x v="1"/>
    <s v="Maintain Stock"/>
  </r>
  <r>
    <n v="29"/>
    <s v="Product_17"/>
    <x v="0"/>
    <x v="3"/>
    <n v="321"/>
    <n v="145"/>
    <n v="172"/>
    <n v="2148.37"/>
    <n v="1442.55"/>
    <n v="94"/>
    <n v="1"/>
    <s v="2026-01-22"/>
    <n v="116"/>
    <n v="4"/>
    <n v="48"/>
    <s v="Yes"/>
    <x v="1"/>
    <n v="-27"/>
    <n v="0.45171339563862928"/>
    <x v="2"/>
    <s v="Apply Discount / Promotion"/>
  </r>
  <r>
    <n v="30"/>
    <s v="Product_58"/>
    <x v="0"/>
    <x v="1"/>
    <n v="255"/>
    <n v="106"/>
    <n v="69"/>
    <n v="742.31"/>
    <n v="464.9"/>
    <n v="109"/>
    <n v="1"/>
    <s v="2026-01-11"/>
    <n v="190"/>
    <n v="3"/>
    <n v="3"/>
    <s v="No"/>
    <x v="2"/>
    <n v="37"/>
    <n v="0.41568627450980394"/>
    <x v="2"/>
    <s v="Apply Discount / Promotion"/>
  </r>
  <r>
    <n v="31"/>
    <s v="Product_92"/>
    <x v="3"/>
    <x v="3"/>
    <n v="455"/>
    <n v="260"/>
    <n v="298"/>
    <n v="408.83"/>
    <n v="217.87"/>
    <n v="69"/>
    <n v="4"/>
    <s v="2026-03-05"/>
    <n v="133"/>
    <n v="2"/>
    <n v="40"/>
    <s v="No"/>
    <x v="1"/>
    <n v="-38"/>
    <n v="0.5714285714285714"/>
    <x v="0"/>
    <s v="Monitor Sales"/>
  </r>
  <r>
    <n v="32"/>
    <s v="Product_17"/>
    <x v="0"/>
    <x v="3"/>
    <n v="202"/>
    <n v="301"/>
    <n v="325"/>
    <n v="1100.92"/>
    <n v="754.75"/>
    <n v="55"/>
    <n v="13"/>
    <s v="2026-03-10"/>
    <n v="109"/>
    <n v="4"/>
    <n v="16"/>
    <s v="Yes"/>
    <x v="2"/>
    <n v="-24"/>
    <n v="1.4900990099009901"/>
    <x v="1"/>
    <s v="Maintain Stock"/>
  </r>
  <r>
    <n v="33"/>
    <s v="Product_64"/>
    <x v="0"/>
    <x v="2"/>
    <n v="106"/>
    <n v="0"/>
    <n v="14"/>
    <n v="3639.86"/>
    <n v="2111.0700000000002"/>
    <n v="85"/>
    <n v="11"/>
    <s v="2026-03-14"/>
    <n v="56"/>
    <n v="4"/>
    <n v="36"/>
    <s v="Yes"/>
    <x v="1"/>
    <n v="-14"/>
    <n v="0"/>
    <x v="2"/>
    <s v="Apply Discount / Promotion"/>
  </r>
  <r>
    <n v="34"/>
    <s v="Product_98"/>
    <x v="4"/>
    <x v="2"/>
    <n v="36"/>
    <n v="23"/>
    <n v="27"/>
    <n v="1945.04"/>
    <n v="1221.8399999999999"/>
    <n v="100"/>
    <n v="8"/>
    <s v="2026-03-21"/>
    <n v="50"/>
    <n v="1"/>
    <n v="7"/>
    <s v="Yes"/>
    <x v="2"/>
    <n v="-4"/>
    <n v="0.63888888888888884"/>
    <x v="0"/>
    <s v="Monitor Sales"/>
  </r>
  <r>
    <n v="35"/>
    <s v="Product_2"/>
    <x v="3"/>
    <x v="1"/>
    <n v="194"/>
    <n v="355"/>
    <n v="307"/>
    <n v="1789.49"/>
    <n v="1054.77"/>
    <n v="127"/>
    <n v="10"/>
    <s v="2026-02-17"/>
    <n v="125"/>
    <n v="1"/>
    <n v="50"/>
    <s v="Yes"/>
    <x v="2"/>
    <n v="48"/>
    <n v="1.8298969072164948"/>
    <x v="1"/>
    <s v="Maintain Stock"/>
  </r>
  <r>
    <n v="36"/>
    <s v="Product_86"/>
    <x v="2"/>
    <x v="2"/>
    <n v="321"/>
    <n v="267"/>
    <n v="245"/>
    <n v="1094.27"/>
    <n v="591.78"/>
    <n v="33"/>
    <n v="7"/>
    <s v="2026-02-10"/>
    <n v="224"/>
    <n v="1"/>
    <n v="19"/>
    <s v="Yes"/>
    <x v="2"/>
    <n v="22"/>
    <n v="0.83177570093457942"/>
    <x v="0"/>
    <s v="Monitor Sales"/>
  </r>
  <r>
    <n v="37"/>
    <s v="Product_41"/>
    <x v="3"/>
    <x v="1"/>
    <n v="217"/>
    <n v="191"/>
    <n v="191"/>
    <n v="304.48"/>
    <n v="177.07"/>
    <n v="121"/>
    <n v="1"/>
    <s v="2026-01-26"/>
    <n v="118"/>
    <n v="2"/>
    <n v="0"/>
    <s v="Yes"/>
    <x v="0"/>
    <n v="0"/>
    <n v="0.88018433179723499"/>
    <x v="0"/>
    <s v="Monitor Sales"/>
  </r>
  <r>
    <n v="38"/>
    <s v="Product_36"/>
    <x v="4"/>
    <x v="2"/>
    <n v="327"/>
    <n v="128"/>
    <n v="165"/>
    <n v="4427.17"/>
    <n v="2537.88"/>
    <n v="111"/>
    <n v="14"/>
    <s v="2026-03-11"/>
    <n v="254"/>
    <n v="1"/>
    <n v="34"/>
    <s v="No"/>
    <x v="2"/>
    <n v="-37"/>
    <n v="0.39143730886850153"/>
    <x v="2"/>
    <s v="Apply Discount / Promotion"/>
  </r>
  <r>
    <n v="39"/>
    <s v="Product_24"/>
    <x v="2"/>
    <x v="1"/>
    <n v="496"/>
    <n v="102"/>
    <n v="56"/>
    <n v="2371.12"/>
    <n v="1536.43"/>
    <n v="38"/>
    <n v="3"/>
    <s v="2026-02-27"/>
    <n v="204"/>
    <n v="2"/>
    <n v="14"/>
    <s v="No"/>
    <x v="2"/>
    <n v="46"/>
    <n v="0.20564516129032259"/>
    <x v="2"/>
    <s v="Apply Discount / Promotion"/>
  </r>
  <r>
    <n v="40"/>
    <s v="Product_39"/>
    <x v="2"/>
    <x v="3"/>
    <n v="249"/>
    <n v="409"/>
    <n v="376"/>
    <n v="1174.97"/>
    <n v="607.71"/>
    <n v="150"/>
    <n v="1"/>
    <s v="2026-03-22"/>
    <n v="292"/>
    <n v="4"/>
    <n v="50"/>
    <s v="No"/>
    <x v="2"/>
    <n v="33"/>
    <n v="1.642570281124498"/>
    <x v="1"/>
    <s v="Maintain Stock"/>
  </r>
  <r>
    <n v="41"/>
    <s v="Product_74"/>
    <x v="2"/>
    <x v="2"/>
    <n v="106"/>
    <n v="233"/>
    <n v="248"/>
    <n v="3836.18"/>
    <n v="2893.38"/>
    <n v="112"/>
    <n v="5"/>
    <s v="2026-02-09"/>
    <n v="244"/>
    <n v="4"/>
    <n v="39"/>
    <s v="Yes"/>
    <x v="2"/>
    <n v="-15"/>
    <n v="2.1981132075471699"/>
    <x v="1"/>
    <s v="Maintain Stock"/>
  </r>
  <r>
    <n v="42"/>
    <s v="Product_85"/>
    <x v="0"/>
    <x v="2"/>
    <n v="428"/>
    <n v="142"/>
    <n v="171"/>
    <n v="2853.06"/>
    <n v="1803.61"/>
    <n v="48"/>
    <n v="12"/>
    <s v="2026-01-10"/>
    <n v="301"/>
    <n v="1"/>
    <n v="40"/>
    <s v="Yes"/>
    <x v="0"/>
    <n v="-29"/>
    <n v="0.33177570093457942"/>
    <x v="2"/>
    <s v="Apply Discount / Promotion"/>
  </r>
  <r>
    <n v="43"/>
    <s v="Product_57"/>
    <x v="4"/>
    <x v="3"/>
    <n v="340"/>
    <n v="245"/>
    <n v="229"/>
    <n v="998.4"/>
    <n v="580.88"/>
    <n v="113"/>
    <n v="3"/>
    <s v="2026-02-01"/>
    <n v="204"/>
    <n v="1"/>
    <n v="5"/>
    <s v="Yes"/>
    <x v="1"/>
    <n v="16"/>
    <n v="0.72058823529411764"/>
    <x v="0"/>
    <s v="Monitor Sales"/>
  </r>
  <r>
    <n v="44"/>
    <s v="Product_21"/>
    <x v="3"/>
    <x v="2"/>
    <n v="193"/>
    <n v="309"/>
    <n v="298"/>
    <n v="4086.49"/>
    <n v="3066.6"/>
    <n v="73"/>
    <n v="13"/>
    <s v="2026-01-20"/>
    <n v="152"/>
    <n v="5"/>
    <n v="50"/>
    <s v="Yes"/>
    <x v="1"/>
    <n v="11"/>
    <n v="1.6010362694300517"/>
    <x v="1"/>
    <s v="Maintain Stock"/>
  </r>
  <r>
    <n v="45"/>
    <s v="Product_41"/>
    <x v="1"/>
    <x v="3"/>
    <n v="464"/>
    <n v="356"/>
    <n v="315"/>
    <n v="3090.84"/>
    <n v="1578.32"/>
    <n v="126"/>
    <n v="15"/>
    <s v="2026-03-23"/>
    <n v="314"/>
    <n v="5"/>
    <n v="49"/>
    <s v="No"/>
    <x v="2"/>
    <n v="41"/>
    <n v="0.76724137931034486"/>
    <x v="0"/>
    <s v="Monitor Sales"/>
  </r>
  <r>
    <n v="46"/>
    <s v="Product_42"/>
    <x v="1"/>
    <x v="2"/>
    <n v="500"/>
    <n v="130"/>
    <n v="118"/>
    <n v="1892.32"/>
    <n v="1045.45"/>
    <n v="149"/>
    <n v="15"/>
    <s v="2026-01-30"/>
    <n v="203"/>
    <n v="4"/>
    <n v="30"/>
    <s v="No"/>
    <x v="1"/>
    <n v="12"/>
    <n v="0.26"/>
    <x v="2"/>
    <s v="Apply Discount / Promotion"/>
  </r>
  <r>
    <n v="47"/>
    <s v="Product_42"/>
    <x v="3"/>
    <x v="1"/>
    <n v="37"/>
    <n v="194"/>
    <n v="210"/>
    <n v="2144.34"/>
    <n v="1155.6300000000001"/>
    <n v="46"/>
    <n v="9"/>
    <s v="2026-03-16"/>
    <n v="266"/>
    <n v="4"/>
    <n v="8"/>
    <s v="Yes"/>
    <x v="0"/>
    <n v="-16"/>
    <n v="5.243243243243243"/>
    <x v="1"/>
    <s v="Maintain Stock"/>
  </r>
  <r>
    <n v="48"/>
    <s v="Product_11"/>
    <x v="0"/>
    <x v="0"/>
    <n v="389"/>
    <n v="223"/>
    <n v="189"/>
    <n v="3533.45"/>
    <n v="2718.71"/>
    <n v="118"/>
    <n v="10"/>
    <s v="2026-01-04"/>
    <n v="125"/>
    <n v="5"/>
    <n v="41"/>
    <s v="Yes"/>
    <x v="2"/>
    <n v="34"/>
    <n v="0.57326478149100257"/>
    <x v="0"/>
    <s v="Monitor Sales"/>
  </r>
  <r>
    <n v="49"/>
    <s v="Product_13"/>
    <x v="1"/>
    <x v="3"/>
    <n v="431"/>
    <n v="207"/>
    <n v="233"/>
    <n v="3909.93"/>
    <n v="3012.95"/>
    <n v="79"/>
    <n v="10"/>
    <s v="2026-03-18"/>
    <n v="300"/>
    <n v="3"/>
    <n v="0"/>
    <s v="Yes"/>
    <x v="1"/>
    <n v="-26"/>
    <n v="0.48027842227378192"/>
    <x v="2"/>
    <s v="Apply Discount / Promotion"/>
  </r>
  <r>
    <n v="50"/>
    <s v="Product_89"/>
    <x v="3"/>
    <x v="2"/>
    <n v="65"/>
    <n v="156"/>
    <n v="182"/>
    <n v="2564.31"/>
    <n v="2031.34"/>
    <n v="73"/>
    <n v="7"/>
    <s v="2026-02-09"/>
    <n v="230"/>
    <n v="1"/>
    <n v="10"/>
    <s v="No"/>
    <x v="2"/>
    <n v="-26"/>
    <n v="2.4"/>
    <x v="1"/>
    <s v="Maintain Stock"/>
  </r>
  <r>
    <n v="51"/>
    <s v="Product_22"/>
    <x v="2"/>
    <x v="3"/>
    <n v="217"/>
    <n v="47"/>
    <n v="16"/>
    <n v="2812.84"/>
    <n v="2192.86"/>
    <n v="69"/>
    <n v="12"/>
    <s v="2026-03-04"/>
    <n v="68"/>
    <n v="5"/>
    <n v="36"/>
    <s v="No"/>
    <x v="1"/>
    <n v="31"/>
    <n v="0.21658986175115208"/>
    <x v="2"/>
    <s v="Apply Discount / Promotion"/>
  </r>
  <r>
    <n v="52"/>
    <s v="Product_64"/>
    <x v="1"/>
    <x v="1"/>
    <n v="187"/>
    <n v="22"/>
    <n v="66"/>
    <n v="3417.37"/>
    <n v="1736.79"/>
    <n v="103"/>
    <n v="12"/>
    <s v="2026-03-01"/>
    <n v="74"/>
    <n v="4"/>
    <n v="4"/>
    <s v="No"/>
    <x v="1"/>
    <n v="-44"/>
    <n v="0.11764705882352941"/>
    <x v="2"/>
    <s v="Apply Discount / Promotion"/>
  </r>
  <r>
    <n v="53"/>
    <s v="Product_59"/>
    <x v="1"/>
    <x v="2"/>
    <n v="336"/>
    <n v="251"/>
    <n v="300"/>
    <n v="4466.45"/>
    <n v="2235.89"/>
    <n v="78"/>
    <n v="4"/>
    <s v="2026-03-01"/>
    <n v="237"/>
    <n v="4"/>
    <n v="36"/>
    <s v="Yes"/>
    <x v="2"/>
    <n v="-49"/>
    <n v="0.74702380952380953"/>
    <x v="0"/>
    <s v="Monitor Sales"/>
  </r>
  <r>
    <n v="54"/>
    <s v="Product_18"/>
    <x v="0"/>
    <x v="2"/>
    <n v="346"/>
    <n v="299"/>
    <n v="325"/>
    <n v="2406.9499999999998"/>
    <n v="1763.33"/>
    <n v="109"/>
    <n v="2"/>
    <s v="2026-03-14"/>
    <n v="183"/>
    <n v="5"/>
    <n v="44"/>
    <s v="Yes"/>
    <x v="0"/>
    <n v="-26"/>
    <n v="0.86416184971098264"/>
    <x v="0"/>
    <s v="Monitor Sales"/>
  </r>
  <r>
    <n v="55"/>
    <s v="Product_99"/>
    <x v="1"/>
    <x v="2"/>
    <n v="312"/>
    <n v="152"/>
    <n v="156"/>
    <n v="491.11"/>
    <n v="273.72000000000003"/>
    <n v="137"/>
    <n v="8"/>
    <s v="2026-01-18"/>
    <n v="196"/>
    <n v="3"/>
    <n v="47"/>
    <s v="Yes"/>
    <x v="2"/>
    <n v="-4"/>
    <n v="0.48717948717948717"/>
    <x v="2"/>
    <s v="Apply Discount / Promotion"/>
  </r>
  <r>
    <n v="56"/>
    <s v="Product_48"/>
    <x v="4"/>
    <x v="3"/>
    <n v="428"/>
    <n v="127"/>
    <n v="136"/>
    <n v="4552.08"/>
    <n v="3042.39"/>
    <n v="121"/>
    <n v="4"/>
    <s v="2026-03-13"/>
    <n v="57"/>
    <n v="1"/>
    <n v="23"/>
    <s v="Yes"/>
    <x v="0"/>
    <n v="-9"/>
    <n v="0.29672897196261683"/>
    <x v="2"/>
    <s v="Apply Discount / Promotion"/>
  </r>
  <r>
    <n v="57"/>
    <s v="Product_50"/>
    <x v="0"/>
    <x v="3"/>
    <n v="310"/>
    <n v="110"/>
    <n v="160"/>
    <n v="3548.04"/>
    <n v="2710.53"/>
    <n v="75"/>
    <n v="12"/>
    <s v="2026-01-05"/>
    <n v="297"/>
    <n v="3"/>
    <n v="14"/>
    <s v="No"/>
    <x v="2"/>
    <n v="-50"/>
    <n v="0.35483870967741937"/>
    <x v="2"/>
    <s v="Apply Discount / Promotion"/>
  </r>
  <r>
    <n v="58"/>
    <s v="Product_42"/>
    <x v="0"/>
    <x v="0"/>
    <n v="336"/>
    <n v="38"/>
    <n v="72"/>
    <n v="3653.72"/>
    <n v="2286.7399999999998"/>
    <n v="147"/>
    <n v="4"/>
    <s v="2026-03-02"/>
    <n v="169"/>
    <n v="2"/>
    <n v="20"/>
    <s v="Yes"/>
    <x v="1"/>
    <n v="-34"/>
    <n v="0.1130952380952381"/>
    <x v="2"/>
    <s v="Apply Discount / Promotion"/>
  </r>
  <r>
    <n v="59"/>
    <s v="Product_28"/>
    <x v="1"/>
    <x v="2"/>
    <n v="68"/>
    <n v="177"/>
    <n v="140"/>
    <n v="674.73"/>
    <n v="368.06"/>
    <n v="75"/>
    <n v="3"/>
    <s v="2026-03-24"/>
    <n v="32"/>
    <n v="3"/>
    <n v="17"/>
    <s v="Yes"/>
    <x v="2"/>
    <n v="37"/>
    <n v="2.6029411764705883"/>
    <x v="1"/>
    <s v="Maintain Stock"/>
  </r>
  <r>
    <n v="60"/>
    <s v="Product_69"/>
    <x v="4"/>
    <x v="1"/>
    <n v="343"/>
    <n v="330"/>
    <n v="346"/>
    <n v="923.2"/>
    <n v="586.62"/>
    <n v="113"/>
    <n v="9"/>
    <s v="2026-01-24"/>
    <n v="96"/>
    <n v="2"/>
    <n v="35"/>
    <s v="Yes"/>
    <x v="0"/>
    <n v="-16"/>
    <n v="0.96209912536443154"/>
    <x v="0"/>
    <s v="Monitor Sales"/>
  </r>
  <r>
    <n v="61"/>
    <s v="Product_69"/>
    <x v="0"/>
    <x v="2"/>
    <n v="201"/>
    <n v="249"/>
    <n v="278"/>
    <n v="4533.29"/>
    <n v="2799.04"/>
    <n v="51"/>
    <n v="14"/>
    <s v="2026-01-11"/>
    <n v="182"/>
    <n v="5"/>
    <n v="43"/>
    <s v="No"/>
    <x v="1"/>
    <n v="-29"/>
    <n v="1.2388059701492538"/>
    <x v="1"/>
    <s v="Maintain Stock"/>
  </r>
  <r>
    <n v="62"/>
    <s v="Product_1"/>
    <x v="2"/>
    <x v="3"/>
    <n v="199"/>
    <n v="328"/>
    <n v="323"/>
    <n v="1537.54"/>
    <n v="949.91"/>
    <n v="57"/>
    <n v="14"/>
    <s v="2025-12-29"/>
    <n v="39"/>
    <n v="2"/>
    <n v="17"/>
    <s v="Yes"/>
    <x v="0"/>
    <n v="5"/>
    <n v="1.6482412060301508"/>
    <x v="1"/>
    <s v="Maintain Stock"/>
  </r>
  <r>
    <n v="63"/>
    <s v="Product_47"/>
    <x v="4"/>
    <x v="1"/>
    <n v="69"/>
    <n v="199"/>
    <n v="202"/>
    <n v="2089.17"/>
    <n v="1569.42"/>
    <n v="102"/>
    <n v="7"/>
    <s v="2026-03-25"/>
    <n v="32"/>
    <n v="3"/>
    <n v="0"/>
    <s v="Yes"/>
    <x v="0"/>
    <n v="-3"/>
    <n v="2.8840579710144927"/>
    <x v="1"/>
    <s v="Maintain Stock"/>
  </r>
  <r>
    <n v="64"/>
    <s v="Product_60"/>
    <x v="4"/>
    <x v="0"/>
    <n v="430"/>
    <n v="199"/>
    <n v="208"/>
    <n v="2090.65"/>
    <n v="1440.98"/>
    <n v="97"/>
    <n v="15"/>
    <s v="2026-01-21"/>
    <n v="192"/>
    <n v="4"/>
    <n v="0"/>
    <s v="Yes"/>
    <x v="2"/>
    <n v="-9"/>
    <n v="0.46279069767441861"/>
    <x v="2"/>
    <s v="Apply Discount / Promotion"/>
  </r>
  <r>
    <n v="65"/>
    <s v="Product_61"/>
    <x v="4"/>
    <x v="0"/>
    <n v="322"/>
    <n v="272"/>
    <n v="320"/>
    <n v="1187.01"/>
    <n v="875.62"/>
    <n v="132"/>
    <n v="10"/>
    <s v="2025-12-29"/>
    <n v="135"/>
    <n v="2"/>
    <n v="49"/>
    <s v="No"/>
    <x v="0"/>
    <n v="-48"/>
    <n v="0.84472049689440998"/>
    <x v="0"/>
    <s v="Monitor Sales"/>
  </r>
  <r>
    <n v="66"/>
    <s v="Product_39"/>
    <x v="0"/>
    <x v="3"/>
    <n v="363"/>
    <n v="239"/>
    <n v="216"/>
    <n v="4673.5"/>
    <n v="3192.68"/>
    <n v="68"/>
    <n v="6"/>
    <s v="2026-02-08"/>
    <n v="155"/>
    <n v="2"/>
    <n v="0"/>
    <s v="Yes"/>
    <x v="1"/>
    <n v="23"/>
    <n v="0.6584022038567493"/>
    <x v="0"/>
    <s v="Monitor Sales"/>
  </r>
  <r>
    <n v="67"/>
    <s v="Product_68"/>
    <x v="3"/>
    <x v="3"/>
    <n v="272"/>
    <n v="231"/>
    <n v="209"/>
    <n v="1874.41"/>
    <n v="1395.02"/>
    <n v="130"/>
    <n v="13"/>
    <s v="2026-02-18"/>
    <n v="339"/>
    <n v="5"/>
    <n v="4"/>
    <s v="Yes"/>
    <x v="1"/>
    <n v="22"/>
    <n v="0.84926470588235292"/>
    <x v="0"/>
    <s v="Monitor Sales"/>
  </r>
  <r>
    <n v="68"/>
    <s v="Product_76"/>
    <x v="4"/>
    <x v="2"/>
    <n v="183"/>
    <n v="385"/>
    <n v="366"/>
    <n v="1115.05"/>
    <n v="731.33"/>
    <n v="136"/>
    <n v="13"/>
    <s v="2026-02-23"/>
    <n v="120"/>
    <n v="5"/>
    <n v="43"/>
    <s v="Yes"/>
    <x v="1"/>
    <n v="19"/>
    <n v="2.1038251366120218"/>
    <x v="1"/>
    <s v="Maintain Stock"/>
  </r>
  <r>
    <n v="69"/>
    <s v="Product_48"/>
    <x v="0"/>
    <x v="2"/>
    <n v="247"/>
    <n v="289"/>
    <n v="311"/>
    <n v="2989.05"/>
    <n v="1928.97"/>
    <n v="119"/>
    <n v="7"/>
    <s v="2026-02-18"/>
    <n v="203"/>
    <n v="1"/>
    <n v="3"/>
    <s v="Yes"/>
    <x v="1"/>
    <n v="-22"/>
    <n v="1.1700404858299596"/>
    <x v="1"/>
    <s v="Maintain Stock"/>
  </r>
  <r>
    <n v="70"/>
    <s v="Product_88"/>
    <x v="2"/>
    <x v="2"/>
    <n v="115"/>
    <n v="125"/>
    <n v="165"/>
    <n v="741.43"/>
    <n v="582.41"/>
    <n v="102"/>
    <n v="2"/>
    <s v="2026-01-22"/>
    <n v="320"/>
    <n v="5"/>
    <n v="32"/>
    <s v="Yes"/>
    <x v="0"/>
    <n v="-40"/>
    <n v="1.0869565217391304"/>
    <x v="1"/>
    <s v="Maintain Stock"/>
  </r>
  <r>
    <n v="71"/>
    <s v="Product_51"/>
    <x v="4"/>
    <x v="1"/>
    <n v="179"/>
    <n v="137"/>
    <n v="98"/>
    <n v="380.08"/>
    <n v="270.95"/>
    <n v="89"/>
    <n v="15"/>
    <s v="2026-02-28"/>
    <n v="301"/>
    <n v="1"/>
    <n v="12"/>
    <s v="No"/>
    <x v="2"/>
    <n v="39"/>
    <n v="0.76536312849162014"/>
    <x v="0"/>
    <s v="Monitor Sales"/>
  </r>
  <r>
    <n v="72"/>
    <s v="Product_86"/>
    <x v="1"/>
    <x v="3"/>
    <n v="199"/>
    <n v="121"/>
    <n v="164"/>
    <n v="1151.72"/>
    <n v="659.11"/>
    <n v="149"/>
    <n v="7"/>
    <s v="2026-03-16"/>
    <n v="307"/>
    <n v="4"/>
    <n v="43"/>
    <s v="Yes"/>
    <x v="2"/>
    <n v="-43"/>
    <n v="0.60804020100502509"/>
    <x v="0"/>
    <s v="Monitor Sales"/>
  </r>
  <r>
    <n v="73"/>
    <s v="Product_76"/>
    <x v="4"/>
    <x v="2"/>
    <n v="228"/>
    <n v="119"/>
    <n v="165"/>
    <n v="3330.22"/>
    <n v="2078.6"/>
    <n v="53"/>
    <n v="14"/>
    <s v="2026-01-13"/>
    <n v="203"/>
    <n v="4"/>
    <n v="15"/>
    <s v="Yes"/>
    <x v="0"/>
    <n v="-46"/>
    <n v="0.52192982456140347"/>
    <x v="0"/>
    <s v="Monitor Sales"/>
  </r>
  <r>
    <n v="74"/>
    <s v="Product_93"/>
    <x v="4"/>
    <x v="0"/>
    <n v="127"/>
    <n v="0"/>
    <n v="31"/>
    <n v="4808.95"/>
    <n v="2887.91"/>
    <n v="149"/>
    <n v="4"/>
    <s v="2026-02-23"/>
    <n v="352"/>
    <n v="4"/>
    <n v="30"/>
    <s v="Yes"/>
    <x v="1"/>
    <n v="-31"/>
    <n v="0"/>
    <x v="2"/>
    <s v="Apply Discount / Promotion"/>
  </r>
  <r>
    <n v="75"/>
    <s v="Product_49"/>
    <x v="3"/>
    <x v="3"/>
    <n v="226"/>
    <n v="129"/>
    <n v="162"/>
    <n v="1326.04"/>
    <n v="839.65"/>
    <n v="103"/>
    <n v="12"/>
    <s v="2026-01-01"/>
    <n v="97"/>
    <n v="2"/>
    <n v="48"/>
    <s v="Yes"/>
    <x v="1"/>
    <n v="-33"/>
    <n v="0.57079646017699115"/>
    <x v="0"/>
    <s v="Monitor Sales"/>
  </r>
  <r>
    <n v="76"/>
    <s v="Product_30"/>
    <x v="4"/>
    <x v="1"/>
    <n v="251"/>
    <n v="131"/>
    <n v="104"/>
    <n v="1123.6500000000001"/>
    <n v="638.69000000000005"/>
    <n v="59"/>
    <n v="15"/>
    <s v="2026-01-15"/>
    <n v="341"/>
    <n v="2"/>
    <n v="43"/>
    <s v="No"/>
    <x v="2"/>
    <n v="27"/>
    <n v="0.52191235059760954"/>
    <x v="0"/>
    <s v="Monitor Sales"/>
  </r>
  <r>
    <n v="77"/>
    <s v="Product_18"/>
    <x v="0"/>
    <x v="2"/>
    <n v="425"/>
    <n v="112"/>
    <n v="67"/>
    <n v="1218.26"/>
    <n v="660.51"/>
    <n v="106"/>
    <n v="2"/>
    <s v="2026-02-09"/>
    <n v="83"/>
    <n v="3"/>
    <n v="29"/>
    <s v="No"/>
    <x v="1"/>
    <n v="45"/>
    <n v="0.2635294117647059"/>
    <x v="2"/>
    <s v="Apply Discount / Promotion"/>
  </r>
  <r>
    <n v="78"/>
    <s v="Product_45"/>
    <x v="3"/>
    <x v="2"/>
    <n v="58"/>
    <n v="360"/>
    <n v="367"/>
    <n v="2429.9"/>
    <n v="1590.87"/>
    <n v="112"/>
    <n v="3"/>
    <s v="2026-01-04"/>
    <n v="275"/>
    <n v="5"/>
    <n v="34"/>
    <s v="Yes"/>
    <x v="1"/>
    <n v="-7"/>
    <n v="6.2068965517241379"/>
    <x v="1"/>
    <s v="Maintain Stock"/>
  </r>
  <r>
    <n v="79"/>
    <s v="Product_17"/>
    <x v="0"/>
    <x v="1"/>
    <n v="54"/>
    <n v="306"/>
    <n v="318"/>
    <n v="1682.54"/>
    <n v="1008.08"/>
    <n v="68"/>
    <n v="6"/>
    <s v="2026-03-20"/>
    <n v="320"/>
    <n v="1"/>
    <n v="1"/>
    <s v="Yes"/>
    <x v="0"/>
    <n v="-12"/>
    <n v="5.666666666666667"/>
    <x v="1"/>
    <s v="Maintain Stock"/>
  </r>
  <r>
    <n v="80"/>
    <s v="Product_85"/>
    <x v="3"/>
    <x v="0"/>
    <n v="207"/>
    <n v="202"/>
    <n v="228"/>
    <n v="984.3"/>
    <n v="769.32"/>
    <n v="84"/>
    <n v="8"/>
    <s v="2026-01-02"/>
    <n v="134"/>
    <n v="3"/>
    <n v="32"/>
    <s v="No"/>
    <x v="1"/>
    <n v="-26"/>
    <n v="0.97584541062801933"/>
    <x v="0"/>
    <s v="Monitor Sales"/>
  </r>
  <r>
    <n v="81"/>
    <s v="Product_80"/>
    <x v="4"/>
    <x v="0"/>
    <n v="59"/>
    <n v="131"/>
    <n v="117"/>
    <n v="1900.12"/>
    <n v="1263.73"/>
    <n v="83"/>
    <n v="3"/>
    <s v="2026-01-18"/>
    <n v="320"/>
    <n v="5"/>
    <n v="7"/>
    <s v="Yes"/>
    <x v="0"/>
    <n v="14"/>
    <n v="2.2203389830508473"/>
    <x v="1"/>
    <s v="Maintain Stock"/>
  </r>
  <r>
    <n v="82"/>
    <s v="Product_41"/>
    <x v="2"/>
    <x v="1"/>
    <n v="288"/>
    <n v="129"/>
    <n v="126"/>
    <n v="1113.52"/>
    <n v="562.73"/>
    <n v="105"/>
    <n v="14"/>
    <s v="2026-02-17"/>
    <n v="200"/>
    <n v="5"/>
    <n v="46"/>
    <s v="Yes"/>
    <x v="0"/>
    <n v="3"/>
    <n v="0.44791666666666669"/>
    <x v="2"/>
    <s v="Apply Discount / Promotion"/>
  </r>
  <r>
    <n v="83"/>
    <s v="Product_53"/>
    <x v="4"/>
    <x v="2"/>
    <n v="351"/>
    <n v="176"/>
    <n v="160"/>
    <n v="3534.37"/>
    <n v="2242.54"/>
    <n v="130"/>
    <n v="13"/>
    <s v="2026-01-06"/>
    <n v="53"/>
    <n v="4"/>
    <n v="9"/>
    <s v="Yes"/>
    <x v="2"/>
    <n v="16"/>
    <n v="0.50142450142450146"/>
    <x v="0"/>
    <s v="Monitor Sales"/>
  </r>
  <r>
    <n v="84"/>
    <s v="Product_99"/>
    <x v="4"/>
    <x v="0"/>
    <n v="46"/>
    <n v="301"/>
    <n v="330"/>
    <n v="953.14"/>
    <n v="658.09"/>
    <n v="99"/>
    <n v="14"/>
    <s v="2026-01-23"/>
    <n v="94"/>
    <n v="5"/>
    <n v="32"/>
    <s v="No"/>
    <x v="1"/>
    <n v="-29"/>
    <n v="6.5434782608695654"/>
    <x v="1"/>
    <s v="Maintain Stock"/>
  </r>
  <r>
    <n v="85"/>
    <s v="Product_18"/>
    <x v="0"/>
    <x v="0"/>
    <n v="407"/>
    <n v="320"/>
    <n v="275"/>
    <n v="2337.2399999999998"/>
    <n v="1502.92"/>
    <n v="47"/>
    <n v="3"/>
    <s v="2026-03-21"/>
    <n v="109"/>
    <n v="2"/>
    <n v="6"/>
    <s v="No"/>
    <x v="0"/>
    <n v="45"/>
    <n v="0.78624078624078619"/>
    <x v="0"/>
    <s v="Monitor Sales"/>
  </r>
  <r>
    <n v="86"/>
    <s v="Product_61"/>
    <x v="1"/>
    <x v="3"/>
    <n v="267"/>
    <n v="156"/>
    <n v="126"/>
    <n v="1237.8"/>
    <n v="626.30999999999995"/>
    <n v="37"/>
    <n v="12"/>
    <s v="2026-03-01"/>
    <n v="149"/>
    <n v="3"/>
    <n v="15"/>
    <s v="Yes"/>
    <x v="0"/>
    <n v="30"/>
    <n v="0.5842696629213483"/>
    <x v="0"/>
    <s v="Monitor Sales"/>
  </r>
  <r>
    <n v="87"/>
    <s v="Product_92"/>
    <x v="0"/>
    <x v="3"/>
    <n v="58"/>
    <n v="359"/>
    <n v="378"/>
    <n v="629.83000000000004"/>
    <n v="388.89"/>
    <n v="139"/>
    <n v="14"/>
    <s v="2026-03-08"/>
    <n v="299"/>
    <n v="2"/>
    <n v="20"/>
    <s v="Yes"/>
    <x v="0"/>
    <n v="-19"/>
    <n v="6.1896551724137927"/>
    <x v="1"/>
    <s v="Maintain Stock"/>
  </r>
  <r>
    <n v="88"/>
    <s v="Product_84"/>
    <x v="1"/>
    <x v="1"/>
    <n v="80"/>
    <n v="266"/>
    <n v="291"/>
    <n v="3910.17"/>
    <n v="2184.85"/>
    <n v="104"/>
    <n v="12"/>
    <s v="2026-02-28"/>
    <n v="116"/>
    <n v="1"/>
    <n v="33"/>
    <s v="Yes"/>
    <x v="1"/>
    <n v="-25"/>
    <n v="3.3250000000000002"/>
    <x v="1"/>
    <s v="Maintain Stock"/>
  </r>
  <r>
    <n v="89"/>
    <s v="Product_40"/>
    <x v="1"/>
    <x v="1"/>
    <n v="487"/>
    <n v="60"/>
    <n v="53"/>
    <n v="4846.84"/>
    <n v="2571.56"/>
    <n v="103"/>
    <n v="14"/>
    <s v="2026-01-26"/>
    <n v="97"/>
    <n v="2"/>
    <n v="29"/>
    <s v="No"/>
    <x v="1"/>
    <n v="7"/>
    <n v="0.12320328542094455"/>
    <x v="2"/>
    <s v="Apply Discount / Promotion"/>
  </r>
  <r>
    <n v="90"/>
    <s v="Product_92"/>
    <x v="3"/>
    <x v="1"/>
    <n v="417"/>
    <n v="227"/>
    <n v="264"/>
    <n v="1352.27"/>
    <n v="968.91"/>
    <n v="150"/>
    <n v="12"/>
    <s v="2026-01-03"/>
    <n v="227"/>
    <n v="2"/>
    <n v="25"/>
    <s v="No"/>
    <x v="0"/>
    <n v="-37"/>
    <n v="0.54436450839328532"/>
    <x v="0"/>
    <s v="Monitor Sales"/>
  </r>
  <r>
    <n v="91"/>
    <s v="Product_47"/>
    <x v="2"/>
    <x v="0"/>
    <n v="196"/>
    <n v="48"/>
    <n v="31"/>
    <n v="2376.86"/>
    <n v="1472.52"/>
    <n v="86"/>
    <n v="3"/>
    <s v="2026-03-25"/>
    <n v="187"/>
    <n v="2"/>
    <n v="44"/>
    <s v="No"/>
    <x v="0"/>
    <n v="17"/>
    <n v="0.24489795918367346"/>
    <x v="2"/>
    <s v="Apply Discount / Promotion"/>
  </r>
  <r>
    <n v="92"/>
    <s v="Product_87"/>
    <x v="2"/>
    <x v="2"/>
    <n v="275"/>
    <n v="316"/>
    <n v="307"/>
    <n v="3085.34"/>
    <n v="2256.67"/>
    <n v="104"/>
    <n v="2"/>
    <s v="2026-01-15"/>
    <n v="304"/>
    <n v="3"/>
    <n v="26"/>
    <s v="No"/>
    <x v="1"/>
    <n v="9"/>
    <n v="1.1490909090909092"/>
    <x v="1"/>
    <s v="Maintain Stock"/>
  </r>
  <r>
    <n v="93"/>
    <s v="Product_5"/>
    <x v="2"/>
    <x v="1"/>
    <n v="440"/>
    <n v="407"/>
    <n v="364"/>
    <n v="4544.99"/>
    <n v="3096.86"/>
    <n v="80"/>
    <n v="11"/>
    <s v="2026-02-27"/>
    <n v="317"/>
    <n v="3"/>
    <n v="11"/>
    <s v="Yes"/>
    <x v="2"/>
    <n v="43"/>
    <n v="0.92500000000000004"/>
    <x v="0"/>
    <s v="Monitor Sales"/>
  </r>
  <r>
    <n v="94"/>
    <s v="Product_67"/>
    <x v="2"/>
    <x v="0"/>
    <n v="34"/>
    <n v="253"/>
    <n v="238"/>
    <n v="289.08"/>
    <n v="151.38"/>
    <n v="65"/>
    <n v="3"/>
    <s v="2026-01-30"/>
    <n v="110"/>
    <n v="2"/>
    <n v="21"/>
    <s v="No"/>
    <x v="1"/>
    <n v="15"/>
    <n v="7.4411764705882355"/>
    <x v="1"/>
    <s v="Maintain Stock"/>
  </r>
  <r>
    <n v="95"/>
    <s v="Product_52"/>
    <x v="1"/>
    <x v="2"/>
    <n v="392"/>
    <n v="99"/>
    <n v="93"/>
    <n v="4662.72"/>
    <n v="3071.66"/>
    <n v="110"/>
    <n v="15"/>
    <s v="2026-02-21"/>
    <n v="301"/>
    <n v="1"/>
    <n v="0"/>
    <s v="No"/>
    <x v="1"/>
    <n v="6"/>
    <n v="0.25255102040816324"/>
    <x v="2"/>
    <s v="Apply Discount / Promotion"/>
  </r>
  <r>
    <n v="96"/>
    <s v="Product_48"/>
    <x v="4"/>
    <x v="2"/>
    <n v="443"/>
    <n v="293"/>
    <n v="341"/>
    <n v="4445.2299999999996"/>
    <n v="2556.14"/>
    <n v="138"/>
    <n v="2"/>
    <s v="2025-12-29"/>
    <n v="205"/>
    <n v="1"/>
    <n v="26"/>
    <s v="No"/>
    <x v="1"/>
    <n v="-48"/>
    <n v="0.66139954853273142"/>
    <x v="0"/>
    <s v="Monitor Sales"/>
  </r>
  <r>
    <n v="97"/>
    <s v="Product_64"/>
    <x v="0"/>
    <x v="2"/>
    <n v="203"/>
    <n v="224"/>
    <n v="201"/>
    <n v="3719.44"/>
    <n v="2725.79"/>
    <n v="34"/>
    <n v="10"/>
    <s v="2026-02-15"/>
    <n v="279"/>
    <n v="4"/>
    <n v="9"/>
    <s v="No"/>
    <x v="1"/>
    <n v="23"/>
    <n v="1.103448275862069"/>
    <x v="1"/>
    <s v="Maintain Stock"/>
  </r>
  <r>
    <n v="98"/>
    <s v="Product_13"/>
    <x v="4"/>
    <x v="1"/>
    <n v="79"/>
    <n v="51"/>
    <n v="25"/>
    <n v="1976.01"/>
    <n v="1118.94"/>
    <n v="57"/>
    <n v="1"/>
    <s v="2026-02-22"/>
    <n v="33"/>
    <n v="5"/>
    <n v="45"/>
    <s v="Yes"/>
    <x v="0"/>
    <n v="26"/>
    <n v="0.64556962025316456"/>
    <x v="0"/>
    <s v="Monitor Sales"/>
  </r>
  <r>
    <n v="99"/>
    <s v="Product_99"/>
    <x v="0"/>
    <x v="2"/>
    <n v="113"/>
    <n v="339"/>
    <n v="291"/>
    <n v="4406.3"/>
    <n v="2311.08"/>
    <n v="104"/>
    <n v="2"/>
    <s v="2026-01-14"/>
    <n v="116"/>
    <n v="5"/>
    <n v="13"/>
    <s v="Yes"/>
    <x v="2"/>
    <n v="48"/>
    <n v="3"/>
    <x v="1"/>
    <s v="Maintain Stock"/>
  </r>
  <r>
    <n v="100"/>
    <s v="Product_47"/>
    <x v="2"/>
    <x v="2"/>
    <n v="120"/>
    <n v="100"/>
    <n v="132"/>
    <n v="2984.26"/>
    <n v="2339.33"/>
    <n v="57"/>
    <n v="6"/>
    <s v="2026-01-18"/>
    <n v="275"/>
    <n v="2"/>
    <n v="30"/>
    <s v="Yes"/>
    <x v="0"/>
    <n v="-32"/>
    <n v="0.83333333333333337"/>
    <x v="0"/>
    <s v="Monitor Sales"/>
  </r>
  <r>
    <n v="101"/>
    <s v="Product_58"/>
    <x v="3"/>
    <x v="1"/>
    <n v="204"/>
    <n v="262"/>
    <n v="239"/>
    <n v="311.14"/>
    <n v="190.84"/>
    <n v="72"/>
    <n v="12"/>
    <s v="2026-03-10"/>
    <n v="138"/>
    <n v="3"/>
    <n v="25"/>
    <s v="Yes"/>
    <x v="0"/>
    <n v="23"/>
    <n v="1.2843137254901962"/>
    <x v="1"/>
    <s v="Maintain Stock"/>
  </r>
  <r>
    <n v="102"/>
    <s v="Product_67"/>
    <x v="3"/>
    <x v="2"/>
    <n v="108"/>
    <n v="234"/>
    <n v="270"/>
    <n v="1164.8599999999999"/>
    <n v="880.48"/>
    <n v="36"/>
    <n v="14"/>
    <s v="2026-02-23"/>
    <n v="346"/>
    <n v="3"/>
    <n v="50"/>
    <s v="No"/>
    <x v="1"/>
    <n v="-36"/>
    <n v="2.1666666666666665"/>
    <x v="1"/>
    <s v="Maintain Stock"/>
  </r>
  <r>
    <n v="103"/>
    <s v="Product_48"/>
    <x v="0"/>
    <x v="2"/>
    <n v="412"/>
    <n v="28"/>
    <n v="27"/>
    <n v="4429.12"/>
    <n v="3198.36"/>
    <n v="146"/>
    <n v="8"/>
    <s v="2026-03-18"/>
    <n v="209"/>
    <n v="1"/>
    <n v="5"/>
    <s v="No"/>
    <x v="0"/>
    <n v="1"/>
    <n v="6.7961165048543687E-2"/>
    <x v="2"/>
    <s v="Apply Discount / Promotion"/>
  </r>
  <r>
    <n v="104"/>
    <s v="Product_48"/>
    <x v="4"/>
    <x v="0"/>
    <n v="25"/>
    <n v="169"/>
    <n v="164"/>
    <n v="3224.81"/>
    <n v="2548.08"/>
    <n v="89"/>
    <n v="5"/>
    <s v="2026-03-03"/>
    <n v="334"/>
    <n v="1"/>
    <n v="38"/>
    <s v="Yes"/>
    <x v="1"/>
    <n v="5"/>
    <n v="6.76"/>
    <x v="1"/>
    <s v="Maintain Stock"/>
  </r>
  <r>
    <n v="105"/>
    <s v="Product_40"/>
    <x v="1"/>
    <x v="2"/>
    <n v="41"/>
    <n v="34"/>
    <n v="31"/>
    <n v="3711.56"/>
    <n v="2309.4299999999998"/>
    <n v="114"/>
    <n v="5"/>
    <s v="2026-01-27"/>
    <n v="117"/>
    <n v="3"/>
    <n v="31"/>
    <s v="No"/>
    <x v="2"/>
    <n v="3"/>
    <n v="0.82926829268292679"/>
    <x v="0"/>
    <s v="Monitor Sales"/>
  </r>
  <r>
    <n v="106"/>
    <s v="Product_94"/>
    <x v="4"/>
    <x v="1"/>
    <n v="39"/>
    <n v="278"/>
    <n v="242"/>
    <n v="2443.75"/>
    <n v="1808.58"/>
    <n v="112"/>
    <n v="4"/>
    <s v="2026-03-12"/>
    <n v="62"/>
    <n v="1"/>
    <n v="47"/>
    <s v="Yes"/>
    <x v="2"/>
    <n v="36"/>
    <n v="7.1282051282051286"/>
    <x v="1"/>
    <s v="Maintain Stock"/>
  </r>
  <r>
    <n v="107"/>
    <s v="Product_13"/>
    <x v="3"/>
    <x v="1"/>
    <n v="247"/>
    <n v="190"/>
    <n v="193"/>
    <n v="1128.68"/>
    <n v="735.28"/>
    <n v="117"/>
    <n v="2"/>
    <s v="2026-01-11"/>
    <n v="118"/>
    <n v="1"/>
    <n v="41"/>
    <s v="Yes"/>
    <x v="1"/>
    <n v="-3"/>
    <n v="0.76923076923076927"/>
    <x v="0"/>
    <s v="Monitor Sales"/>
  </r>
  <r>
    <n v="108"/>
    <s v="Product_14"/>
    <x v="3"/>
    <x v="3"/>
    <n v="230"/>
    <n v="47"/>
    <n v="77"/>
    <n v="3341.89"/>
    <n v="2404.85"/>
    <n v="81"/>
    <n v="3"/>
    <s v="2026-03-22"/>
    <n v="310"/>
    <n v="1"/>
    <n v="30"/>
    <s v="No"/>
    <x v="2"/>
    <n v="-30"/>
    <n v="0.20434782608695654"/>
    <x v="2"/>
    <s v="Apply Discount / Promotion"/>
  </r>
  <r>
    <n v="109"/>
    <s v="Product_36"/>
    <x v="4"/>
    <x v="0"/>
    <n v="253"/>
    <n v="152"/>
    <n v="157"/>
    <n v="82.25"/>
    <n v="60.49"/>
    <n v="49"/>
    <n v="10"/>
    <s v="2026-01-02"/>
    <n v="319"/>
    <n v="4"/>
    <n v="20"/>
    <s v="Yes"/>
    <x v="2"/>
    <n v="-5"/>
    <n v="0.60079051383399207"/>
    <x v="0"/>
    <s v="Monitor Sales"/>
  </r>
  <r>
    <n v="110"/>
    <s v="Product_75"/>
    <x v="2"/>
    <x v="2"/>
    <n v="379"/>
    <n v="203"/>
    <n v="164"/>
    <n v="2810.5"/>
    <n v="1938.67"/>
    <n v="57"/>
    <n v="15"/>
    <s v="2026-02-06"/>
    <n v="289"/>
    <n v="1"/>
    <n v="17"/>
    <s v="No"/>
    <x v="0"/>
    <n v="39"/>
    <n v="0.53562005277044855"/>
    <x v="0"/>
    <s v="Monitor Sales"/>
  </r>
  <r>
    <n v="111"/>
    <s v="Product_25"/>
    <x v="1"/>
    <x v="2"/>
    <n v="207"/>
    <n v="125"/>
    <n v="174"/>
    <n v="3323.76"/>
    <n v="2415.0100000000002"/>
    <n v="37"/>
    <n v="14"/>
    <s v="2026-01-17"/>
    <n v="178"/>
    <n v="3"/>
    <n v="21"/>
    <s v="Yes"/>
    <x v="0"/>
    <n v="-49"/>
    <n v="0.60386473429951693"/>
    <x v="0"/>
    <s v="Monitor Sales"/>
  </r>
  <r>
    <n v="112"/>
    <s v="Product_38"/>
    <x v="2"/>
    <x v="0"/>
    <n v="348"/>
    <n v="199"/>
    <n v="199"/>
    <n v="4020.03"/>
    <n v="2334.7199999999998"/>
    <n v="125"/>
    <n v="12"/>
    <s v="2026-02-21"/>
    <n v="318"/>
    <n v="5"/>
    <n v="1"/>
    <s v="Yes"/>
    <x v="1"/>
    <n v="0"/>
    <n v="0.57183908045977017"/>
    <x v="0"/>
    <s v="Monitor Sales"/>
  </r>
  <r>
    <n v="113"/>
    <s v="Product_34"/>
    <x v="1"/>
    <x v="1"/>
    <n v="218"/>
    <n v="232"/>
    <n v="246"/>
    <n v="196.5"/>
    <n v="148.58000000000001"/>
    <n v="54"/>
    <n v="7"/>
    <s v="2026-03-23"/>
    <n v="138"/>
    <n v="5"/>
    <n v="28"/>
    <s v="Yes"/>
    <x v="1"/>
    <n v="-14"/>
    <n v="1.0642201834862386"/>
    <x v="1"/>
    <s v="Maintain Stock"/>
  </r>
  <r>
    <n v="114"/>
    <s v="Product_92"/>
    <x v="1"/>
    <x v="3"/>
    <n v="139"/>
    <n v="256"/>
    <n v="213"/>
    <n v="792.88"/>
    <n v="444.94"/>
    <n v="107"/>
    <n v="11"/>
    <s v="2026-03-27"/>
    <n v="38"/>
    <n v="5"/>
    <n v="1"/>
    <s v="No"/>
    <x v="2"/>
    <n v="43"/>
    <n v="1.8417266187050361"/>
    <x v="1"/>
    <s v="Maintain Stock"/>
  </r>
  <r>
    <n v="115"/>
    <s v="Product_51"/>
    <x v="0"/>
    <x v="0"/>
    <n v="22"/>
    <n v="368"/>
    <n v="368"/>
    <n v="1203.8699999999999"/>
    <n v="850.7"/>
    <n v="77"/>
    <n v="8"/>
    <s v="2026-01-10"/>
    <n v="41"/>
    <n v="4"/>
    <n v="32"/>
    <s v="No"/>
    <x v="2"/>
    <n v="0"/>
    <n v="16.727272727272727"/>
    <x v="1"/>
    <s v="Maintain Stock"/>
  </r>
  <r>
    <n v="116"/>
    <s v="Product_82"/>
    <x v="4"/>
    <x v="0"/>
    <n v="375"/>
    <n v="85"/>
    <n v="78"/>
    <n v="4233.29"/>
    <n v="2503.04"/>
    <n v="48"/>
    <n v="6"/>
    <s v="2026-01-27"/>
    <n v="145"/>
    <n v="1"/>
    <n v="12"/>
    <s v="Yes"/>
    <x v="0"/>
    <n v="7"/>
    <n v="0.22666666666666666"/>
    <x v="2"/>
    <s v="Apply Discount / Promotion"/>
  </r>
  <r>
    <n v="117"/>
    <s v="Product_44"/>
    <x v="3"/>
    <x v="1"/>
    <n v="479"/>
    <n v="193"/>
    <n v="202"/>
    <n v="4870.22"/>
    <n v="2643.01"/>
    <n v="77"/>
    <n v="3"/>
    <s v="2026-01-07"/>
    <n v="79"/>
    <n v="3"/>
    <n v="18"/>
    <s v="No"/>
    <x v="2"/>
    <n v="-9"/>
    <n v="0.40292275574112735"/>
    <x v="2"/>
    <s v="Apply Discount / Promotion"/>
  </r>
  <r>
    <n v="118"/>
    <s v="Product_58"/>
    <x v="2"/>
    <x v="3"/>
    <n v="63"/>
    <n v="333"/>
    <n v="377"/>
    <n v="1845.42"/>
    <n v="1212.06"/>
    <n v="33"/>
    <n v="14"/>
    <s v="2026-03-10"/>
    <n v="81"/>
    <n v="3"/>
    <n v="21"/>
    <s v="Yes"/>
    <x v="1"/>
    <n v="-44"/>
    <n v="5.2857142857142856"/>
    <x v="1"/>
    <s v="Maintain Stock"/>
  </r>
  <r>
    <n v="119"/>
    <s v="Product_26"/>
    <x v="4"/>
    <x v="3"/>
    <n v="423"/>
    <n v="169"/>
    <n v="141"/>
    <n v="4346.24"/>
    <n v="2180.3000000000002"/>
    <n v="35"/>
    <n v="6"/>
    <s v="2026-03-26"/>
    <n v="257"/>
    <n v="5"/>
    <n v="45"/>
    <s v="No"/>
    <x v="2"/>
    <n v="28"/>
    <n v="0.39952718676122934"/>
    <x v="2"/>
    <s v="Apply Discount / Promotion"/>
  </r>
  <r>
    <n v="120"/>
    <s v="Product_18"/>
    <x v="4"/>
    <x v="0"/>
    <n v="235"/>
    <n v="37"/>
    <n v="29"/>
    <n v="3526.87"/>
    <n v="2408.77"/>
    <n v="92"/>
    <n v="8"/>
    <s v="2026-01-22"/>
    <n v="356"/>
    <n v="2"/>
    <n v="2"/>
    <s v="No"/>
    <x v="1"/>
    <n v="8"/>
    <n v="0.1574468085106383"/>
    <x v="2"/>
    <s v="Apply Discount / Promotion"/>
  </r>
  <r>
    <n v="121"/>
    <s v="Product_3"/>
    <x v="3"/>
    <x v="3"/>
    <n v="459"/>
    <n v="32"/>
    <n v="79"/>
    <n v="4728.5600000000004"/>
    <n v="2557.63"/>
    <n v="84"/>
    <n v="15"/>
    <s v="2026-02-28"/>
    <n v="348"/>
    <n v="5"/>
    <n v="22"/>
    <s v="Yes"/>
    <x v="2"/>
    <n v="-47"/>
    <n v="6.9716775599128547E-2"/>
    <x v="2"/>
    <s v="Apply Discount / Promotion"/>
  </r>
  <r>
    <n v="122"/>
    <s v="Product_6"/>
    <x v="2"/>
    <x v="1"/>
    <n v="311"/>
    <n v="101"/>
    <n v="55"/>
    <n v="403.05"/>
    <n v="306.63"/>
    <n v="36"/>
    <n v="8"/>
    <s v="2026-01-06"/>
    <n v="192"/>
    <n v="1"/>
    <n v="30"/>
    <s v="No"/>
    <x v="1"/>
    <n v="46"/>
    <n v="0.32475884244372988"/>
    <x v="2"/>
    <s v="Apply Discount / Promotion"/>
  </r>
  <r>
    <n v="123"/>
    <s v="Product_40"/>
    <x v="2"/>
    <x v="0"/>
    <n v="478"/>
    <n v="281"/>
    <n v="271"/>
    <n v="3628.43"/>
    <n v="2666.47"/>
    <n v="40"/>
    <n v="8"/>
    <s v="2026-03-01"/>
    <n v="130"/>
    <n v="2"/>
    <n v="29"/>
    <s v="Yes"/>
    <x v="0"/>
    <n v="10"/>
    <n v="0.58786610878661083"/>
    <x v="0"/>
    <s v="Monitor Sales"/>
  </r>
  <r>
    <n v="124"/>
    <s v="Product_78"/>
    <x v="0"/>
    <x v="1"/>
    <n v="463"/>
    <n v="271"/>
    <n v="249"/>
    <n v="903.46"/>
    <n v="605.46"/>
    <n v="42"/>
    <n v="10"/>
    <s v="2025-12-30"/>
    <n v="94"/>
    <n v="3"/>
    <n v="3"/>
    <s v="Yes"/>
    <x v="0"/>
    <n v="22"/>
    <n v="0.58531317494600432"/>
    <x v="0"/>
    <s v="Monitor Sales"/>
  </r>
  <r>
    <n v="125"/>
    <s v="Product_53"/>
    <x v="1"/>
    <x v="3"/>
    <n v="459"/>
    <n v="347"/>
    <n v="300"/>
    <n v="1776.97"/>
    <n v="1226.25"/>
    <n v="82"/>
    <n v="7"/>
    <s v="2026-01-19"/>
    <n v="52"/>
    <n v="4"/>
    <n v="25"/>
    <s v="Yes"/>
    <x v="1"/>
    <n v="47"/>
    <n v="0.75599128540305016"/>
    <x v="0"/>
    <s v="Monitor Sales"/>
  </r>
  <r>
    <n v="126"/>
    <s v="Product_97"/>
    <x v="0"/>
    <x v="3"/>
    <n v="213"/>
    <n v="190"/>
    <n v="222"/>
    <n v="984.42"/>
    <n v="742.83"/>
    <n v="37"/>
    <n v="10"/>
    <s v="2026-01-16"/>
    <n v="95"/>
    <n v="1"/>
    <n v="36"/>
    <s v="No"/>
    <x v="0"/>
    <n v="-32"/>
    <n v="0.892018779342723"/>
    <x v="0"/>
    <s v="Monitor Sales"/>
  </r>
  <r>
    <n v="127"/>
    <s v="Product_5"/>
    <x v="0"/>
    <x v="1"/>
    <n v="409"/>
    <n v="338"/>
    <n v="312"/>
    <n v="4807.82"/>
    <n v="2703.86"/>
    <n v="100"/>
    <n v="6"/>
    <s v="2026-02-08"/>
    <n v="315"/>
    <n v="2"/>
    <n v="19"/>
    <s v="No"/>
    <x v="1"/>
    <n v="26"/>
    <n v="0.82640586797066018"/>
    <x v="0"/>
    <s v="Monitor Sales"/>
  </r>
  <r>
    <n v="128"/>
    <s v="Product_47"/>
    <x v="0"/>
    <x v="3"/>
    <n v="79"/>
    <n v="208"/>
    <n v="188"/>
    <n v="203.31"/>
    <n v="106.93"/>
    <n v="137"/>
    <n v="7"/>
    <s v="2026-02-12"/>
    <n v="82"/>
    <n v="3"/>
    <n v="27"/>
    <s v="Yes"/>
    <x v="0"/>
    <n v="20"/>
    <n v="2.6329113924050631"/>
    <x v="1"/>
    <s v="Maintain Stock"/>
  </r>
  <r>
    <n v="129"/>
    <s v="Product_35"/>
    <x v="4"/>
    <x v="2"/>
    <n v="37"/>
    <n v="393"/>
    <n v="343"/>
    <n v="710.49"/>
    <n v="411.47"/>
    <n v="121"/>
    <n v="12"/>
    <s v="2026-03-07"/>
    <n v="63"/>
    <n v="3"/>
    <n v="12"/>
    <s v="Yes"/>
    <x v="1"/>
    <n v="50"/>
    <n v="10.621621621621621"/>
    <x v="1"/>
    <s v="Maintain Stock"/>
  </r>
  <r>
    <n v="130"/>
    <s v="Product_54"/>
    <x v="1"/>
    <x v="1"/>
    <n v="79"/>
    <n v="287"/>
    <n v="277"/>
    <n v="208.32"/>
    <n v="156.94999999999999"/>
    <n v="63"/>
    <n v="1"/>
    <s v="2026-02-10"/>
    <n v="100"/>
    <n v="4"/>
    <n v="41"/>
    <s v="No"/>
    <x v="2"/>
    <n v="10"/>
    <n v="3.6329113924050631"/>
    <x v="1"/>
    <s v="Maintain Stock"/>
  </r>
  <r>
    <n v="131"/>
    <s v="Product_65"/>
    <x v="1"/>
    <x v="2"/>
    <n v="328"/>
    <n v="154"/>
    <n v="192"/>
    <n v="3085.86"/>
    <n v="2384.0700000000002"/>
    <n v="77"/>
    <n v="13"/>
    <s v="2026-03-06"/>
    <n v="33"/>
    <n v="4"/>
    <n v="28"/>
    <s v="Yes"/>
    <x v="2"/>
    <n v="-38"/>
    <n v="0.46951219512195119"/>
    <x v="2"/>
    <s v="Apply Discount / Promotion"/>
  </r>
  <r>
    <n v="132"/>
    <s v="Product_94"/>
    <x v="2"/>
    <x v="1"/>
    <n v="407"/>
    <n v="36"/>
    <n v="48"/>
    <n v="4975.29"/>
    <n v="3424.71"/>
    <n v="112"/>
    <n v="5"/>
    <s v="2026-02-16"/>
    <n v="255"/>
    <n v="3"/>
    <n v="43"/>
    <s v="No"/>
    <x v="2"/>
    <n v="-12"/>
    <n v="8.8452088452088448E-2"/>
    <x v="2"/>
    <s v="Apply Discount / Promotion"/>
  </r>
  <r>
    <n v="133"/>
    <s v="Product_99"/>
    <x v="4"/>
    <x v="1"/>
    <n v="276"/>
    <n v="339"/>
    <n v="344"/>
    <n v="772.12"/>
    <n v="406.49"/>
    <n v="142"/>
    <n v="2"/>
    <s v="2026-03-02"/>
    <n v="135"/>
    <n v="1"/>
    <n v="4"/>
    <s v="Yes"/>
    <x v="0"/>
    <n v="-5"/>
    <n v="1.2282608695652173"/>
    <x v="1"/>
    <s v="Maintain Stock"/>
  </r>
  <r>
    <n v="134"/>
    <s v="Product_33"/>
    <x v="0"/>
    <x v="2"/>
    <n v="127"/>
    <n v="186"/>
    <n v="179"/>
    <n v="2247.4299999999998"/>
    <n v="1360.39"/>
    <n v="88"/>
    <n v="4"/>
    <s v="2026-02-22"/>
    <n v="283"/>
    <n v="1"/>
    <n v="14"/>
    <s v="Yes"/>
    <x v="2"/>
    <n v="7"/>
    <n v="1.4645669291338583"/>
    <x v="1"/>
    <s v="Maintain Stock"/>
  </r>
  <r>
    <n v="135"/>
    <s v="Product_87"/>
    <x v="1"/>
    <x v="3"/>
    <n v="262"/>
    <n v="286"/>
    <n v="327"/>
    <n v="3016.62"/>
    <n v="2207.46"/>
    <n v="70"/>
    <n v="3"/>
    <s v="2026-02-17"/>
    <n v="30"/>
    <n v="2"/>
    <n v="33"/>
    <s v="Yes"/>
    <x v="1"/>
    <n v="-41"/>
    <n v="1.0916030534351144"/>
    <x v="1"/>
    <s v="Maintain Stock"/>
  </r>
  <r>
    <n v="136"/>
    <s v="Product_36"/>
    <x v="1"/>
    <x v="0"/>
    <n v="483"/>
    <n v="379"/>
    <n v="390"/>
    <n v="4162.53"/>
    <n v="2375.23"/>
    <n v="59"/>
    <n v="6"/>
    <s v="2026-01-11"/>
    <n v="298"/>
    <n v="1"/>
    <n v="42"/>
    <s v="No"/>
    <x v="2"/>
    <n v="-11"/>
    <n v="0.78467908902691508"/>
    <x v="0"/>
    <s v="Monitor Sales"/>
  </r>
  <r>
    <n v="137"/>
    <s v="Product_36"/>
    <x v="3"/>
    <x v="0"/>
    <n v="81"/>
    <n v="258"/>
    <n v="241"/>
    <n v="1486.17"/>
    <n v="958.19"/>
    <n v="74"/>
    <n v="7"/>
    <s v="2026-03-08"/>
    <n v="38"/>
    <n v="4"/>
    <n v="35"/>
    <s v="Yes"/>
    <x v="1"/>
    <n v="17"/>
    <n v="3.1851851851851851"/>
    <x v="1"/>
    <s v="Maintain Stock"/>
  </r>
  <r>
    <n v="138"/>
    <s v="Product_3"/>
    <x v="0"/>
    <x v="3"/>
    <n v="297"/>
    <n v="369"/>
    <n v="380"/>
    <n v="3021.4"/>
    <n v="2210.1999999999998"/>
    <n v="96"/>
    <n v="14"/>
    <s v="2026-03-08"/>
    <n v="143"/>
    <n v="4"/>
    <n v="39"/>
    <s v="No"/>
    <x v="1"/>
    <n v="-11"/>
    <n v="1.2424242424242424"/>
    <x v="1"/>
    <s v="Maintain Stock"/>
  </r>
  <r>
    <n v="139"/>
    <s v="Product_52"/>
    <x v="0"/>
    <x v="2"/>
    <n v="50"/>
    <n v="7"/>
    <n v="11"/>
    <n v="2066.42"/>
    <n v="1474.32"/>
    <n v="109"/>
    <n v="13"/>
    <s v="2026-03-14"/>
    <n v="61"/>
    <n v="4"/>
    <n v="16"/>
    <s v="No"/>
    <x v="2"/>
    <n v="-4"/>
    <n v="0.14000000000000001"/>
    <x v="2"/>
    <s v="Apply Discount / Promotion"/>
  </r>
  <r>
    <n v="140"/>
    <s v="Product_2"/>
    <x v="3"/>
    <x v="2"/>
    <n v="307"/>
    <n v="298"/>
    <n v="288"/>
    <n v="2624.48"/>
    <n v="1699.76"/>
    <n v="120"/>
    <n v="2"/>
    <s v="2026-03-01"/>
    <n v="119"/>
    <n v="4"/>
    <n v="47"/>
    <s v="No"/>
    <x v="0"/>
    <n v="10"/>
    <n v="0.97068403908794787"/>
    <x v="0"/>
    <s v="Monitor Sales"/>
  </r>
  <r>
    <n v="141"/>
    <s v="Product_42"/>
    <x v="1"/>
    <x v="3"/>
    <n v="136"/>
    <n v="157"/>
    <n v="121"/>
    <n v="3501.27"/>
    <n v="2182.3200000000002"/>
    <n v="60"/>
    <n v="13"/>
    <s v="2026-03-26"/>
    <n v="47"/>
    <n v="4"/>
    <n v="4"/>
    <s v="Yes"/>
    <x v="1"/>
    <n v="36"/>
    <n v="1.1544117647058822"/>
    <x v="1"/>
    <s v="Maintain Stock"/>
  </r>
  <r>
    <n v="142"/>
    <s v="Product_83"/>
    <x v="2"/>
    <x v="1"/>
    <n v="115"/>
    <n v="186"/>
    <n v="212"/>
    <n v="4334.8999999999996"/>
    <n v="3298.07"/>
    <n v="72"/>
    <n v="11"/>
    <s v="2026-03-01"/>
    <n v="224"/>
    <n v="1"/>
    <n v="2"/>
    <s v="Yes"/>
    <x v="0"/>
    <n v="-26"/>
    <n v="1.6173913043478261"/>
    <x v="1"/>
    <s v="Maintain Stock"/>
  </r>
  <r>
    <n v="143"/>
    <s v="Product_93"/>
    <x v="4"/>
    <x v="0"/>
    <n v="68"/>
    <n v="50"/>
    <n v="36"/>
    <n v="1861.74"/>
    <n v="1200.03"/>
    <n v="130"/>
    <n v="13"/>
    <s v="2026-02-12"/>
    <n v="274"/>
    <n v="2"/>
    <n v="14"/>
    <s v="Yes"/>
    <x v="1"/>
    <n v="14"/>
    <n v="0.73529411764705888"/>
    <x v="0"/>
    <s v="Monitor Sales"/>
  </r>
  <r>
    <n v="144"/>
    <s v="Product_17"/>
    <x v="0"/>
    <x v="0"/>
    <n v="143"/>
    <n v="270"/>
    <n v="228"/>
    <n v="561.08000000000004"/>
    <n v="345.23"/>
    <n v="31"/>
    <n v="6"/>
    <s v="2026-01-04"/>
    <n v="357"/>
    <n v="1"/>
    <n v="17"/>
    <s v="Yes"/>
    <x v="1"/>
    <n v="42"/>
    <n v="1.8881118881118881"/>
    <x v="1"/>
    <s v="Maintain Stock"/>
  </r>
  <r>
    <n v="145"/>
    <s v="Product_9"/>
    <x v="2"/>
    <x v="3"/>
    <n v="241"/>
    <n v="409"/>
    <n v="377"/>
    <n v="3051.31"/>
    <n v="1870"/>
    <n v="52"/>
    <n v="5"/>
    <s v="2026-02-16"/>
    <n v="364"/>
    <n v="5"/>
    <n v="46"/>
    <s v="No"/>
    <x v="0"/>
    <n v="32"/>
    <n v="1.6970954356846473"/>
    <x v="1"/>
    <s v="Maintain Stock"/>
  </r>
  <r>
    <n v="146"/>
    <s v="Product_32"/>
    <x v="0"/>
    <x v="2"/>
    <n v="469"/>
    <n v="379"/>
    <n v="396"/>
    <n v="2331.48"/>
    <n v="1322.63"/>
    <n v="101"/>
    <n v="15"/>
    <s v="2026-03-04"/>
    <n v="312"/>
    <n v="4"/>
    <n v="23"/>
    <s v="No"/>
    <x v="2"/>
    <n v="-17"/>
    <n v="0.8081023454157783"/>
    <x v="0"/>
    <s v="Monitor Sales"/>
  </r>
  <r>
    <n v="147"/>
    <s v="Product_27"/>
    <x v="1"/>
    <x v="3"/>
    <n v="69"/>
    <n v="114"/>
    <n v="151"/>
    <n v="2301.63"/>
    <n v="1221.3800000000001"/>
    <n v="149"/>
    <n v="10"/>
    <s v="2026-02-28"/>
    <n v="76"/>
    <n v="2"/>
    <n v="44"/>
    <s v="No"/>
    <x v="0"/>
    <n v="-37"/>
    <n v="1.6521739130434783"/>
    <x v="1"/>
    <s v="Maintain Stock"/>
  </r>
  <r>
    <n v="148"/>
    <s v="Product_34"/>
    <x v="0"/>
    <x v="2"/>
    <n v="102"/>
    <n v="3"/>
    <n v="38"/>
    <n v="2231.06"/>
    <n v="1444.83"/>
    <n v="148"/>
    <n v="14"/>
    <s v="2026-01-07"/>
    <n v="226"/>
    <n v="1"/>
    <n v="14"/>
    <s v="Yes"/>
    <x v="0"/>
    <n v="-35"/>
    <n v="2.9411764705882353E-2"/>
    <x v="2"/>
    <s v="Apply Discount / Promotion"/>
  </r>
  <r>
    <n v="149"/>
    <s v="Product_79"/>
    <x v="3"/>
    <x v="3"/>
    <n v="369"/>
    <n v="349"/>
    <n v="352"/>
    <n v="818.38"/>
    <n v="528.9"/>
    <n v="84"/>
    <n v="14"/>
    <s v="2026-01-21"/>
    <n v="330"/>
    <n v="5"/>
    <n v="29"/>
    <s v="No"/>
    <x v="2"/>
    <n v="-3"/>
    <n v="0.94579945799457998"/>
    <x v="0"/>
    <s v="Monitor Sales"/>
  </r>
  <r>
    <n v="150"/>
    <s v="Product_5"/>
    <x v="2"/>
    <x v="1"/>
    <n v="24"/>
    <n v="87"/>
    <n v="101"/>
    <n v="252.48"/>
    <n v="183.24"/>
    <n v="138"/>
    <n v="11"/>
    <s v="2025-12-31"/>
    <n v="343"/>
    <n v="2"/>
    <n v="23"/>
    <s v="No"/>
    <x v="0"/>
    <n v="-14"/>
    <n v="3.625"/>
    <x v="1"/>
    <s v="Maintain Stock"/>
  </r>
  <r>
    <n v="151"/>
    <s v="Product_53"/>
    <x v="2"/>
    <x v="3"/>
    <n v="206"/>
    <n v="401"/>
    <n v="360"/>
    <n v="3097.63"/>
    <n v="1695.87"/>
    <n v="56"/>
    <n v="1"/>
    <s v="2026-03-19"/>
    <n v="342"/>
    <n v="3"/>
    <n v="48"/>
    <s v="No"/>
    <x v="0"/>
    <n v="41"/>
    <n v="1.9466019417475728"/>
    <x v="1"/>
    <s v="Maintain Stock"/>
  </r>
  <r>
    <n v="152"/>
    <s v="Product_71"/>
    <x v="4"/>
    <x v="3"/>
    <n v="185"/>
    <n v="318"/>
    <n v="334"/>
    <n v="732.95"/>
    <n v="470.92"/>
    <n v="64"/>
    <n v="14"/>
    <s v="2026-01-29"/>
    <n v="113"/>
    <n v="1"/>
    <n v="47"/>
    <s v="No"/>
    <x v="2"/>
    <n v="-16"/>
    <n v="1.7189189189189189"/>
    <x v="1"/>
    <s v="Maintain Stock"/>
  </r>
  <r>
    <n v="153"/>
    <s v="Product_25"/>
    <x v="4"/>
    <x v="3"/>
    <n v="296"/>
    <n v="121"/>
    <n v="91"/>
    <n v="4182.53"/>
    <n v="2932.85"/>
    <n v="107"/>
    <n v="3"/>
    <s v="2026-03-05"/>
    <n v="319"/>
    <n v="4"/>
    <n v="10"/>
    <s v="No"/>
    <x v="2"/>
    <n v="30"/>
    <n v="0.40878378378378377"/>
    <x v="2"/>
    <s v="Apply Discount / Promotion"/>
  </r>
  <r>
    <n v="154"/>
    <s v="Product_100"/>
    <x v="3"/>
    <x v="3"/>
    <n v="72"/>
    <n v="80"/>
    <n v="125"/>
    <n v="1370.8"/>
    <n v="702.01"/>
    <n v="49"/>
    <n v="1"/>
    <s v="2026-01-27"/>
    <n v="190"/>
    <n v="3"/>
    <n v="43"/>
    <s v="No"/>
    <x v="2"/>
    <n v="-45"/>
    <n v="1.1111111111111112"/>
    <x v="1"/>
    <s v="Maintain Stock"/>
  </r>
  <r>
    <n v="155"/>
    <s v="Product_62"/>
    <x v="4"/>
    <x v="3"/>
    <n v="329"/>
    <n v="183"/>
    <n v="182"/>
    <n v="4876.04"/>
    <n v="3818.2"/>
    <n v="82"/>
    <n v="1"/>
    <s v="2026-02-09"/>
    <n v="108"/>
    <n v="5"/>
    <n v="49"/>
    <s v="No"/>
    <x v="0"/>
    <n v="1"/>
    <n v="0.55623100303951367"/>
    <x v="0"/>
    <s v="Monitor Sales"/>
  </r>
  <r>
    <n v="156"/>
    <s v="Product_57"/>
    <x v="3"/>
    <x v="3"/>
    <n v="374"/>
    <n v="223"/>
    <n v="184"/>
    <n v="1657.72"/>
    <n v="1239.24"/>
    <n v="94"/>
    <n v="7"/>
    <s v="2026-03-01"/>
    <n v="62"/>
    <n v="5"/>
    <n v="34"/>
    <s v="No"/>
    <x v="1"/>
    <n v="39"/>
    <n v="0.59625668449197866"/>
    <x v="0"/>
    <s v="Monitor Sales"/>
  </r>
  <r>
    <n v="157"/>
    <s v="Product_5"/>
    <x v="4"/>
    <x v="3"/>
    <n v="435"/>
    <n v="342"/>
    <n v="333"/>
    <n v="1984.71"/>
    <n v="1531.28"/>
    <n v="150"/>
    <n v="8"/>
    <s v="2026-01-27"/>
    <n v="134"/>
    <n v="4"/>
    <n v="45"/>
    <s v="No"/>
    <x v="1"/>
    <n v="9"/>
    <n v="0.78620689655172415"/>
    <x v="0"/>
    <s v="Monitor Sales"/>
  </r>
  <r>
    <n v="158"/>
    <s v="Product_27"/>
    <x v="4"/>
    <x v="0"/>
    <n v="385"/>
    <n v="23"/>
    <n v="34"/>
    <n v="3749.64"/>
    <n v="1951.12"/>
    <n v="31"/>
    <n v="15"/>
    <s v="2026-01-03"/>
    <n v="225"/>
    <n v="2"/>
    <n v="31"/>
    <s v="No"/>
    <x v="2"/>
    <n v="-11"/>
    <n v="5.9740259740259739E-2"/>
    <x v="2"/>
    <s v="Apply Discount / Promotion"/>
  </r>
  <r>
    <n v="159"/>
    <s v="Product_54"/>
    <x v="4"/>
    <x v="3"/>
    <n v="322"/>
    <n v="288"/>
    <n v="251"/>
    <n v="2203.19"/>
    <n v="1740.74"/>
    <n v="94"/>
    <n v="7"/>
    <s v="2026-01-13"/>
    <n v="234"/>
    <n v="2"/>
    <n v="28"/>
    <s v="No"/>
    <x v="2"/>
    <n v="37"/>
    <n v="0.89440993788819878"/>
    <x v="0"/>
    <s v="Monitor Sales"/>
  </r>
  <r>
    <n v="160"/>
    <s v="Product_28"/>
    <x v="4"/>
    <x v="0"/>
    <n v="271"/>
    <n v="228"/>
    <n v="230"/>
    <n v="2234.46"/>
    <n v="1480.87"/>
    <n v="46"/>
    <n v="9"/>
    <s v="2026-01-23"/>
    <n v="200"/>
    <n v="1"/>
    <n v="17"/>
    <s v="No"/>
    <x v="2"/>
    <n v="-2"/>
    <n v="0.84132841328413288"/>
    <x v="0"/>
    <s v="Monitor Sales"/>
  </r>
  <r>
    <n v="161"/>
    <s v="Product_36"/>
    <x v="4"/>
    <x v="1"/>
    <n v="367"/>
    <n v="265"/>
    <n v="216"/>
    <n v="1337.9"/>
    <n v="908.92"/>
    <n v="48"/>
    <n v="12"/>
    <s v="2026-03-13"/>
    <n v="136"/>
    <n v="1"/>
    <n v="4"/>
    <s v="Yes"/>
    <x v="0"/>
    <n v="49"/>
    <n v="0.72207084468664851"/>
    <x v="0"/>
    <s v="Monitor Sales"/>
  </r>
  <r>
    <n v="162"/>
    <s v="Product_60"/>
    <x v="0"/>
    <x v="1"/>
    <n v="85"/>
    <n v="228"/>
    <n v="246"/>
    <n v="75.92"/>
    <n v="45.84"/>
    <n v="87"/>
    <n v="13"/>
    <s v="2026-03-14"/>
    <n v="168"/>
    <n v="1"/>
    <n v="5"/>
    <s v="Yes"/>
    <x v="2"/>
    <n v="-18"/>
    <n v="2.6823529411764704"/>
    <x v="1"/>
    <s v="Maintain Stock"/>
  </r>
  <r>
    <n v="163"/>
    <s v="Product_52"/>
    <x v="4"/>
    <x v="0"/>
    <n v="173"/>
    <n v="281"/>
    <n v="235"/>
    <n v="934.26"/>
    <n v="702.67"/>
    <n v="79"/>
    <n v="1"/>
    <s v="2026-02-06"/>
    <n v="249"/>
    <n v="4"/>
    <n v="39"/>
    <s v="No"/>
    <x v="2"/>
    <n v="46"/>
    <n v="1.6242774566473988"/>
    <x v="1"/>
    <s v="Maintain Stock"/>
  </r>
  <r>
    <n v="164"/>
    <s v="Product_52"/>
    <x v="4"/>
    <x v="2"/>
    <n v="82"/>
    <n v="32"/>
    <n v="42"/>
    <n v="2660.96"/>
    <n v="1724.18"/>
    <n v="59"/>
    <n v="9"/>
    <s v="2026-02-23"/>
    <n v="35"/>
    <n v="1"/>
    <n v="7"/>
    <s v="No"/>
    <x v="0"/>
    <n v="-10"/>
    <n v="0.3902439024390244"/>
    <x v="2"/>
    <s v="Apply Discount / Promotion"/>
  </r>
  <r>
    <n v="165"/>
    <s v="Product_8"/>
    <x v="3"/>
    <x v="1"/>
    <n v="117"/>
    <n v="132"/>
    <n v="164"/>
    <n v="3785.27"/>
    <n v="2124.12"/>
    <n v="45"/>
    <n v="9"/>
    <s v="2026-02-22"/>
    <n v="101"/>
    <n v="1"/>
    <n v="35"/>
    <s v="Yes"/>
    <x v="2"/>
    <n v="-32"/>
    <n v="1.1282051282051282"/>
    <x v="1"/>
    <s v="Maintain Stock"/>
  </r>
  <r>
    <n v="166"/>
    <s v="Product_31"/>
    <x v="4"/>
    <x v="0"/>
    <n v="382"/>
    <n v="287"/>
    <n v="237"/>
    <n v="4936.05"/>
    <n v="2521.59"/>
    <n v="124"/>
    <n v="3"/>
    <s v="2026-01-31"/>
    <n v="131"/>
    <n v="1"/>
    <n v="17"/>
    <s v="Yes"/>
    <x v="1"/>
    <n v="50"/>
    <n v="0.75130890052356025"/>
    <x v="0"/>
    <s v="Monitor Sales"/>
  </r>
  <r>
    <n v="167"/>
    <s v="Product_11"/>
    <x v="1"/>
    <x v="0"/>
    <n v="166"/>
    <n v="18"/>
    <n v="12"/>
    <n v="314.92"/>
    <n v="158.88"/>
    <n v="70"/>
    <n v="14"/>
    <s v="2026-02-12"/>
    <n v="285"/>
    <n v="3"/>
    <n v="11"/>
    <s v="No"/>
    <x v="1"/>
    <n v="6"/>
    <n v="0.10843373493975904"/>
    <x v="2"/>
    <s v="Apply Discount / Promotion"/>
  </r>
  <r>
    <n v="168"/>
    <s v="Product_44"/>
    <x v="0"/>
    <x v="2"/>
    <n v="268"/>
    <n v="325"/>
    <n v="302"/>
    <n v="4574.97"/>
    <n v="2568.5300000000002"/>
    <n v="81"/>
    <n v="3"/>
    <s v="2026-01-18"/>
    <n v="129"/>
    <n v="5"/>
    <n v="41"/>
    <s v="No"/>
    <x v="0"/>
    <n v="23"/>
    <n v="1.2126865671641791"/>
    <x v="1"/>
    <s v="Maintain Stock"/>
  </r>
  <r>
    <n v="169"/>
    <s v="Product_45"/>
    <x v="3"/>
    <x v="1"/>
    <n v="284"/>
    <n v="259"/>
    <n v="294"/>
    <n v="1510.65"/>
    <n v="968.78"/>
    <n v="112"/>
    <n v="13"/>
    <s v="2026-01-14"/>
    <n v="41"/>
    <n v="2"/>
    <n v="34"/>
    <s v="Yes"/>
    <x v="0"/>
    <n v="-35"/>
    <n v="0.9119718309859155"/>
    <x v="0"/>
    <s v="Monitor Sales"/>
  </r>
  <r>
    <n v="170"/>
    <s v="Product_68"/>
    <x v="0"/>
    <x v="3"/>
    <n v="95"/>
    <n v="50"/>
    <n v="19"/>
    <n v="3832.04"/>
    <n v="2761.49"/>
    <n v="49"/>
    <n v="15"/>
    <s v="2026-03-10"/>
    <n v="55"/>
    <n v="1"/>
    <n v="32"/>
    <s v="No"/>
    <x v="2"/>
    <n v="31"/>
    <n v="0.52631578947368418"/>
    <x v="0"/>
    <s v="Monitor Sales"/>
  </r>
  <r>
    <n v="171"/>
    <s v="Product_39"/>
    <x v="4"/>
    <x v="1"/>
    <n v="219"/>
    <n v="74"/>
    <n v="70"/>
    <n v="3362.14"/>
    <n v="2307.4499999999998"/>
    <n v="47"/>
    <n v="9"/>
    <s v="2026-02-01"/>
    <n v="185"/>
    <n v="4"/>
    <n v="23"/>
    <s v="No"/>
    <x v="1"/>
    <n v="4"/>
    <n v="0.33789954337899542"/>
    <x v="2"/>
    <s v="Apply Discount / Promotion"/>
  </r>
  <r>
    <n v="172"/>
    <s v="Product_3"/>
    <x v="1"/>
    <x v="2"/>
    <n v="420"/>
    <n v="284"/>
    <n v="313"/>
    <n v="4950.01"/>
    <n v="3529.7"/>
    <n v="122"/>
    <n v="2"/>
    <s v="2026-03-09"/>
    <n v="259"/>
    <n v="4"/>
    <n v="13"/>
    <s v="No"/>
    <x v="0"/>
    <n v="-29"/>
    <n v="0.67619047619047623"/>
    <x v="0"/>
    <s v="Monitor Sales"/>
  </r>
  <r>
    <n v="173"/>
    <s v="Product_37"/>
    <x v="3"/>
    <x v="1"/>
    <n v="416"/>
    <n v="53"/>
    <n v="12"/>
    <n v="4876.6899999999996"/>
    <n v="3510.37"/>
    <n v="94"/>
    <n v="6"/>
    <s v="2026-01-26"/>
    <n v="347"/>
    <n v="3"/>
    <n v="46"/>
    <s v="No"/>
    <x v="2"/>
    <n v="41"/>
    <n v="0.12740384615384615"/>
    <x v="2"/>
    <s v="Apply Discount / Promotion"/>
  </r>
  <r>
    <n v="174"/>
    <s v="Product_17"/>
    <x v="3"/>
    <x v="0"/>
    <n v="174"/>
    <n v="356"/>
    <n v="330"/>
    <n v="1449.95"/>
    <n v="811.94"/>
    <n v="109"/>
    <n v="13"/>
    <s v="2026-02-25"/>
    <n v="337"/>
    <n v="3"/>
    <n v="30"/>
    <s v="No"/>
    <x v="2"/>
    <n v="26"/>
    <n v="2.0459770114942528"/>
    <x v="1"/>
    <s v="Maintain Stock"/>
  </r>
  <r>
    <n v="175"/>
    <s v="Product_48"/>
    <x v="4"/>
    <x v="3"/>
    <n v="57"/>
    <n v="372"/>
    <n v="374"/>
    <n v="964.51"/>
    <n v="625.08000000000004"/>
    <n v="123"/>
    <n v="3"/>
    <s v="2026-03-22"/>
    <n v="99"/>
    <n v="1"/>
    <n v="42"/>
    <s v="No"/>
    <x v="0"/>
    <n v="-2"/>
    <n v="6.5263157894736841"/>
    <x v="1"/>
    <s v="Maintain Stock"/>
  </r>
  <r>
    <n v="176"/>
    <s v="Product_40"/>
    <x v="2"/>
    <x v="2"/>
    <n v="437"/>
    <n v="147"/>
    <n v="194"/>
    <n v="1573.73"/>
    <n v="1087.56"/>
    <n v="62"/>
    <n v="15"/>
    <s v="2026-01-24"/>
    <n v="54"/>
    <n v="1"/>
    <n v="41"/>
    <s v="No"/>
    <x v="1"/>
    <n v="-47"/>
    <n v="0.33638443935926776"/>
    <x v="2"/>
    <s v="Apply Discount / Promotion"/>
  </r>
  <r>
    <n v="177"/>
    <s v="Product_24"/>
    <x v="1"/>
    <x v="1"/>
    <n v="325"/>
    <n v="177"/>
    <n v="190"/>
    <n v="4625.54"/>
    <n v="2394.11"/>
    <n v="50"/>
    <n v="3"/>
    <s v="2026-01-24"/>
    <n v="87"/>
    <n v="5"/>
    <n v="21"/>
    <s v="Yes"/>
    <x v="1"/>
    <n v="-13"/>
    <n v="0.54461538461538461"/>
    <x v="0"/>
    <s v="Monitor Sales"/>
  </r>
  <r>
    <n v="178"/>
    <s v="Product_51"/>
    <x v="1"/>
    <x v="0"/>
    <n v="436"/>
    <n v="243"/>
    <n v="229"/>
    <n v="1720.5"/>
    <n v="1211.5"/>
    <n v="83"/>
    <n v="2"/>
    <s v="2026-01-25"/>
    <n v="246"/>
    <n v="2"/>
    <n v="35"/>
    <s v="No"/>
    <x v="0"/>
    <n v="14"/>
    <n v="0.55733944954128445"/>
    <x v="0"/>
    <s v="Monitor Sales"/>
  </r>
  <r>
    <n v="179"/>
    <s v="Product_81"/>
    <x v="2"/>
    <x v="3"/>
    <n v="318"/>
    <n v="37"/>
    <n v="74"/>
    <n v="3643.85"/>
    <n v="2624.61"/>
    <n v="130"/>
    <n v="6"/>
    <s v="2025-12-29"/>
    <n v="109"/>
    <n v="2"/>
    <n v="19"/>
    <s v="No"/>
    <x v="2"/>
    <n v="-37"/>
    <n v="0.11635220125786164"/>
    <x v="2"/>
    <s v="Apply Discount / Promotion"/>
  </r>
  <r>
    <n v="180"/>
    <s v="Product_33"/>
    <x v="2"/>
    <x v="1"/>
    <n v="93"/>
    <n v="172"/>
    <n v="174"/>
    <n v="4015.79"/>
    <n v="2253.31"/>
    <n v="68"/>
    <n v="9"/>
    <s v="2026-03-07"/>
    <n v="273"/>
    <n v="2"/>
    <n v="12"/>
    <s v="No"/>
    <x v="2"/>
    <n v="-2"/>
    <n v="1.8494623655913978"/>
    <x v="1"/>
    <s v="Maintain Stock"/>
  </r>
  <r>
    <n v="181"/>
    <s v="Product_15"/>
    <x v="2"/>
    <x v="0"/>
    <n v="335"/>
    <n v="114"/>
    <n v="90"/>
    <n v="679.56"/>
    <n v="432.27"/>
    <n v="55"/>
    <n v="6"/>
    <s v="2025-12-29"/>
    <n v="256"/>
    <n v="4"/>
    <n v="37"/>
    <s v="Yes"/>
    <x v="2"/>
    <n v="24"/>
    <n v="0.34029850746268658"/>
    <x v="2"/>
    <s v="Apply Discount / Promotion"/>
  </r>
  <r>
    <n v="182"/>
    <s v="Product_49"/>
    <x v="2"/>
    <x v="0"/>
    <n v="373"/>
    <n v="107"/>
    <n v="150"/>
    <n v="4089.65"/>
    <n v="2492"/>
    <n v="107"/>
    <n v="12"/>
    <s v="2026-03-14"/>
    <n v="337"/>
    <n v="3"/>
    <n v="27"/>
    <s v="Yes"/>
    <x v="0"/>
    <n v="-43"/>
    <n v="0.28686327077747992"/>
    <x v="2"/>
    <s v="Apply Discount / Promotion"/>
  </r>
  <r>
    <n v="183"/>
    <s v="Product_40"/>
    <x v="4"/>
    <x v="1"/>
    <n v="357"/>
    <n v="411"/>
    <n v="366"/>
    <n v="3905.65"/>
    <n v="2431.46"/>
    <n v="127"/>
    <n v="14"/>
    <s v="2026-01-27"/>
    <n v="109"/>
    <n v="3"/>
    <n v="24"/>
    <s v="Yes"/>
    <x v="2"/>
    <n v="45"/>
    <n v="1.1512605042016806"/>
    <x v="1"/>
    <s v="Maintain Stock"/>
  </r>
  <r>
    <n v="184"/>
    <s v="Product_73"/>
    <x v="2"/>
    <x v="1"/>
    <n v="298"/>
    <n v="105"/>
    <n v="120"/>
    <n v="3764.11"/>
    <n v="2012.09"/>
    <n v="42"/>
    <n v="8"/>
    <s v="2026-02-02"/>
    <n v="173"/>
    <n v="3"/>
    <n v="25"/>
    <s v="No"/>
    <x v="0"/>
    <n v="-15"/>
    <n v="0.3523489932885906"/>
    <x v="2"/>
    <s v="Apply Discount / Promotion"/>
  </r>
  <r>
    <n v="185"/>
    <s v="Product_84"/>
    <x v="1"/>
    <x v="3"/>
    <n v="488"/>
    <n v="306"/>
    <n v="335"/>
    <n v="4474.71"/>
    <n v="2629.27"/>
    <n v="116"/>
    <n v="7"/>
    <s v="2026-02-21"/>
    <n v="199"/>
    <n v="1"/>
    <n v="37"/>
    <s v="Yes"/>
    <x v="2"/>
    <n v="-29"/>
    <n v="0.62704918032786883"/>
    <x v="0"/>
    <s v="Monitor Sales"/>
  </r>
  <r>
    <n v="186"/>
    <s v="Product_5"/>
    <x v="3"/>
    <x v="2"/>
    <n v="433"/>
    <n v="246"/>
    <n v="217"/>
    <n v="910.19"/>
    <n v="618.80999999999995"/>
    <n v="73"/>
    <n v="7"/>
    <s v="2026-02-22"/>
    <n v="265"/>
    <n v="5"/>
    <n v="32"/>
    <s v="No"/>
    <x v="0"/>
    <n v="29"/>
    <n v="0.56812933025404155"/>
    <x v="0"/>
    <s v="Monitor Sales"/>
  </r>
  <r>
    <n v="187"/>
    <s v="Product_50"/>
    <x v="0"/>
    <x v="2"/>
    <n v="282"/>
    <n v="328"/>
    <n v="345"/>
    <n v="3725.47"/>
    <n v="2321.34"/>
    <n v="30"/>
    <n v="13"/>
    <s v="2026-02-15"/>
    <n v="310"/>
    <n v="2"/>
    <n v="41"/>
    <s v="Yes"/>
    <x v="1"/>
    <n v="-17"/>
    <n v="1.1631205673758864"/>
    <x v="1"/>
    <s v="Maintain Stock"/>
  </r>
  <r>
    <n v="188"/>
    <s v="Product_34"/>
    <x v="2"/>
    <x v="3"/>
    <n v="315"/>
    <n v="7"/>
    <n v="10"/>
    <n v="4886.8900000000003"/>
    <n v="3717.51"/>
    <n v="58"/>
    <n v="11"/>
    <s v="2026-03-28"/>
    <n v="306"/>
    <n v="2"/>
    <n v="17"/>
    <s v="No"/>
    <x v="2"/>
    <n v="-3"/>
    <n v="2.2222222222222223E-2"/>
    <x v="2"/>
    <s v="Apply Discount / Promotion"/>
  </r>
  <r>
    <n v="189"/>
    <s v="Product_87"/>
    <x v="3"/>
    <x v="3"/>
    <n v="42"/>
    <n v="279"/>
    <n v="243"/>
    <n v="3982.03"/>
    <n v="2095.2399999999998"/>
    <n v="150"/>
    <n v="7"/>
    <s v="2026-03-10"/>
    <n v="145"/>
    <n v="3"/>
    <n v="46"/>
    <s v="No"/>
    <x v="1"/>
    <n v="36"/>
    <n v="6.6428571428571432"/>
    <x v="1"/>
    <s v="Maintain Stock"/>
  </r>
  <r>
    <n v="190"/>
    <s v="Product_98"/>
    <x v="0"/>
    <x v="1"/>
    <n v="148"/>
    <n v="277"/>
    <n v="300"/>
    <n v="2375.59"/>
    <n v="1890.74"/>
    <n v="93"/>
    <n v="1"/>
    <s v="2026-02-07"/>
    <n v="253"/>
    <n v="1"/>
    <n v="43"/>
    <s v="Yes"/>
    <x v="0"/>
    <n v="-23"/>
    <n v="1.8716216216216217"/>
    <x v="1"/>
    <s v="Maintain Stock"/>
  </r>
  <r>
    <n v="191"/>
    <s v="Product_50"/>
    <x v="0"/>
    <x v="0"/>
    <n v="76"/>
    <n v="136"/>
    <n v="186"/>
    <n v="2874.8"/>
    <n v="1807.56"/>
    <n v="37"/>
    <n v="1"/>
    <s v="2026-03-06"/>
    <n v="307"/>
    <n v="3"/>
    <n v="24"/>
    <s v="Yes"/>
    <x v="0"/>
    <n v="-50"/>
    <n v="1.7894736842105263"/>
    <x v="1"/>
    <s v="Maintain Stock"/>
  </r>
  <r>
    <n v="192"/>
    <s v="Product_75"/>
    <x v="0"/>
    <x v="0"/>
    <n v="406"/>
    <n v="67"/>
    <n v="19"/>
    <n v="1403.31"/>
    <n v="846.33"/>
    <n v="80"/>
    <n v="6"/>
    <s v="2026-02-08"/>
    <n v="359"/>
    <n v="5"/>
    <n v="6"/>
    <s v="No"/>
    <x v="1"/>
    <n v="48"/>
    <n v="0.16502463054187191"/>
    <x v="2"/>
    <s v="Apply Discount / Promotion"/>
  </r>
  <r>
    <n v="193"/>
    <s v="Product_8"/>
    <x v="1"/>
    <x v="2"/>
    <n v="201"/>
    <n v="137"/>
    <n v="158"/>
    <n v="4505.99"/>
    <n v="2943.01"/>
    <n v="142"/>
    <n v="11"/>
    <s v="2026-01-05"/>
    <n v="232"/>
    <n v="4"/>
    <n v="29"/>
    <s v="Yes"/>
    <x v="1"/>
    <n v="-21"/>
    <n v="0.68159203980099503"/>
    <x v="0"/>
    <s v="Monitor Sales"/>
  </r>
  <r>
    <n v="194"/>
    <s v="Product_58"/>
    <x v="0"/>
    <x v="1"/>
    <n v="498"/>
    <n v="267"/>
    <n v="286"/>
    <n v="3186.42"/>
    <n v="2508.13"/>
    <n v="124"/>
    <n v="12"/>
    <s v="2026-03-14"/>
    <n v="45"/>
    <n v="4"/>
    <n v="5"/>
    <s v="No"/>
    <x v="1"/>
    <n v="-19"/>
    <n v="0.53614457831325302"/>
    <x v="0"/>
    <s v="Monitor Sales"/>
  </r>
  <r>
    <n v="195"/>
    <s v="Product_39"/>
    <x v="2"/>
    <x v="2"/>
    <n v="270"/>
    <n v="79"/>
    <n v="59"/>
    <n v="3569.88"/>
    <n v="1986.35"/>
    <n v="137"/>
    <n v="11"/>
    <s v="2026-03-08"/>
    <n v="65"/>
    <n v="1"/>
    <n v="29"/>
    <s v="Yes"/>
    <x v="1"/>
    <n v="20"/>
    <n v="0.29259259259259257"/>
    <x v="2"/>
    <s v="Apply Discount / Promotion"/>
  </r>
  <r>
    <n v="196"/>
    <s v="Product_93"/>
    <x v="1"/>
    <x v="2"/>
    <n v="60"/>
    <n v="288"/>
    <n v="290"/>
    <n v="1648.19"/>
    <n v="980.55"/>
    <n v="63"/>
    <n v="10"/>
    <s v="2026-01-20"/>
    <n v="315"/>
    <n v="2"/>
    <n v="48"/>
    <s v="Yes"/>
    <x v="1"/>
    <n v="-2"/>
    <n v="4.8"/>
    <x v="1"/>
    <s v="Maintain Stock"/>
  </r>
  <r>
    <n v="197"/>
    <s v="Product_37"/>
    <x v="4"/>
    <x v="2"/>
    <n v="46"/>
    <n v="192"/>
    <n v="231"/>
    <n v="2981.74"/>
    <n v="2021.71"/>
    <n v="69"/>
    <n v="3"/>
    <s v="2026-02-27"/>
    <n v="224"/>
    <n v="2"/>
    <n v="20"/>
    <s v="No"/>
    <x v="2"/>
    <n v="-39"/>
    <n v="4.1739130434782608"/>
    <x v="1"/>
    <s v="Maintain Stock"/>
  </r>
  <r>
    <n v="198"/>
    <s v="Product_83"/>
    <x v="4"/>
    <x v="0"/>
    <n v="342"/>
    <n v="105"/>
    <n v="153"/>
    <n v="2992.38"/>
    <n v="1886.61"/>
    <n v="99"/>
    <n v="10"/>
    <s v="2026-03-02"/>
    <n v="30"/>
    <n v="2"/>
    <n v="6"/>
    <s v="Yes"/>
    <x v="1"/>
    <n v="-48"/>
    <n v="0.30701754385964913"/>
    <x v="2"/>
    <s v="Apply Discount / Promotion"/>
  </r>
  <r>
    <n v="199"/>
    <s v="Product_30"/>
    <x v="2"/>
    <x v="2"/>
    <n v="288"/>
    <n v="69"/>
    <n v="105"/>
    <n v="4861.1000000000004"/>
    <n v="3583.27"/>
    <n v="132"/>
    <n v="15"/>
    <s v="2026-02-16"/>
    <n v="235"/>
    <n v="1"/>
    <n v="31"/>
    <s v="No"/>
    <x v="1"/>
    <n v="-36"/>
    <n v="0.23958333333333334"/>
    <x v="2"/>
    <s v="Apply Discount / Promotion"/>
  </r>
  <r>
    <n v="200"/>
    <s v="Product_61"/>
    <x v="2"/>
    <x v="3"/>
    <n v="246"/>
    <n v="77"/>
    <n v="89"/>
    <n v="2480.9299999999998"/>
    <n v="1830.24"/>
    <n v="129"/>
    <n v="1"/>
    <s v="2026-01-28"/>
    <n v="168"/>
    <n v="2"/>
    <n v="38"/>
    <s v="Yes"/>
    <x v="0"/>
    <n v="-12"/>
    <n v="0.31300813008130079"/>
    <x v="2"/>
    <s v="Apply Discount / Promotion"/>
  </r>
  <r>
    <n v="201"/>
    <s v="Product_8"/>
    <x v="2"/>
    <x v="2"/>
    <n v="286"/>
    <n v="0"/>
    <n v="31"/>
    <n v="4926.68"/>
    <n v="3285.18"/>
    <n v="88"/>
    <n v="14"/>
    <s v="2026-01-11"/>
    <n v="75"/>
    <n v="2"/>
    <n v="7"/>
    <s v="Yes"/>
    <x v="1"/>
    <n v="-31"/>
    <n v="0"/>
    <x v="2"/>
    <s v="Apply Discount / Promotion"/>
  </r>
  <r>
    <n v="202"/>
    <s v="Product_56"/>
    <x v="2"/>
    <x v="2"/>
    <n v="368"/>
    <n v="341"/>
    <n v="347"/>
    <n v="4442.17"/>
    <n v="2900.85"/>
    <n v="62"/>
    <n v="8"/>
    <s v="2026-02-07"/>
    <n v="205"/>
    <n v="5"/>
    <n v="35"/>
    <s v="No"/>
    <x v="0"/>
    <n v="-6"/>
    <n v="0.92663043478260865"/>
    <x v="0"/>
    <s v="Monitor Sales"/>
  </r>
  <r>
    <n v="203"/>
    <s v="Product_90"/>
    <x v="0"/>
    <x v="1"/>
    <n v="308"/>
    <n v="341"/>
    <n v="388"/>
    <n v="3394.46"/>
    <n v="2619.3200000000002"/>
    <n v="32"/>
    <n v="9"/>
    <s v="2026-02-28"/>
    <n v="320"/>
    <n v="5"/>
    <n v="31"/>
    <s v="Yes"/>
    <x v="2"/>
    <n v="-47"/>
    <n v="1.1071428571428572"/>
    <x v="1"/>
    <s v="Maintain Stock"/>
  </r>
  <r>
    <n v="204"/>
    <s v="Product_59"/>
    <x v="1"/>
    <x v="3"/>
    <n v="158"/>
    <n v="0"/>
    <n v="29"/>
    <n v="2700.11"/>
    <n v="1356.22"/>
    <n v="100"/>
    <n v="12"/>
    <s v="2026-01-16"/>
    <n v="103"/>
    <n v="3"/>
    <n v="41"/>
    <s v="Yes"/>
    <x v="1"/>
    <n v="-29"/>
    <n v="0"/>
    <x v="2"/>
    <s v="Apply Discount / Promotion"/>
  </r>
  <r>
    <n v="205"/>
    <s v="Product_55"/>
    <x v="1"/>
    <x v="1"/>
    <n v="223"/>
    <n v="219"/>
    <n v="226"/>
    <n v="4235.8900000000003"/>
    <n v="2168.6"/>
    <n v="128"/>
    <n v="5"/>
    <s v="2026-01-01"/>
    <n v="39"/>
    <n v="2"/>
    <n v="14"/>
    <s v="Yes"/>
    <x v="0"/>
    <n v="-7"/>
    <n v="0.98206278026905824"/>
    <x v="0"/>
    <s v="Monitor Sales"/>
  </r>
  <r>
    <n v="206"/>
    <s v="Product_29"/>
    <x v="1"/>
    <x v="0"/>
    <n v="194"/>
    <n v="191"/>
    <n v="219"/>
    <n v="3437.28"/>
    <n v="2533.52"/>
    <n v="148"/>
    <n v="6"/>
    <s v="2026-03-15"/>
    <n v="297"/>
    <n v="4"/>
    <n v="50"/>
    <s v="No"/>
    <x v="1"/>
    <n v="-28"/>
    <n v="0.98453608247422686"/>
    <x v="0"/>
    <s v="Monitor Sales"/>
  </r>
  <r>
    <n v="207"/>
    <s v="Product_57"/>
    <x v="3"/>
    <x v="3"/>
    <n v="441"/>
    <n v="405"/>
    <n v="377"/>
    <n v="3545.14"/>
    <n v="2026.96"/>
    <n v="46"/>
    <n v="15"/>
    <s v="2026-03-06"/>
    <n v="284"/>
    <n v="4"/>
    <n v="21"/>
    <s v="No"/>
    <x v="1"/>
    <n v="28"/>
    <n v="0.91836734693877553"/>
    <x v="0"/>
    <s v="Monitor Sales"/>
  </r>
  <r>
    <n v="208"/>
    <s v="Product_25"/>
    <x v="1"/>
    <x v="3"/>
    <n v="439"/>
    <n v="254"/>
    <n v="257"/>
    <n v="3150.3"/>
    <n v="1968.18"/>
    <n v="130"/>
    <n v="14"/>
    <s v="2026-03-17"/>
    <n v="200"/>
    <n v="1"/>
    <n v="13"/>
    <s v="No"/>
    <x v="2"/>
    <n v="-3"/>
    <n v="0.57858769931662868"/>
    <x v="0"/>
    <s v="Monitor Sales"/>
  </r>
  <r>
    <n v="209"/>
    <s v="Product_80"/>
    <x v="4"/>
    <x v="0"/>
    <n v="75"/>
    <n v="422"/>
    <n v="388"/>
    <n v="3574.94"/>
    <n v="2714.03"/>
    <n v="68"/>
    <n v="11"/>
    <s v="2026-01-03"/>
    <n v="41"/>
    <n v="1"/>
    <n v="3"/>
    <s v="No"/>
    <x v="2"/>
    <n v="34"/>
    <n v="5.6266666666666669"/>
    <x v="1"/>
    <s v="Maintain Stock"/>
  </r>
  <r>
    <n v="210"/>
    <s v="Product_68"/>
    <x v="4"/>
    <x v="0"/>
    <n v="370"/>
    <n v="202"/>
    <n v="152"/>
    <n v="2004.16"/>
    <n v="1284.4000000000001"/>
    <n v="65"/>
    <n v="10"/>
    <s v="2026-03-06"/>
    <n v="242"/>
    <n v="2"/>
    <n v="47"/>
    <s v="No"/>
    <x v="2"/>
    <n v="50"/>
    <n v="0.54594594594594592"/>
    <x v="0"/>
    <s v="Monitor Sales"/>
  </r>
  <r>
    <n v="211"/>
    <s v="Product_35"/>
    <x v="1"/>
    <x v="2"/>
    <n v="252"/>
    <n v="107"/>
    <n v="109"/>
    <n v="3246.23"/>
    <n v="2043.05"/>
    <n v="116"/>
    <n v="5"/>
    <s v="2026-02-02"/>
    <n v="51"/>
    <n v="2"/>
    <n v="39"/>
    <s v="Yes"/>
    <x v="0"/>
    <n v="-2"/>
    <n v="0.42460317460317459"/>
    <x v="2"/>
    <s v="Apply Discount / Promotion"/>
  </r>
  <r>
    <n v="212"/>
    <s v="Product_65"/>
    <x v="2"/>
    <x v="0"/>
    <n v="359"/>
    <n v="122"/>
    <n v="104"/>
    <n v="621.54"/>
    <n v="486.69"/>
    <n v="64"/>
    <n v="4"/>
    <s v="2026-02-06"/>
    <n v="163"/>
    <n v="1"/>
    <n v="32"/>
    <s v="No"/>
    <x v="2"/>
    <n v="18"/>
    <n v="0.33983286908077992"/>
    <x v="2"/>
    <s v="Apply Discount / Promotion"/>
  </r>
  <r>
    <n v="213"/>
    <s v="Product_4"/>
    <x v="3"/>
    <x v="2"/>
    <n v="145"/>
    <n v="388"/>
    <n v="385"/>
    <n v="4792.43"/>
    <n v="2805.05"/>
    <n v="45"/>
    <n v="12"/>
    <s v="2026-01-10"/>
    <n v="125"/>
    <n v="3"/>
    <n v="16"/>
    <s v="No"/>
    <x v="0"/>
    <n v="3"/>
    <n v="2.6758620689655173"/>
    <x v="1"/>
    <s v="Maintain Stock"/>
  </r>
  <r>
    <n v="214"/>
    <s v="Product_65"/>
    <x v="2"/>
    <x v="1"/>
    <n v="37"/>
    <n v="254"/>
    <n v="283"/>
    <n v="1662.46"/>
    <n v="906.42"/>
    <n v="55"/>
    <n v="10"/>
    <s v="2026-01-31"/>
    <n v="40"/>
    <n v="3"/>
    <n v="6"/>
    <s v="Yes"/>
    <x v="2"/>
    <n v="-29"/>
    <n v="6.8648648648648649"/>
    <x v="1"/>
    <s v="Maintain Stock"/>
  </r>
  <r>
    <n v="215"/>
    <s v="Product_74"/>
    <x v="2"/>
    <x v="2"/>
    <n v="363"/>
    <n v="0"/>
    <n v="25"/>
    <n v="1640.41"/>
    <n v="1222.8399999999999"/>
    <n v="105"/>
    <n v="3"/>
    <s v="2025-12-29"/>
    <n v="62"/>
    <n v="4"/>
    <n v="39"/>
    <s v="No"/>
    <x v="2"/>
    <n v="-25"/>
    <n v="0"/>
    <x v="2"/>
    <s v="Apply Discount / Promotion"/>
  </r>
  <r>
    <n v="216"/>
    <s v="Product_68"/>
    <x v="2"/>
    <x v="0"/>
    <n v="386"/>
    <n v="0"/>
    <n v="17"/>
    <n v="1132.06"/>
    <n v="757.2"/>
    <n v="54"/>
    <n v="6"/>
    <s v="2026-01-15"/>
    <n v="55"/>
    <n v="2"/>
    <n v="4"/>
    <s v="Yes"/>
    <x v="0"/>
    <n v="-17"/>
    <n v="0"/>
    <x v="2"/>
    <s v="Apply Discount / Promotion"/>
  </r>
  <r>
    <n v="217"/>
    <s v="Product_26"/>
    <x v="1"/>
    <x v="3"/>
    <n v="24"/>
    <n v="245"/>
    <n v="253"/>
    <n v="701.29"/>
    <n v="532.07000000000005"/>
    <n v="72"/>
    <n v="7"/>
    <s v="2026-02-12"/>
    <n v="252"/>
    <n v="4"/>
    <n v="31"/>
    <s v="Yes"/>
    <x v="1"/>
    <n v="-8"/>
    <n v="10.208333333333334"/>
    <x v="1"/>
    <s v="Maintain Stock"/>
  </r>
  <r>
    <n v="218"/>
    <s v="Product_80"/>
    <x v="3"/>
    <x v="2"/>
    <n v="486"/>
    <n v="4"/>
    <n v="32"/>
    <n v="1300.76"/>
    <n v="859.05"/>
    <n v="45"/>
    <n v="10"/>
    <s v="2026-03-16"/>
    <n v="190"/>
    <n v="2"/>
    <n v="20"/>
    <s v="No"/>
    <x v="0"/>
    <n v="-28"/>
    <n v="8.23045267489712E-3"/>
    <x v="2"/>
    <s v="Apply Discount / Promotion"/>
  </r>
  <r>
    <n v="219"/>
    <s v="Product_86"/>
    <x v="3"/>
    <x v="0"/>
    <n v="374"/>
    <n v="156"/>
    <n v="113"/>
    <n v="1921.47"/>
    <n v="1218.8699999999999"/>
    <n v="70"/>
    <n v="4"/>
    <s v="2026-02-20"/>
    <n v="79"/>
    <n v="5"/>
    <n v="34"/>
    <s v="No"/>
    <x v="0"/>
    <n v="43"/>
    <n v="0.41711229946524064"/>
    <x v="2"/>
    <s v="Apply Discount / Promotion"/>
  </r>
  <r>
    <n v="220"/>
    <s v="Product_89"/>
    <x v="3"/>
    <x v="1"/>
    <n v="41"/>
    <n v="11"/>
    <n v="41"/>
    <n v="3474.29"/>
    <n v="2005.37"/>
    <n v="66"/>
    <n v="4"/>
    <s v="2026-02-23"/>
    <n v="274"/>
    <n v="5"/>
    <n v="11"/>
    <s v="Yes"/>
    <x v="0"/>
    <n v="-30"/>
    <n v="0.26829268292682928"/>
    <x v="2"/>
    <s v="Apply Discount / Promotion"/>
  </r>
  <r>
    <n v="221"/>
    <s v="Product_14"/>
    <x v="3"/>
    <x v="1"/>
    <n v="292"/>
    <n v="251"/>
    <n v="267"/>
    <n v="1765.1"/>
    <n v="917.06"/>
    <n v="63"/>
    <n v="12"/>
    <s v="2026-02-11"/>
    <n v="238"/>
    <n v="1"/>
    <n v="40"/>
    <s v="Yes"/>
    <x v="0"/>
    <n v="-16"/>
    <n v="0.8595890410958904"/>
    <x v="0"/>
    <s v="Monitor Sales"/>
  </r>
  <r>
    <n v="222"/>
    <s v="Product_91"/>
    <x v="3"/>
    <x v="1"/>
    <n v="273"/>
    <n v="104"/>
    <n v="146"/>
    <n v="1131.8699999999999"/>
    <n v="893.6"/>
    <n v="113"/>
    <n v="15"/>
    <s v="2026-03-26"/>
    <n v="230"/>
    <n v="1"/>
    <n v="30"/>
    <s v="Yes"/>
    <x v="1"/>
    <n v="-42"/>
    <n v="0.38095238095238093"/>
    <x v="2"/>
    <s v="Apply Discount / Promotion"/>
  </r>
  <r>
    <n v="223"/>
    <s v="Product_53"/>
    <x v="3"/>
    <x v="1"/>
    <n v="405"/>
    <n v="359"/>
    <n v="336"/>
    <n v="4474.04"/>
    <n v="3207.33"/>
    <n v="120"/>
    <n v="9"/>
    <s v="2026-02-02"/>
    <n v="137"/>
    <n v="1"/>
    <n v="20"/>
    <s v="No"/>
    <x v="0"/>
    <n v="23"/>
    <n v="0.88641975308641974"/>
    <x v="0"/>
    <s v="Monitor Sales"/>
  </r>
  <r>
    <n v="224"/>
    <s v="Product_58"/>
    <x v="1"/>
    <x v="2"/>
    <n v="183"/>
    <n v="32"/>
    <n v="78"/>
    <n v="2056.02"/>
    <n v="1127.82"/>
    <n v="52"/>
    <n v="7"/>
    <s v="2026-03-04"/>
    <n v="173"/>
    <n v="5"/>
    <n v="10"/>
    <s v="No"/>
    <x v="2"/>
    <n v="-46"/>
    <n v="0.17486338797814208"/>
    <x v="2"/>
    <s v="Apply Discount / Promotion"/>
  </r>
  <r>
    <n v="225"/>
    <s v="Product_73"/>
    <x v="1"/>
    <x v="0"/>
    <n v="487"/>
    <n v="312"/>
    <n v="284"/>
    <n v="3271.58"/>
    <n v="1652.97"/>
    <n v="53"/>
    <n v="8"/>
    <s v="2026-03-27"/>
    <n v="319"/>
    <n v="1"/>
    <n v="14"/>
    <s v="Yes"/>
    <x v="0"/>
    <n v="28"/>
    <n v="0.64065708418891165"/>
    <x v="0"/>
    <s v="Monitor Sales"/>
  </r>
  <r>
    <n v="226"/>
    <s v="Product_5"/>
    <x v="2"/>
    <x v="0"/>
    <n v="56"/>
    <n v="46"/>
    <n v="84"/>
    <n v="4744.3"/>
    <n v="3392.65"/>
    <n v="126"/>
    <n v="14"/>
    <s v="2026-03-05"/>
    <n v="158"/>
    <n v="5"/>
    <n v="17"/>
    <s v="Yes"/>
    <x v="0"/>
    <n v="-38"/>
    <n v="0.8214285714285714"/>
    <x v="0"/>
    <s v="Monitor Sales"/>
  </r>
  <r>
    <n v="227"/>
    <s v="Product_81"/>
    <x v="0"/>
    <x v="2"/>
    <n v="384"/>
    <n v="73"/>
    <n v="43"/>
    <n v="2574.5100000000002"/>
    <n v="1600.28"/>
    <n v="81"/>
    <n v="1"/>
    <s v="2026-01-30"/>
    <n v="327"/>
    <n v="4"/>
    <n v="1"/>
    <s v="Yes"/>
    <x v="2"/>
    <n v="30"/>
    <n v="0.19010416666666666"/>
    <x v="2"/>
    <s v="Apply Discount / Promotion"/>
  </r>
  <r>
    <n v="228"/>
    <s v="Product_46"/>
    <x v="3"/>
    <x v="0"/>
    <n v="203"/>
    <n v="57"/>
    <n v="44"/>
    <n v="2166.08"/>
    <n v="1508.64"/>
    <n v="106"/>
    <n v="6"/>
    <s v="2026-02-20"/>
    <n v="313"/>
    <n v="3"/>
    <n v="44"/>
    <s v="No"/>
    <x v="0"/>
    <n v="13"/>
    <n v="0.28078817733990147"/>
    <x v="2"/>
    <s v="Apply Discount / Promotion"/>
  </r>
  <r>
    <n v="229"/>
    <s v="Product_45"/>
    <x v="1"/>
    <x v="1"/>
    <n v="470"/>
    <n v="371"/>
    <n v="332"/>
    <n v="3955.4"/>
    <n v="2986.79"/>
    <n v="104"/>
    <n v="3"/>
    <s v="2026-03-14"/>
    <n v="67"/>
    <n v="2"/>
    <n v="8"/>
    <s v="Yes"/>
    <x v="1"/>
    <n v="39"/>
    <n v="0.78936170212765955"/>
    <x v="0"/>
    <s v="Monitor Sales"/>
  </r>
  <r>
    <n v="230"/>
    <s v="Product_51"/>
    <x v="1"/>
    <x v="1"/>
    <n v="93"/>
    <n v="120"/>
    <n v="159"/>
    <n v="3823.85"/>
    <n v="2703.66"/>
    <n v="71"/>
    <n v="13"/>
    <s v="2026-01-20"/>
    <n v="71"/>
    <n v="5"/>
    <n v="24"/>
    <s v="No"/>
    <x v="0"/>
    <n v="-39"/>
    <n v="1.2903225806451613"/>
    <x v="1"/>
    <s v="Maintain Stock"/>
  </r>
  <r>
    <n v="231"/>
    <s v="Product_52"/>
    <x v="4"/>
    <x v="2"/>
    <n v="436"/>
    <n v="221"/>
    <n v="187"/>
    <n v="4079.06"/>
    <n v="2079.19"/>
    <n v="103"/>
    <n v="15"/>
    <s v="2026-01-17"/>
    <n v="316"/>
    <n v="4"/>
    <n v="40"/>
    <s v="No"/>
    <x v="1"/>
    <n v="34"/>
    <n v="0.50688073394495414"/>
    <x v="0"/>
    <s v="Monitor Sales"/>
  </r>
  <r>
    <n v="232"/>
    <s v="Product_64"/>
    <x v="3"/>
    <x v="3"/>
    <n v="500"/>
    <n v="120"/>
    <n v="81"/>
    <n v="422.54"/>
    <n v="241.11"/>
    <n v="47"/>
    <n v="6"/>
    <s v="2026-03-03"/>
    <n v="271"/>
    <n v="2"/>
    <n v="26"/>
    <s v="No"/>
    <x v="2"/>
    <n v="39"/>
    <n v="0.24"/>
    <x v="2"/>
    <s v="Apply Discount / Promotion"/>
  </r>
  <r>
    <n v="233"/>
    <s v="Product_42"/>
    <x v="3"/>
    <x v="3"/>
    <n v="205"/>
    <n v="219"/>
    <n v="184"/>
    <n v="1691.08"/>
    <n v="1017.73"/>
    <n v="75"/>
    <n v="6"/>
    <s v="2026-01-17"/>
    <n v="315"/>
    <n v="1"/>
    <n v="29"/>
    <s v="No"/>
    <x v="0"/>
    <n v="35"/>
    <n v="1.0682926829268293"/>
    <x v="1"/>
    <s v="Maintain Stock"/>
  </r>
  <r>
    <n v="234"/>
    <s v="Product_15"/>
    <x v="2"/>
    <x v="2"/>
    <n v="489"/>
    <n v="323"/>
    <n v="281"/>
    <n v="4920.0200000000004"/>
    <n v="2889.78"/>
    <n v="128"/>
    <n v="1"/>
    <s v="2026-02-24"/>
    <n v="209"/>
    <n v="1"/>
    <n v="27"/>
    <s v="No"/>
    <x v="0"/>
    <n v="42"/>
    <n v="0.66053169734151329"/>
    <x v="0"/>
    <s v="Monitor Sales"/>
  </r>
  <r>
    <n v="235"/>
    <s v="Product_96"/>
    <x v="4"/>
    <x v="0"/>
    <n v="234"/>
    <n v="24"/>
    <n v="51"/>
    <n v="804.45"/>
    <n v="613.37"/>
    <n v="114"/>
    <n v="10"/>
    <s v="2026-01-02"/>
    <n v="205"/>
    <n v="4"/>
    <n v="50"/>
    <s v="No"/>
    <x v="0"/>
    <n v="-27"/>
    <n v="0.10256410256410256"/>
    <x v="2"/>
    <s v="Apply Discount / Promotion"/>
  </r>
  <r>
    <n v="236"/>
    <s v="Product_6"/>
    <x v="3"/>
    <x v="2"/>
    <n v="493"/>
    <n v="145"/>
    <n v="123"/>
    <n v="4419.97"/>
    <n v="2733.52"/>
    <n v="38"/>
    <n v="3"/>
    <s v="2026-03-26"/>
    <n v="206"/>
    <n v="5"/>
    <n v="41"/>
    <s v="No"/>
    <x v="0"/>
    <n v="22"/>
    <n v="0.29411764705882354"/>
    <x v="2"/>
    <s v="Apply Discount / Promotion"/>
  </r>
  <r>
    <n v="237"/>
    <s v="Product_9"/>
    <x v="3"/>
    <x v="2"/>
    <n v="315"/>
    <n v="75"/>
    <n v="76"/>
    <n v="3331.2"/>
    <n v="1953.29"/>
    <n v="96"/>
    <n v="13"/>
    <s v="2026-03-08"/>
    <n v="216"/>
    <n v="5"/>
    <n v="5"/>
    <s v="No"/>
    <x v="1"/>
    <n v="-1"/>
    <n v="0.23809523809523808"/>
    <x v="2"/>
    <s v="Apply Discount / Promotion"/>
  </r>
  <r>
    <n v="238"/>
    <s v="Product_1"/>
    <x v="2"/>
    <x v="1"/>
    <n v="35"/>
    <n v="278"/>
    <n v="263"/>
    <n v="3763.17"/>
    <n v="2262.4899999999998"/>
    <n v="34"/>
    <n v="3"/>
    <s v="2026-01-24"/>
    <n v="216"/>
    <n v="3"/>
    <n v="46"/>
    <s v="Yes"/>
    <x v="2"/>
    <n v="15"/>
    <n v="7.9428571428571431"/>
    <x v="1"/>
    <s v="Maintain Stock"/>
  </r>
  <r>
    <n v="239"/>
    <s v="Product_81"/>
    <x v="2"/>
    <x v="2"/>
    <n v="355"/>
    <n v="328"/>
    <n v="362"/>
    <n v="4408.95"/>
    <n v="3430.82"/>
    <n v="70"/>
    <n v="14"/>
    <s v="2026-02-14"/>
    <n v="290"/>
    <n v="5"/>
    <n v="16"/>
    <s v="Yes"/>
    <x v="2"/>
    <n v="-34"/>
    <n v="0.92394366197183098"/>
    <x v="0"/>
    <s v="Monitor Sales"/>
  </r>
  <r>
    <n v="240"/>
    <s v="Product_6"/>
    <x v="4"/>
    <x v="2"/>
    <n v="464"/>
    <n v="255"/>
    <n v="300"/>
    <n v="4199.1899999999996"/>
    <n v="2835.54"/>
    <n v="98"/>
    <n v="7"/>
    <s v="2026-03-01"/>
    <n v="317"/>
    <n v="4"/>
    <n v="18"/>
    <s v="Yes"/>
    <x v="1"/>
    <n v="-45"/>
    <n v="0.54956896551724133"/>
    <x v="0"/>
    <s v="Monitor Sales"/>
  </r>
  <r>
    <n v="241"/>
    <s v="Product_65"/>
    <x v="0"/>
    <x v="0"/>
    <n v="53"/>
    <n v="225"/>
    <n v="239"/>
    <n v="3660.46"/>
    <n v="2393.5700000000002"/>
    <n v="75"/>
    <n v="12"/>
    <s v="2026-03-11"/>
    <n v="202"/>
    <n v="3"/>
    <n v="23"/>
    <s v="No"/>
    <x v="1"/>
    <n v="-14"/>
    <n v="4.2452830188679247"/>
    <x v="1"/>
    <s v="Maintain Stock"/>
  </r>
  <r>
    <n v="242"/>
    <s v="Product_60"/>
    <x v="2"/>
    <x v="3"/>
    <n v="321"/>
    <n v="282"/>
    <n v="248"/>
    <n v="4602.1000000000004"/>
    <n v="2340.98"/>
    <n v="41"/>
    <n v="8"/>
    <s v="2026-02-06"/>
    <n v="257"/>
    <n v="4"/>
    <n v="7"/>
    <s v="No"/>
    <x v="1"/>
    <n v="34"/>
    <n v="0.87850467289719625"/>
    <x v="0"/>
    <s v="Monitor Sales"/>
  </r>
  <r>
    <n v="243"/>
    <s v="Product_21"/>
    <x v="0"/>
    <x v="2"/>
    <n v="417"/>
    <n v="337"/>
    <n v="354"/>
    <n v="1050.53"/>
    <n v="593.01"/>
    <n v="47"/>
    <n v="11"/>
    <s v="2026-03-06"/>
    <n v="71"/>
    <n v="4"/>
    <n v="38"/>
    <s v="Yes"/>
    <x v="1"/>
    <n v="-17"/>
    <n v="0.80815347721822539"/>
    <x v="0"/>
    <s v="Monitor Sales"/>
  </r>
  <r>
    <n v="244"/>
    <s v="Product_39"/>
    <x v="1"/>
    <x v="0"/>
    <n v="362"/>
    <n v="0"/>
    <n v="46"/>
    <n v="2750.67"/>
    <n v="1583.26"/>
    <n v="132"/>
    <n v="14"/>
    <s v="2026-02-01"/>
    <n v="259"/>
    <n v="2"/>
    <n v="12"/>
    <s v="No"/>
    <x v="0"/>
    <n v="-46"/>
    <n v="0"/>
    <x v="2"/>
    <s v="Apply Discount / Promotion"/>
  </r>
  <r>
    <n v="245"/>
    <s v="Product_21"/>
    <x v="1"/>
    <x v="1"/>
    <n v="285"/>
    <n v="159"/>
    <n v="143"/>
    <n v="605.27"/>
    <n v="433.64"/>
    <n v="127"/>
    <n v="15"/>
    <s v="2026-02-26"/>
    <n v="296"/>
    <n v="2"/>
    <n v="29"/>
    <s v="No"/>
    <x v="0"/>
    <n v="16"/>
    <n v="0.55789473684210522"/>
    <x v="0"/>
    <s v="Monitor Sales"/>
  </r>
  <r>
    <n v="246"/>
    <s v="Product_45"/>
    <x v="2"/>
    <x v="3"/>
    <n v="389"/>
    <n v="393"/>
    <n v="352"/>
    <n v="3185.32"/>
    <n v="1811.63"/>
    <n v="44"/>
    <n v="6"/>
    <s v="2026-02-19"/>
    <n v="179"/>
    <n v="1"/>
    <n v="5"/>
    <s v="Yes"/>
    <x v="0"/>
    <n v="41"/>
    <n v="1.0102827763496145"/>
    <x v="1"/>
    <s v="Maintain Stock"/>
  </r>
  <r>
    <n v="247"/>
    <s v="Product_55"/>
    <x v="0"/>
    <x v="2"/>
    <n v="353"/>
    <n v="114"/>
    <n v="118"/>
    <n v="1821.75"/>
    <n v="1280.0999999999999"/>
    <n v="92"/>
    <n v="12"/>
    <s v="2026-01-28"/>
    <n v="183"/>
    <n v="2"/>
    <n v="50"/>
    <s v="No"/>
    <x v="0"/>
    <n v="-4"/>
    <n v="0.32294617563739375"/>
    <x v="2"/>
    <s v="Apply Discount / Promotion"/>
  </r>
  <r>
    <n v="248"/>
    <s v="Product_15"/>
    <x v="1"/>
    <x v="3"/>
    <n v="142"/>
    <n v="233"/>
    <n v="283"/>
    <n v="947.61"/>
    <n v="667.49"/>
    <n v="119"/>
    <n v="2"/>
    <s v="2026-01-17"/>
    <n v="127"/>
    <n v="2"/>
    <n v="35"/>
    <s v="Yes"/>
    <x v="2"/>
    <n v="-50"/>
    <n v="1.6408450704225352"/>
    <x v="1"/>
    <s v="Maintain Stock"/>
  </r>
  <r>
    <n v="249"/>
    <s v="Product_96"/>
    <x v="4"/>
    <x v="0"/>
    <n v="255"/>
    <n v="332"/>
    <n v="320"/>
    <n v="297.87"/>
    <n v="227.05"/>
    <n v="77"/>
    <n v="13"/>
    <s v="2026-03-12"/>
    <n v="150"/>
    <n v="3"/>
    <n v="13"/>
    <s v="No"/>
    <x v="1"/>
    <n v="12"/>
    <n v="1.3019607843137255"/>
    <x v="1"/>
    <s v="Maintain Stock"/>
  </r>
  <r>
    <n v="250"/>
    <s v="Product_72"/>
    <x v="3"/>
    <x v="2"/>
    <n v="486"/>
    <n v="84"/>
    <n v="45"/>
    <n v="620.53"/>
    <n v="342.41"/>
    <n v="149"/>
    <n v="10"/>
    <s v="2026-02-21"/>
    <n v="116"/>
    <n v="1"/>
    <n v="21"/>
    <s v="No"/>
    <x v="1"/>
    <n v="39"/>
    <n v="0.1728395061728395"/>
    <x v="2"/>
    <s v="Apply Discount / Promotion"/>
  </r>
  <r>
    <n v="251"/>
    <s v="Product_99"/>
    <x v="1"/>
    <x v="0"/>
    <n v="328"/>
    <n v="154"/>
    <n v="130"/>
    <n v="1306.26"/>
    <n v="786.88"/>
    <n v="40"/>
    <n v="13"/>
    <s v="2026-02-04"/>
    <n v="272"/>
    <n v="5"/>
    <n v="30"/>
    <s v="Yes"/>
    <x v="0"/>
    <n v="24"/>
    <n v="0.46951219512195119"/>
    <x v="2"/>
    <s v="Apply Discount / Promotion"/>
  </r>
  <r>
    <n v="252"/>
    <s v="Product_50"/>
    <x v="3"/>
    <x v="0"/>
    <n v="348"/>
    <n v="176"/>
    <n v="206"/>
    <n v="2738.71"/>
    <n v="1847.32"/>
    <n v="89"/>
    <n v="2"/>
    <s v="2026-01-29"/>
    <n v="337"/>
    <n v="5"/>
    <n v="26"/>
    <s v="Yes"/>
    <x v="2"/>
    <n v="-30"/>
    <n v="0.50574712643678166"/>
    <x v="0"/>
    <s v="Monitor Sales"/>
  </r>
  <r>
    <n v="253"/>
    <s v="Product_62"/>
    <x v="3"/>
    <x v="1"/>
    <n v="339"/>
    <n v="124"/>
    <n v="150"/>
    <n v="3890.95"/>
    <n v="2755.55"/>
    <n v="89"/>
    <n v="4"/>
    <s v="2026-02-23"/>
    <n v="62"/>
    <n v="3"/>
    <n v="50"/>
    <s v="Yes"/>
    <x v="0"/>
    <n v="-26"/>
    <n v="0.36578171091445427"/>
    <x v="2"/>
    <s v="Apply Discount / Promotion"/>
  </r>
  <r>
    <n v="254"/>
    <s v="Product_85"/>
    <x v="3"/>
    <x v="3"/>
    <n v="354"/>
    <n v="292"/>
    <n v="243"/>
    <n v="4891.08"/>
    <n v="3509.56"/>
    <n v="56"/>
    <n v="15"/>
    <s v="2026-01-10"/>
    <n v="173"/>
    <n v="3"/>
    <n v="5"/>
    <s v="Yes"/>
    <x v="2"/>
    <n v="49"/>
    <n v="0.82485875706214684"/>
    <x v="0"/>
    <s v="Monitor Sales"/>
  </r>
  <r>
    <n v="255"/>
    <s v="Product_66"/>
    <x v="1"/>
    <x v="1"/>
    <n v="452"/>
    <n v="241"/>
    <n v="211"/>
    <n v="792.08"/>
    <n v="561.39"/>
    <n v="109"/>
    <n v="5"/>
    <s v="2026-01-23"/>
    <n v="237"/>
    <n v="1"/>
    <n v="10"/>
    <s v="No"/>
    <x v="1"/>
    <n v="30"/>
    <n v="0.5331858407079646"/>
    <x v="0"/>
    <s v="Monitor Sales"/>
  </r>
  <r>
    <n v="256"/>
    <s v="Product_66"/>
    <x v="1"/>
    <x v="2"/>
    <n v="468"/>
    <n v="302"/>
    <n v="281"/>
    <n v="1990.03"/>
    <n v="1415.34"/>
    <n v="106"/>
    <n v="1"/>
    <s v="2026-02-05"/>
    <n v="343"/>
    <n v="5"/>
    <n v="29"/>
    <s v="Yes"/>
    <x v="1"/>
    <n v="21"/>
    <n v="0.64529914529914534"/>
    <x v="0"/>
    <s v="Monitor Sales"/>
  </r>
  <r>
    <n v="257"/>
    <s v="Product_78"/>
    <x v="4"/>
    <x v="1"/>
    <n v="390"/>
    <n v="115"/>
    <n v="140"/>
    <n v="1009.72"/>
    <n v="579.28"/>
    <n v="110"/>
    <n v="1"/>
    <s v="2026-03-17"/>
    <n v="100"/>
    <n v="3"/>
    <n v="30"/>
    <s v="No"/>
    <x v="0"/>
    <n v="-25"/>
    <n v="0.29487179487179488"/>
    <x v="2"/>
    <s v="Apply Discount / Promotion"/>
  </r>
  <r>
    <n v="258"/>
    <s v="Product_56"/>
    <x v="4"/>
    <x v="1"/>
    <n v="421"/>
    <n v="225"/>
    <n v="198"/>
    <n v="241.45"/>
    <n v="165.7"/>
    <n v="64"/>
    <n v="6"/>
    <s v="2026-01-10"/>
    <n v="341"/>
    <n v="3"/>
    <n v="31"/>
    <s v="No"/>
    <x v="1"/>
    <n v="27"/>
    <n v="0.53444180522565321"/>
    <x v="0"/>
    <s v="Monitor Sales"/>
  </r>
  <r>
    <n v="259"/>
    <s v="Product_18"/>
    <x v="1"/>
    <x v="1"/>
    <n v="249"/>
    <n v="40"/>
    <n v="43"/>
    <n v="1678.68"/>
    <n v="999.61"/>
    <n v="42"/>
    <n v="14"/>
    <s v="2026-01-05"/>
    <n v="109"/>
    <n v="4"/>
    <n v="16"/>
    <s v="No"/>
    <x v="1"/>
    <n v="-3"/>
    <n v="0.1606425702811245"/>
    <x v="2"/>
    <s v="Apply Discount / Promotion"/>
  </r>
  <r>
    <n v="260"/>
    <s v="Product_29"/>
    <x v="1"/>
    <x v="1"/>
    <n v="401"/>
    <n v="282"/>
    <n v="286"/>
    <n v="1715.36"/>
    <n v="982.08"/>
    <n v="86"/>
    <n v="2"/>
    <s v="2026-03-28"/>
    <n v="304"/>
    <n v="4"/>
    <n v="39"/>
    <s v="Yes"/>
    <x v="1"/>
    <n v="-4"/>
    <n v="0.70324189526184544"/>
    <x v="0"/>
    <s v="Monitor Sales"/>
  </r>
  <r>
    <n v="261"/>
    <s v="Product_27"/>
    <x v="4"/>
    <x v="3"/>
    <n v="53"/>
    <n v="278"/>
    <n v="234"/>
    <n v="4025.38"/>
    <n v="3041.79"/>
    <n v="147"/>
    <n v="12"/>
    <s v="2026-03-12"/>
    <n v="353"/>
    <n v="1"/>
    <n v="40"/>
    <s v="No"/>
    <x v="0"/>
    <n v="44"/>
    <n v="5.2452830188679247"/>
    <x v="1"/>
    <s v="Maintain Stock"/>
  </r>
  <r>
    <n v="262"/>
    <s v="Product_83"/>
    <x v="3"/>
    <x v="3"/>
    <n v="50"/>
    <n v="339"/>
    <n v="382"/>
    <n v="1712.34"/>
    <n v="954.09"/>
    <n v="110"/>
    <n v="12"/>
    <s v="2026-02-08"/>
    <n v="88"/>
    <n v="1"/>
    <n v="26"/>
    <s v="Yes"/>
    <x v="1"/>
    <n v="-43"/>
    <n v="6.78"/>
    <x v="1"/>
    <s v="Maintain Stock"/>
  </r>
  <r>
    <n v="263"/>
    <s v="Product_16"/>
    <x v="1"/>
    <x v="0"/>
    <n v="414"/>
    <n v="294"/>
    <n v="311"/>
    <n v="4925.3100000000004"/>
    <n v="3705.25"/>
    <n v="137"/>
    <n v="5"/>
    <s v="2026-01-05"/>
    <n v="243"/>
    <n v="1"/>
    <n v="34"/>
    <s v="No"/>
    <x v="1"/>
    <n v="-17"/>
    <n v="0.71014492753623193"/>
    <x v="0"/>
    <s v="Monitor Sales"/>
  </r>
  <r>
    <n v="264"/>
    <s v="Product_59"/>
    <x v="2"/>
    <x v="2"/>
    <n v="212"/>
    <n v="323"/>
    <n v="281"/>
    <n v="839.58"/>
    <n v="453.72"/>
    <n v="49"/>
    <n v="15"/>
    <s v="2026-01-21"/>
    <n v="43"/>
    <n v="1"/>
    <n v="30"/>
    <s v="Yes"/>
    <x v="2"/>
    <n v="42"/>
    <n v="1.5235849056603774"/>
    <x v="1"/>
    <s v="Maintain Stock"/>
  </r>
  <r>
    <n v="265"/>
    <s v="Product_10"/>
    <x v="1"/>
    <x v="0"/>
    <n v="423"/>
    <n v="317"/>
    <n v="288"/>
    <n v="4494.5600000000004"/>
    <n v="3417"/>
    <n v="86"/>
    <n v="2"/>
    <s v="2026-02-09"/>
    <n v="318"/>
    <n v="5"/>
    <n v="0"/>
    <s v="Yes"/>
    <x v="2"/>
    <n v="29"/>
    <n v="0.74940898345153661"/>
    <x v="0"/>
    <s v="Monitor Sales"/>
  </r>
  <r>
    <n v="266"/>
    <s v="Product_39"/>
    <x v="2"/>
    <x v="3"/>
    <n v="170"/>
    <n v="211"/>
    <n v="243"/>
    <n v="1455.77"/>
    <n v="799.78"/>
    <n v="84"/>
    <n v="15"/>
    <s v="2026-01-28"/>
    <n v="210"/>
    <n v="3"/>
    <n v="34"/>
    <s v="Yes"/>
    <x v="0"/>
    <n v="-32"/>
    <n v="1.2411764705882353"/>
    <x v="1"/>
    <s v="Maintain Stock"/>
  </r>
  <r>
    <n v="267"/>
    <s v="Product_31"/>
    <x v="4"/>
    <x v="0"/>
    <n v="332"/>
    <n v="287"/>
    <n v="251"/>
    <n v="352.46"/>
    <n v="184.25"/>
    <n v="146"/>
    <n v="6"/>
    <s v="2026-01-17"/>
    <n v="276"/>
    <n v="1"/>
    <n v="28"/>
    <s v="No"/>
    <x v="2"/>
    <n v="36"/>
    <n v="0.86445783132530118"/>
    <x v="0"/>
    <s v="Monitor Sales"/>
  </r>
  <r>
    <n v="268"/>
    <s v="Product_2"/>
    <x v="4"/>
    <x v="0"/>
    <n v="20"/>
    <n v="449"/>
    <n v="400"/>
    <n v="1011.24"/>
    <n v="604.20000000000005"/>
    <n v="115"/>
    <n v="4"/>
    <s v="2026-03-14"/>
    <n v="180"/>
    <n v="1"/>
    <n v="16"/>
    <s v="No"/>
    <x v="2"/>
    <n v="49"/>
    <n v="22.45"/>
    <x v="1"/>
    <s v="Maintain Stock"/>
  </r>
  <r>
    <n v="269"/>
    <s v="Product_73"/>
    <x v="3"/>
    <x v="1"/>
    <n v="486"/>
    <n v="276"/>
    <n v="292"/>
    <n v="1308.06"/>
    <n v="748.95"/>
    <n v="102"/>
    <n v="3"/>
    <s v="2026-01-13"/>
    <n v="181"/>
    <n v="2"/>
    <n v="6"/>
    <s v="Yes"/>
    <x v="1"/>
    <n v="-16"/>
    <n v="0.5679012345679012"/>
    <x v="0"/>
    <s v="Monitor Sales"/>
  </r>
  <r>
    <n v="270"/>
    <s v="Product_49"/>
    <x v="0"/>
    <x v="3"/>
    <n v="389"/>
    <n v="181"/>
    <n v="190"/>
    <n v="4493.96"/>
    <n v="2304.02"/>
    <n v="149"/>
    <n v="6"/>
    <s v="2026-02-26"/>
    <n v="176"/>
    <n v="2"/>
    <n v="18"/>
    <s v="Yes"/>
    <x v="2"/>
    <n v="-9"/>
    <n v="0.4652956298200514"/>
    <x v="2"/>
    <s v="Apply Discount / Promotion"/>
  </r>
  <r>
    <n v="271"/>
    <s v="Product_2"/>
    <x v="2"/>
    <x v="1"/>
    <n v="479"/>
    <n v="227"/>
    <n v="231"/>
    <n v="1516.96"/>
    <n v="879.53"/>
    <n v="104"/>
    <n v="8"/>
    <s v="2026-02-06"/>
    <n v="260"/>
    <n v="4"/>
    <n v="28"/>
    <s v="No"/>
    <x v="1"/>
    <n v="-4"/>
    <n v="0.47390396659707723"/>
    <x v="2"/>
    <s v="Apply Discount / Promotion"/>
  </r>
  <r>
    <n v="272"/>
    <s v="Product_94"/>
    <x v="3"/>
    <x v="0"/>
    <n v="462"/>
    <n v="351"/>
    <n v="379"/>
    <n v="645.88"/>
    <n v="345.14"/>
    <n v="103"/>
    <n v="5"/>
    <s v="2026-03-15"/>
    <n v="88"/>
    <n v="2"/>
    <n v="6"/>
    <s v="No"/>
    <x v="2"/>
    <n v="-28"/>
    <n v="0.75974025974025972"/>
    <x v="0"/>
    <s v="Monitor Sales"/>
  </r>
  <r>
    <n v="273"/>
    <s v="Product_14"/>
    <x v="4"/>
    <x v="3"/>
    <n v="165"/>
    <n v="17"/>
    <n v="48"/>
    <n v="1515.03"/>
    <n v="1038.2"/>
    <n v="80"/>
    <n v="1"/>
    <s v="2026-02-06"/>
    <n v="143"/>
    <n v="3"/>
    <n v="6"/>
    <s v="No"/>
    <x v="2"/>
    <n v="-31"/>
    <n v="0.10303030303030303"/>
    <x v="2"/>
    <s v="Apply Discount / Promotion"/>
  </r>
  <r>
    <n v="274"/>
    <s v="Product_59"/>
    <x v="0"/>
    <x v="1"/>
    <n v="490"/>
    <n v="0"/>
    <n v="10"/>
    <n v="3201.36"/>
    <n v="1686.02"/>
    <n v="50"/>
    <n v="1"/>
    <s v="2026-02-09"/>
    <n v="203"/>
    <n v="1"/>
    <n v="44"/>
    <s v="No"/>
    <x v="2"/>
    <n v="-10"/>
    <n v="0"/>
    <x v="2"/>
    <s v="Apply Discount / Promotion"/>
  </r>
  <r>
    <n v="275"/>
    <s v="Product_85"/>
    <x v="0"/>
    <x v="2"/>
    <n v="205"/>
    <n v="141"/>
    <n v="92"/>
    <n v="265.33999999999997"/>
    <n v="153.03"/>
    <n v="75"/>
    <n v="1"/>
    <s v="2026-03-10"/>
    <n v="279"/>
    <n v="1"/>
    <n v="8"/>
    <s v="Yes"/>
    <x v="2"/>
    <n v="49"/>
    <n v="0.68780487804878043"/>
    <x v="0"/>
    <s v="Monitor Sales"/>
  </r>
  <r>
    <n v="276"/>
    <s v="Product_13"/>
    <x v="3"/>
    <x v="0"/>
    <n v="412"/>
    <n v="116"/>
    <n v="96"/>
    <n v="1604.66"/>
    <n v="1157.6199999999999"/>
    <n v="89"/>
    <n v="8"/>
    <s v="2026-03-10"/>
    <n v="251"/>
    <n v="1"/>
    <n v="16"/>
    <s v="Yes"/>
    <x v="2"/>
    <n v="20"/>
    <n v="0.28155339805825241"/>
    <x v="2"/>
    <s v="Apply Discount / Promotion"/>
  </r>
  <r>
    <n v="277"/>
    <s v="Product_18"/>
    <x v="2"/>
    <x v="2"/>
    <n v="424"/>
    <n v="122"/>
    <n v="123"/>
    <n v="3449.35"/>
    <n v="2140.09"/>
    <n v="129"/>
    <n v="5"/>
    <s v="2026-02-25"/>
    <n v="189"/>
    <n v="2"/>
    <n v="34"/>
    <s v="Yes"/>
    <x v="2"/>
    <n v="-1"/>
    <n v="0.28773584905660377"/>
    <x v="2"/>
    <s v="Apply Discount / Promotion"/>
  </r>
  <r>
    <n v="278"/>
    <s v="Product_18"/>
    <x v="4"/>
    <x v="0"/>
    <n v="296"/>
    <n v="378"/>
    <n v="394"/>
    <n v="1934.98"/>
    <n v="1338.88"/>
    <n v="106"/>
    <n v="7"/>
    <s v="2026-02-19"/>
    <n v="206"/>
    <n v="4"/>
    <n v="14"/>
    <s v="No"/>
    <x v="0"/>
    <n v="-16"/>
    <n v="1.277027027027027"/>
    <x v="1"/>
    <s v="Maintain Stock"/>
  </r>
  <r>
    <n v="279"/>
    <s v="Product_55"/>
    <x v="4"/>
    <x v="3"/>
    <n v="198"/>
    <n v="384"/>
    <n v="397"/>
    <n v="2374.39"/>
    <n v="1279.77"/>
    <n v="38"/>
    <n v="2"/>
    <s v="2026-03-27"/>
    <n v="161"/>
    <n v="3"/>
    <n v="3"/>
    <s v="No"/>
    <x v="0"/>
    <n v="-13"/>
    <n v="1.9393939393939394"/>
    <x v="1"/>
    <s v="Maintain Stock"/>
  </r>
  <r>
    <n v="280"/>
    <s v="Product_52"/>
    <x v="4"/>
    <x v="1"/>
    <n v="276"/>
    <n v="238"/>
    <n v="252"/>
    <n v="3519.58"/>
    <n v="2273.4899999999998"/>
    <n v="47"/>
    <n v="13"/>
    <s v="2026-01-16"/>
    <n v="181"/>
    <n v="5"/>
    <n v="26"/>
    <s v="No"/>
    <x v="1"/>
    <n v="-14"/>
    <n v="0.8623188405797102"/>
    <x v="0"/>
    <s v="Monitor Sales"/>
  </r>
  <r>
    <n v="281"/>
    <s v="Product_37"/>
    <x v="4"/>
    <x v="3"/>
    <n v="72"/>
    <n v="241"/>
    <n v="228"/>
    <n v="207.1"/>
    <n v="148.06"/>
    <n v="126"/>
    <n v="8"/>
    <s v="2025-12-30"/>
    <n v="239"/>
    <n v="1"/>
    <n v="3"/>
    <s v="Yes"/>
    <x v="1"/>
    <n v="13"/>
    <n v="3.3472222222222223"/>
    <x v="1"/>
    <s v="Maintain Stock"/>
  </r>
  <r>
    <n v="282"/>
    <s v="Product_66"/>
    <x v="1"/>
    <x v="3"/>
    <n v="27"/>
    <n v="277"/>
    <n v="297"/>
    <n v="4592.8100000000004"/>
    <n v="2384.7399999999998"/>
    <n v="74"/>
    <n v="3"/>
    <s v="2026-02-06"/>
    <n v="160"/>
    <n v="4"/>
    <n v="9"/>
    <s v="No"/>
    <x v="2"/>
    <n v="-20"/>
    <n v="10.25925925925926"/>
    <x v="1"/>
    <s v="Maintain Stock"/>
  </r>
  <r>
    <n v="283"/>
    <s v="Product_35"/>
    <x v="0"/>
    <x v="2"/>
    <n v="478"/>
    <n v="392"/>
    <n v="386"/>
    <n v="140.47999999999999"/>
    <n v="80.650000000000006"/>
    <n v="100"/>
    <n v="1"/>
    <s v="2026-03-05"/>
    <n v="351"/>
    <n v="3"/>
    <n v="29"/>
    <s v="No"/>
    <x v="0"/>
    <n v="6"/>
    <n v="0.82008368200836823"/>
    <x v="0"/>
    <s v="Monitor Sales"/>
  </r>
  <r>
    <n v="284"/>
    <s v="Product_34"/>
    <x v="0"/>
    <x v="1"/>
    <n v="231"/>
    <n v="179"/>
    <n v="131"/>
    <n v="3978.94"/>
    <n v="2941.94"/>
    <n v="101"/>
    <n v="7"/>
    <s v="2026-01-06"/>
    <n v="184"/>
    <n v="3"/>
    <n v="10"/>
    <s v="No"/>
    <x v="1"/>
    <n v="48"/>
    <n v="0.77489177489177485"/>
    <x v="0"/>
    <s v="Monitor Sales"/>
  </r>
  <r>
    <n v="285"/>
    <s v="Product_67"/>
    <x v="2"/>
    <x v="3"/>
    <n v="40"/>
    <n v="85"/>
    <n v="36"/>
    <n v="3676.49"/>
    <n v="2759.24"/>
    <n v="43"/>
    <n v="5"/>
    <s v="2026-03-14"/>
    <n v="259"/>
    <n v="3"/>
    <n v="23"/>
    <s v="No"/>
    <x v="1"/>
    <n v="49"/>
    <n v="2.125"/>
    <x v="1"/>
    <s v="Maintain Stock"/>
  </r>
  <r>
    <n v="286"/>
    <s v="Product_74"/>
    <x v="1"/>
    <x v="2"/>
    <n v="247"/>
    <n v="157"/>
    <n v="138"/>
    <n v="1751.6"/>
    <n v="1154.57"/>
    <n v="118"/>
    <n v="3"/>
    <s v="2026-01-11"/>
    <n v="352"/>
    <n v="1"/>
    <n v="29"/>
    <s v="Yes"/>
    <x v="2"/>
    <n v="19"/>
    <n v="0.63562753036437247"/>
    <x v="0"/>
    <s v="Monitor Sales"/>
  </r>
  <r>
    <n v="287"/>
    <s v="Product_48"/>
    <x v="0"/>
    <x v="2"/>
    <n v="373"/>
    <n v="187"/>
    <n v="186"/>
    <n v="1797.23"/>
    <n v="1318.99"/>
    <n v="122"/>
    <n v="5"/>
    <s v="2026-02-10"/>
    <n v="252"/>
    <n v="3"/>
    <n v="9"/>
    <s v="Yes"/>
    <x v="2"/>
    <n v="1"/>
    <n v="0.50134048257372654"/>
    <x v="0"/>
    <s v="Monitor Sales"/>
  </r>
  <r>
    <n v="288"/>
    <s v="Product_8"/>
    <x v="4"/>
    <x v="1"/>
    <n v="44"/>
    <n v="94"/>
    <n v="113"/>
    <n v="1471.58"/>
    <n v="1062.99"/>
    <n v="39"/>
    <n v="6"/>
    <s v="2026-01-07"/>
    <n v="58"/>
    <n v="2"/>
    <n v="44"/>
    <s v="No"/>
    <x v="2"/>
    <n v="-19"/>
    <n v="2.1363636363636362"/>
    <x v="1"/>
    <s v="Maintain Stock"/>
  </r>
  <r>
    <n v="289"/>
    <s v="Product_20"/>
    <x v="4"/>
    <x v="0"/>
    <n v="111"/>
    <n v="395"/>
    <n v="363"/>
    <n v="1530.24"/>
    <n v="976.62"/>
    <n v="108"/>
    <n v="7"/>
    <s v="2026-02-10"/>
    <n v="75"/>
    <n v="4"/>
    <n v="8"/>
    <s v="Yes"/>
    <x v="2"/>
    <n v="32"/>
    <n v="3.5585585585585586"/>
    <x v="1"/>
    <s v="Maintain Stock"/>
  </r>
  <r>
    <n v="290"/>
    <s v="Product_29"/>
    <x v="0"/>
    <x v="1"/>
    <n v="141"/>
    <n v="305"/>
    <n v="262"/>
    <n v="1699.25"/>
    <n v="1119.0999999999999"/>
    <n v="63"/>
    <n v="3"/>
    <s v="2026-02-28"/>
    <n v="52"/>
    <n v="1"/>
    <n v="46"/>
    <s v="Yes"/>
    <x v="1"/>
    <n v="43"/>
    <n v="2.1631205673758864"/>
    <x v="1"/>
    <s v="Maintain Stock"/>
  </r>
  <r>
    <n v="291"/>
    <s v="Product_75"/>
    <x v="3"/>
    <x v="2"/>
    <n v="113"/>
    <n v="366"/>
    <n v="384"/>
    <n v="3231.6"/>
    <n v="2363.34"/>
    <n v="143"/>
    <n v="11"/>
    <s v="2026-01-13"/>
    <n v="37"/>
    <n v="1"/>
    <n v="17"/>
    <s v="Yes"/>
    <x v="0"/>
    <n v="-18"/>
    <n v="3.2389380530973453"/>
    <x v="1"/>
    <s v="Maintain Stock"/>
  </r>
  <r>
    <n v="292"/>
    <s v="Product_94"/>
    <x v="3"/>
    <x v="0"/>
    <n v="276"/>
    <n v="25"/>
    <n v="32"/>
    <n v="4577.46"/>
    <n v="2820.05"/>
    <n v="82"/>
    <n v="12"/>
    <s v="2026-02-03"/>
    <n v="180"/>
    <n v="5"/>
    <n v="32"/>
    <s v="No"/>
    <x v="0"/>
    <n v="-7"/>
    <n v="9.0579710144927536E-2"/>
    <x v="2"/>
    <s v="Apply Discount / Promotion"/>
  </r>
  <r>
    <n v="293"/>
    <s v="Product_30"/>
    <x v="1"/>
    <x v="3"/>
    <n v="320"/>
    <n v="36"/>
    <n v="80"/>
    <n v="2522.14"/>
    <n v="1435.76"/>
    <n v="31"/>
    <n v="15"/>
    <s v="2026-03-04"/>
    <n v="172"/>
    <n v="3"/>
    <n v="27"/>
    <s v="No"/>
    <x v="1"/>
    <n v="-44"/>
    <n v="0.1125"/>
    <x v="2"/>
    <s v="Apply Discount / Promotion"/>
  </r>
  <r>
    <n v="294"/>
    <s v="Product_57"/>
    <x v="1"/>
    <x v="3"/>
    <n v="79"/>
    <n v="32"/>
    <n v="13"/>
    <n v="4530.26"/>
    <n v="2519.04"/>
    <n v="73"/>
    <n v="15"/>
    <s v="2025-12-29"/>
    <n v="49"/>
    <n v="2"/>
    <n v="12"/>
    <s v="No"/>
    <x v="2"/>
    <n v="19"/>
    <n v="0.4050632911392405"/>
    <x v="2"/>
    <s v="Apply Discount / Promotion"/>
  </r>
  <r>
    <n v="295"/>
    <s v="Product_96"/>
    <x v="2"/>
    <x v="2"/>
    <n v="249"/>
    <n v="148"/>
    <n v="102"/>
    <n v="631.16"/>
    <n v="365.39"/>
    <n v="91"/>
    <n v="3"/>
    <s v="2026-03-24"/>
    <n v="252"/>
    <n v="3"/>
    <n v="41"/>
    <s v="Yes"/>
    <x v="2"/>
    <n v="46"/>
    <n v="0.59437751004016059"/>
    <x v="0"/>
    <s v="Monitor Sales"/>
  </r>
  <r>
    <n v="296"/>
    <s v="Product_91"/>
    <x v="0"/>
    <x v="2"/>
    <n v="150"/>
    <n v="370"/>
    <n v="336"/>
    <n v="4199.8999999999996"/>
    <n v="2472.7600000000002"/>
    <n v="43"/>
    <n v="14"/>
    <s v="2026-01-10"/>
    <n v="99"/>
    <n v="2"/>
    <n v="34"/>
    <s v="Yes"/>
    <x v="0"/>
    <n v="34"/>
    <n v="2.4666666666666668"/>
    <x v="1"/>
    <s v="Maintain Stock"/>
  </r>
  <r>
    <n v="297"/>
    <s v="Product_97"/>
    <x v="0"/>
    <x v="3"/>
    <n v="251"/>
    <n v="292"/>
    <n v="246"/>
    <n v="3337.92"/>
    <n v="2179.4299999999998"/>
    <n v="68"/>
    <n v="12"/>
    <s v="2026-02-28"/>
    <n v="35"/>
    <n v="1"/>
    <n v="25"/>
    <s v="Yes"/>
    <x v="0"/>
    <n v="46"/>
    <n v="1.1633466135458168"/>
    <x v="1"/>
    <s v="Maintain Stock"/>
  </r>
  <r>
    <n v="298"/>
    <s v="Product_40"/>
    <x v="3"/>
    <x v="3"/>
    <n v="373"/>
    <n v="168"/>
    <n v="178"/>
    <n v="725.69"/>
    <n v="421.92"/>
    <n v="45"/>
    <n v="6"/>
    <s v="2026-03-18"/>
    <n v="210"/>
    <n v="3"/>
    <n v="35"/>
    <s v="Yes"/>
    <x v="1"/>
    <n v="-10"/>
    <n v="0.45040214477211798"/>
    <x v="2"/>
    <s v="Apply Discount / Promotion"/>
  </r>
  <r>
    <n v="299"/>
    <s v="Product_54"/>
    <x v="3"/>
    <x v="1"/>
    <n v="281"/>
    <n v="246"/>
    <n v="252"/>
    <n v="3380.15"/>
    <n v="2689.37"/>
    <n v="114"/>
    <n v="12"/>
    <s v="2026-03-09"/>
    <n v="307"/>
    <n v="4"/>
    <n v="35"/>
    <s v="Yes"/>
    <x v="2"/>
    <n v="-6"/>
    <n v="0.8754448398576512"/>
    <x v="0"/>
    <s v="Monitor Sales"/>
  </r>
  <r>
    <n v="300"/>
    <s v="Product_73"/>
    <x v="4"/>
    <x v="3"/>
    <n v="269"/>
    <n v="246"/>
    <n v="258"/>
    <n v="3557.26"/>
    <n v="2267.4299999999998"/>
    <n v="139"/>
    <n v="2"/>
    <s v="2026-03-06"/>
    <n v="268"/>
    <n v="5"/>
    <n v="23"/>
    <s v="Yes"/>
    <x v="0"/>
    <n v="-12"/>
    <n v="0.91449814126394047"/>
    <x v="0"/>
    <s v="Monitor Sales"/>
  </r>
  <r>
    <n v="301"/>
    <s v="Product_48"/>
    <x v="2"/>
    <x v="2"/>
    <n v="364"/>
    <n v="207"/>
    <n v="176"/>
    <n v="2029.54"/>
    <n v="1521.4"/>
    <n v="92"/>
    <n v="1"/>
    <s v="2026-01-11"/>
    <n v="42"/>
    <n v="5"/>
    <n v="11"/>
    <s v="No"/>
    <x v="1"/>
    <n v="31"/>
    <n v="0.56868131868131866"/>
    <x v="0"/>
    <s v="Monitor Sales"/>
  </r>
  <r>
    <n v="302"/>
    <s v="Product_89"/>
    <x v="4"/>
    <x v="3"/>
    <n v="360"/>
    <n v="18"/>
    <n v="31"/>
    <n v="1020.41"/>
    <n v="700.76"/>
    <n v="102"/>
    <n v="10"/>
    <s v="2026-03-22"/>
    <n v="235"/>
    <n v="3"/>
    <n v="6"/>
    <s v="Yes"/>
    <x v="0"/>
    <n v="-13"/>
    <n v="0.05"/>
    <x v="2"/>
    <s v="Apply Discount / Promotion"/>
  </r>
  <r>
    <n v="303"/>
    <s v="Product_40"/>
    <x v="2"/>
    <x v="3"/>
    <n v="379"/>
    <n v="359"/>
    <n v="372"/>
    <n v="3335.94"/>
    <n v="2615.65"/>
    <n v="128"/>
    <n v="11"/>
    <s v="2026-02-02"/>
    <n v="306"/>
    <n v="2"/>
    <n v="0"/>
    <s v="No"/>
    <x v="0"/>
    <n v="-13"/>
    <n v="0.94722955145118737"/>
    <x v="0"/>
    <s v="Monitor Sales"/>
  </r>
  <r>
    <n v="304"/>
    <s v="Product_73"/>
    <x v="1"/>
    <x v="3"/>
    <n v="64"/>
    <n v="249"/>
    <n v="206"/>
    <n v="2329.52"/>
    <n v="1718.86"/>
    <n v="107"/>
    <n v="7"/>
    <s v="2026-01-13"/>
    <n v="135"/>
    <n v="4"/>
    <n v="14"/>
    <s v="No"/>
    <x v="1"/>
    <n v="43"/>
    <n v="3.890625"/>
    <x v="1"/>
    <s v="Maintain Stock"/>
  </r>
  <r>
    <n v="305"/>
    <s v="Product_54"/>
    <x v="2"/>
    <x v="2"/>
    <n v="246"/>
    <n v="236"/>
    <n v="237"/>
    <n v="1916.06"/>
    <n v="1431.23"/>
    <n v="92"/>
    <n v="12"/>
    <s v="2025-12-31"/>
    <n v="44"/>
    <n v="3"/>
    <n v="49"/>
    <s v="Yes"/>
    <x v="2"/>
    <n v="-1"/>
    <n v="0.95934959349593496"/>
    <x v="0"/>
    <s v="Monitor Sales"/>
  </r>
  <r>
    <n v="306"/>
    <s v="Product_87"/>
    <x v="1"/>
    <x v="3"/>
    <n v="142"/>
    <n v="172"/>
    <n v="182"/>
    <n v="634.29999999999995"/>
    <n v="329.21"/>
    <n v="49"/>
    <n v="6"/>
    <s v="2026-02-16"/>
    <n v="248"/>
    <n v="4"/>
    <n v="11"/>
    <s v="Yes"/>
    <x v="1"/>
    <n v="-10"/>
    <n v="1.2112676056338028"/>
    <x v="1"/>
    <s v="Maintain Stock"/>
  </r>
  <r>
    <n v="307"/>
    <s v="Product_98"/>
    <x v="3"/>
    <x v="1"/>
    <n v="205"/>
    <n v="16"/>
    <n v="37"/>
    <n v="4717.6899999999996"/>
    <n v="2462.63"/>
    <n v="98"/>
    <n v="1"/>
    <s v="2026-01-03"/>
    <n v="261"/>
    <n v="4"/>
    <n v="12"/>
    <s v="Yes"/>
    <x v="2"/>
    <n v="-21"/>
    <n v="7.8048780487804878E-2"/>
    <x v="2"/>
    <s v="Apply Discount / Promotion"/>
  </r>
  <r>
    <n v="308"/>
    <s v="Product_30"/>
    <x v="0"/>
    <x v="3"/>
    <n v="419"/>
    <n v="275"/>
    <n v="264"/>
    <n v="4579.1400000000003"/>
    <n v="2973.42"/>
    <n v="40"/>
    <n v="7"/>
    <s v="2026-01-28"/>
    <n v="209"/>
    <n v="1"/>
    <n v="25"/>
    <s v="No"/>
    <x v="1"/>
    <n v="11"/>
    <n v="0.65632458233890212"/>
    <x v="0"/>
    <s v="Monitor Sales"/>
  </r>
  <r>
    <n v="309"/>
    <s v="Product_49"/>
    <x v="0"/>
    <x v="1"/>
    <n v="455"/>
    <n v="162"/>
    <n v="208"/>
    <n v="2844.29"/>
    <n v="1675.61"/>
    <n v="119"/>
    <n v="4"/>
    <s v="2025-12-30"/>
    <n v="187"/>
    <n v="1"/>
    <n v="15"/>
    <s v="Yes"/>
    <x v="0"/>
    <n v="-46"/>
    <n v="0.35604395604395606"/>
    <x v="2"/>
    <s v="Apply Discount / Promotion"/>
  </r>
  <r>
    <n v="310"/>
    <s v="Product_89"/>
    <x v="4"/>
    <x v="1"/>
    <n v="84"/>
    <n v="303"/>
    <n v="352"/>
    <n v="2929.6"/>
    <n v="2186.7600000000002"/>
    <n v="54"/>
    <n v="5"/>
    <s v="2026-03-05"/>
    <n v="234"/>
    <n v="2"/>
    <n v="25"/>
    <s v="Yes"/>
    <x v="0"/>
    <n v="-49"/>
    <n v="3.6071428571428572"/>
    <x v="1"/>
    <s v="Maintain Stock"/>
  </r>
  <r>
    <n v="311"/>
    <s v="Product_29"/>
    <x v="2"/>
    <x v="2"/>
    <n v="77"/>
    <n v="273"/>
    <n v="306"/>
    <n v="4758.4399999999996"/>
    <n v="2916.76"/>
    <n v="70"/>
    <n v="3"/>
    <s v="2026-01-28"/>
    <n v="140"/>
    <n v="5"/>
    <n v="12"/>
    <s v="Yes"/>
    <x v="1"/>
    <n v="-33"/>
    <n v="3.5454545454545454"/>
    <x v="1"/>
    <s v="Maintain Stock"/>
  </r>
  <r>
    <n v="312"/>
    <s v="Product_64"/>
    <x v="4"/>
    <x v="3"/>
    <n v="470"/>
    <n v="137"/>
    <n v="150"/>
    <n v="2480.8200000000002"/>
    <n v="1401.44"/>
    <n v="90"/>
    <n v="11"/>
    <s v="2026-03-16"/>
    <n v="207"/>
    <n v="4"/>
    <n v="4"/>
    <s v="No"/>
    <x v="2"/>
    <n v="-13"/>
    <n v="0.29148936170212764"/>
    <x v="2"/>
    <s v="Apply Discount / Promotion"/>
  </r>
  <r>
    <n v="313"/>
    <s v="Product_86"/>
    <x v="3"/>
    <x v="1"/>
    <n v="450"/>
    <n v="3"/>
    <n v="49"/>
    <n v="1677.88"/>
    <n v="1076.8900000000001"/>
    <n v="119"/>
    <n v="1"/>
    <s v="2026-03-07"/>
    <n v="280"/>
    <n v="1"/>
    <n v="6"/>
    <s v="No"/>
    <x v="1"/>
    <n v="-46"/>
    <n v="6.6666666666666671E-3"/>
    <x v="2"/>
    <s v="Apply Discount / Promotion"/>
  </r>
  <r>
    <n v="314"/>
    <s v="Product_87"/>
    <x v="2"/>
    <x v="3"/>
    <n v="489"/>
    <n v="319"/>
    <n v="271"/>
    <n v="1944.76"/>
    <n v="1241.42"/>
    <n v="92"/>
    <n v="11"/>
    <s v="2026-02-01"/>
    <n v="70"/>
    <n v="3"/>
    <n v="38"/>
    <s v="No"/>
    <x v="1"/>
    <n v="48"/>
    <n v="0.65235173824130877"/>
    <x v="0"/>
    <s v="Monitor Sales"/>
  </r>
  <r>
    <n v="315"/>
    <s v="Product_10"/>
    <x v="1"/>
    <x v="0"/>
    <n v="492"/>
    <n v="2"/>
    <n v="52"/>
    <n v="1067.04"/>
    <n v="578.79999999999995"/>
    <n v="92"/>
    <n v="5"/>
    <s v="2026-01-11"/>
    <n v="354"/>
    <n v="2"/>
    <n v="18"/>
    <s v="Yes"/>
    <x v="1"/>
    <n v="-50"/>
    <n v="4.0650406504065045E-3"/>
    <x v="2"/>
    <s v="Apply Discount / Promotion"/>
  </r>
  <r>
    <n v="316"/>
    <s v="Product_30"/>
    <x v="1"/>
    <x v="0"/>
    <n v="458"/>
    <n v="360"/>
    <n v="388"/>
    <n v="4180.7299999999996"/>
    <n v="2633.05"/>
    <n v="101"/>
    <n v="10"/>
    <s v="2026-03-19"/>
    <n v="351"/>
    <n v="3"/>
    <n v="20"/>
    <s v="Yes"/>
    <x v="2"/>
    <n v="-28"/>
    <n v="0.78602620087336239"/>
    <x v="0"/>
    <s v="Monitor Sales"/>
  </r>
  <r>
    <n v="317"/>
    <s v="Product_17"/>
    <x v="0"/>
    <x v="0"/>
    <n v="416"/>
    <n v="223"/>
    <n v="248"/>
    <n v="1119.1199999999999"/>
    <n v="731.16"/>
    <n v="59"/>
    <n v="9"/>
    <s v="2026-03-24"/>
    <n v="262"/>
    <n v="5"/>
    <n v="37"/>
    <s v="Yes"/>
    <x v="2"/>
    <n v="-25"/>
    <n v="0.53605769230769229"/>
    <x v="0"/>
    <s v="Monitor Sales"/>
  </r>
  <r>
    <n v="318"/>
    <s v="Product_90"/>
    <x v="0"/>
    <x v="1"/>
    <n v="282"/>
    <n v="114"/>
    <n v="72"/>
    <n v="2395.41"/>
    <n v="1208.1099999999999"/>
    <n v="98"/>
    <n v="5"/>
    <s v="2026-01-01"/>
    <n v="98"/>
    <n v="4"/>
    <n v="20"/>
    <s v="Yes"/>
    <x v="1"/>
    <n v="42"/>
    <n v="0.40425531914893614"/>
    <x v="2"/>
    <s v="Apply Discount / Promotion"/>
  </r>
  <r>
    <n v="319"/>
    <s v="Product_81"/>
    <x v="2"/>
    <x v="0"/>
    <n v="152"/>
    <n v="310"/>
    <n v="314"/>
    <n v="4439.0600000000004"/>
    <n v="2455.52"/>
    <n v="47"/>
    <n v="8"/>
    <s v="2026-03-20"/>
    <n v="124"/>
    <n v="4"/>
    <n v="35"/>
    <s v="No"/>
    <x v="2"/>
    <n v="-4"/>
    <n v="2.0394736842105261"/>
    <x v="1"/>
    <s v="Maintain Stock"/>
  </r>
  <r>
    <n v="320"/>
    <s v="Product_49"/>
    <x v="4"/>
    <x v="3"/>
    <n v="335"/>
    <n v="65"/>
    <n v="68"/>
    <n v="254.16"/>
    <n v="127.58"/>
    <n v="127"/>
    <n v="7"/>
    <s v="2026-02-02"/>
    <n v="70"/>
    <n v="3"/>
    <n v="25"/>
    <s v="Yes"/>
    <x v="1"/>
    <n v="-3"/>
    <n v="0.19402985074626866"/>
    <x v="2"/>
    <s v="Apply Discount / Promotion"/>
  </r>
  <r>
    <n v="321"/>
    <s v="Product_91"/>
    <x v="3"/>
    <x v="3"/>
    <n v="128"/>
    <n v="72"/>
    <n v="39"/>
    <n v="2343.69"/>
    <n v="1346.07"/>
    <n v="62"/>
    <n v="7"/>
    <s v="2026-03-27"/>
    <n v="338"/>
    <n v="1"/>
    <n v="40"/>
    <s v="Yes"/>
    <x v="2"/>
    <n v="33"/>
    <n v="0.5625"/>
    <x v="0"/>
    <s v="Monitor Sales"/>
  </r>
  <r>
    <n v="322"/>
    <s v="Product_1"/>
    <x v="2"/>
    <x v="2"/>
    <n v="254"/>
    <n v="76"/>
    <n v="98"/>
    <n v="1200.78"/>
    <n v="865.31"/>
    <n v="86"/>
    <n v="7"/>
    <s v="2026-03-22"/>
    <n v="209"/>
    <n v="5"/>
    <n v="15"/>
    <s v="Yes"/>
    <x v="0"/>
    <n v="-22"/>
    <n v="0.29921259842519687"/>
    <x v="2"/>
    <s v="Apply Discount / Promotion"/>
  </r>
  <r>
    <n v="323"/>
    <s v="Product_53"/>
    <x v="1"/>
    <x v="1"/>
    <n v="250"/>
    <n v="307"/>
    <n v="290"/>
    <n v="3705.38"/>
    <n v="2953.56"/>
    <n v="66"/>
    <n v="10"/>
    <s v="2026-01-06"/>
    <n v="144"/>
    <n v="4"/>
    <n v="42"/>
    <s v="Yes"/>
    <x v="2"/>
    <n v="17"/>
    <n v="1.228"/>
    <x v="1"/>
    <s v="Maintain Stock"/>
  </r>
  <r>
    <n v="324"/>
    <s v="Product_91"/>
    <x v="2"/>
    <x v="0"/>
    <n v="438"/>
    <n v="176"/>
    <n v="176"/>
    <n v="1351.24"/>
    <n v="848.21"/>
    <n v="71"/>
    <n v="2"/>
    <s v="2026-01-04"/>
    <n v="214"/>
    <n v="1"/>
    <n v="46"/>
    <s v="Yes"/>
    <x v="1"/>
    <n v="0"/>
    <n v="0.40182648401826482"/>
    <x v="2"/>
    <s v="Apply Discount / Promotion"/>
  </r>
  <r>
    <n v="325"/>
    <s v="Product_87"/>
    <x v="0"/>
    <x v="3"/>
    <n v="260"/>
    <n v="326"/>
    <n v="319"/>
    <n v="2210.7399999999998"/>
    <n v="1208.95"/>
    <n v="144"/>
    <n v="3"/>
    <s v="2026-01-08"/>
    <n v="269"/>
    <n v="2"/>
    <n v="30"/>
    <s v="No"/>
    <x v="0"/>
    <n v="7"/>
    <n v="1.2538461538461538"/>
    <x v="1"/>
    <s v="Maintain Stock"/>
  </r>
  <r>
    <n v="326"/>
    <s v="Product_4"/>
    <x v="0"/>
    <x v="3"/>
    <n v="64"/>
    <n v="222"/>
    <n v="248"/>
    <n v="282.87"/>
    <n v="149.63"/>
    <n v="123"/>
    <n v="4"/>
    <s v="2025-12-29"/>
    <n v="202"/>
    <n v="2"/>
    <n v="38"/>
    <s v="Yes"/>
    <x v="2"/>
    <n v="-26"/>
    <n v="3.46875"/>
    <x v="1"/>
    <s v="Maintain Stock"/>
  </r>
  <r>
    <n v="327"/>
    <s v="Product_46"/>
    <x v="2"/>
    <x v="2"/>
    <n v="95"/>
    <n v="119"/>
    <n v="74"/>
    <n v="2593.35"/>
    <n v="1596.35"/>
    <n v="37"/>
    <n v="5"/>
    <s v="2026-02-16"/>
    <n v="226"/>
    <n v="3"/>
    <n v="24"/>
    <s v="Yes"/>
    <x v="1"/>
    <n v="45"/>
    <n v="1.2526315789473683"/>
    <x v="1"/>
    <s v="Maintain Stock"/>
  </r>
  <r>
    <n v="328"/>
    <s v="Product_19"/>
    <x v="2"/>
    <x v="3"/>
    <n v="317"/>
    <n v="63"/>
    <n v="57"/>
    <n v="3814.23"/>
    <n v="2343.15"/>
    <n v="109"/>
    <n v="6"/>
    <s v="2026-03-28"/>
    <n v="119"/>
    <n v="5"/>
    <n v="35"/>
    <s v="No"/>
    <x v="0"/>
    <n v="6"/>
    <n v="0.19873817034700317"/>
    <x v="2"/>
    <s v="Apply Discount / Promotion"/>
  </r>
  <r>
    <n v="329"/>
    <s v="Product_98"/>
    <x v="4"/>
    <x v="1"/>
    <n v="31"/>
    <n v="334"/>
    <n v="311"/>
    <n v="391.15"/>
    <n v="298.08999999999997"/>
    <n v="148"/>
    <n v="4"/>
    <s v="2026-03-02"/>
    <n v="91"/>
    <n v="2"/>
    <n v="23"/>
    <s v="Yes"/>
    <x v="0"/>
    <n v="23"/>
    <n v="10.774193548387096"/>
    <x v="1"/>
    <s v="Maintain Stock"/>
  </r>
  <r>
    <n v="330"/>
    <s v="Product_29"/>
    <x v="0"/>
    <x v="3"/>
    <n v="119"/>
    <n v="184"/>
    <n v="171"/>
    <n v="4909.8900000000003"/>
    <n v="3522.64"/>
    <n v="60"/>
    <n v="9"/>
    <s v="2026-02-02"/>
    <n v="197"/>
    <n v="3"/>
    <n v="37"/>
    <s v="Yes"/>
    <x v="2"/>
    <n v="13"/>
    <n v="1.546218487394958"/>
    <x v="1"/>
    <s v="Maintain Stock"/>
  </r>
  <r>
    <n v="331"/>
    <s v="Product_70"/>
    <x v="3"/>
    <x v="2"/>
    <n v="210"/>
    <n v="185"/>
    <n v="196"/>
    <n v="1465.07"/>
    <n v="1082.8900000000001"/>
    <n v="54"/>
    <n v="8"/>
    <s v="2026-03-25"/>
    <n v="220"/>
    <n v="2"/>
    <n v="45"/>
    <s v="No"/>
    <x v="0"/>
    <n v="-11"/>
    <n v="0.88095238095238093"/>
    <x v="0"/>
    <s v="Monitor Sales"/>
  </r>
  <r>
    <n v="332"/>
    <s v="Product_32"/>
    <x v="3"/>
    <x v="1"/>
    <n v="175"/>
    <n v="155"/>
    <n v="166"/>
    <n v="4396.58"/>
    <n v="3180.63"/>
    <n v="133"/>
    <n v="3"/>
    <s v="2026-01-28"/>
    <n v="177"/>
    <n v="2"/>
    <n v="34"/>
    <s v="Yes"/>
    <x v="0"/>
    <n v="-11"/>
    <n v="0.88571428571428568"/>
    <x v="0"/>
    <s v="Monitor Sales"/>
  </r>
  <r>
    <n v="333"/>
    <s v="Product_9"/>
    <x v="0"/>
    <x v="2"/>
    <n v="235"/>
    <n v="187"/>
    <n v="165"/>
    <n v="3726.12"/>
    <n v="2469.89"/>
    <n v="45"/>
    <n v="14"/>
    <s v="2026-01-31"/>
    <n v="211"/>
    <n v="2"/>
    <n v="37"/>
    <s v="Yes"/>
    <x v="0"/>
    <n v="22"/>
    <n v="0.79574468085106387"/>
    <x v="0"/>
    <s v="Monitor Sales"/>
  </r>
  <r>
    <n v="334"/>
    <s v="Product_15"/>
    <x v="3"/>
    <x v="1"/>
    <n v="316"/>
    <n v="182"/>
    <n v="177"/>
    <n v="3826.55"/>
    <n v="2692.59"/>
    <n v="147"/>
    <n v="14"/>
    <s v="2026-01-07"/>
    <n v="361"/>
    <n v="3"/>
    <n v="9"/>
    <s v="No"/>
    <x v="1"/>
    <n v="5"/>
    <n v="0.57594936708860756"/>
    <x v="0"/>
    <s v="Monitor Sales"/>
  </r>
  <r>
    <n v="335"/>
    <s v="Product_8"/>
    <x v="3"/>
    <x v="1"/>
    <n v="498"/>
    <n v="144"/>
    <n v="161"/>
    <n v="3951.9"/>
    <n v="2652.64"/>
    <n v="40"/>
    <n v="15"/>
    <s v="2026-01-31"/>
    <n v="242"/>
    <n v="2"/>
    <n v="5"/>
    <s v="No"/>
    <x v="2"/>
    <n v="-17"/>
    <n v="0.28915662650602408"/>
    <x v="2"/>
    <s v="Apply Discount / Promotion"/>
  </r>
  <r>
    <n v="336"/>
    <s v="Product_67"/>
    <x v="3"/>
    <x v="2"/>
    <n v="429"/>
    <n v="175"/>
    <n v="141"/>
    <n v="3374.97"/>
    <n v="2480.3200000000002"/>
    <n v="92"/>
    <n v="15"/>
    <s v="2026-01-09"/>
    <n v="78"/>
    <n v="1"/>
    <n v="17"/>
    <s v="No"/>
    <x v="0"/>
    <n v="34"/>
    <n v="0.40792540792540793"/>
    <x v="2"/>
    <s v="Apply Discount / Promotion"/>
  </r>
  <r>
    <n v="337"/>
    <s v="Product_13"/>
    <x v="3"/>
    <x v="0"/>
    <n v="442"/>
    <n v="90"/>
    <n v="108"/>
    <n v="551.82000000000005"/>
    <n v="433.75"/>
    <n v="111"/>
    <n v="14"/>
    <s v="2026-01-31"/>
    <n v="93"/>
    <n v="2"/>
    <n v="3"/>
    <s v="Yes"/>
    <x v="0"/>
    <n v="-18"/>
    <n v="0.20361990950226244"/>
    <x v="2"/>
    <s v="Apply Discount / Promotion"/>
  </r>
  <r>
    <n v="338"/>
    <s v="Product_18"/>
    <x v="1"/>
    <x v="3"/>
    <n v="334"/>
    <n v="408"/>
    <n v="380"/>
    <n v="3495.83"/>
    <n v="2203.8200000000002"/>
    <n v="54"/>
    <n v="10"/>
    <s v="2026-02-11"/>
    <n v="281"/>
    <n v="3"/>
    <n v="43"/>
    <s v="Yes"/>
    <x v="2"/>
    <n v="28"/>
    <n v="1.221556886227545"/>
    <x v="1"/>
    <s v="Maintain Stock"/>
  </r>
  <r>
    <n v="339"/>
    <s v="Product_85"/>
    <x v="0"/>
    <x v="2"/>
    <n v="460"/>
    <n v="43"/>
    <n v="15"/>
    <n v="4859.66"/>
    <n v="2556.21"/>
    <n v="118"/>
    <n v="15"/>
    <s v="2026-02-11"/>
    <n v="274"/>
    <n v="5"/>
    <n v="38"/>
    <s v="Yes"/>
    <x v="2"/>
    <n v="28"/>
    <n v="9.3478260869565219E-2"/>
    <x v="2"/>
    <s v="Apply Discount / Promotion"/>
  </r>
  <r>
    <n v="340"/>
    <s v="Product_10"/>
    <x v="3"/>
    <x v="3"/>
    <n v="285"/>
    <n v="98"/>
    <n v="106"/>
    <n v="3652.05"/>
    <n v="1854.31"/>
    <n v="49"/>
    <n v="4"/>
    <s v="2026-03-19"/>
    <n v="41"/>
    <n v="1"/>
    <n v="41"/>
    <s v="Yes"/>
    <x v="1"/>
    <n v="-8"/>
    <n v="0.34385964912280703"/>
    <x v="2"/>
    <s v="Apply Discount / Promotion"/>
  </r>
  <r>
    <n v="341"/>
    <s v="Product_3"/>
    <x v="2"/>
    <x v="1"/>
    <n v="159"/>
    <n v="111"/>
    <n v="79"/>
    <n v="4262.4799999999996"/>
    <n v="3008.79"/>
    <n v="115"/>
    <n v="12"/>
    <s v="2026-03-22"/>
    <n v="200"/>
    <n v="3"/>
    <n v="2"/>
    <s v="No"/>
    <x v="2"/>
    <n v="32"/>
    <n v="0.69811320754716977"/>
    <x v="0"/>
    <s v="Monitor Sales"/>
  </r>
  <r>
    <n v="342"/>
    <s v="Product_42"/>
    <x v="0"/>
    <x v="2"/>
    <n v="187"/>
    <n v="0"/>
    <n v="45"/>
    <n v="2899.61"/>
    <n v="2064.85"/>
    <n v="68"/>
    <n v="7"/>
    <s v="2026-03-16"/>
    <n v="52"/>
    <n v="4"/>
    <n v="20"/>
    <s v="No"/>
    <x v="1"/>
    <n v="-45"/>
    <n v="0"/>
    <x v="2"/>
    <s v="Apply Discount / Promotion"/>
  </r>
  <r>
    <n v="343"/>
    <s v="Product_97"/>
    <x v="2"/>
    <x v="1"/>
    <n v="293"/>
    <n v="163"/>
    <n v="129"/>
    <n v="4274.8999999999996"/>
    <n v="2815.15"/>
    <n v="91"/>
    <n v="13"/>
    <s v="2026-03-11"/>
    <n v="166"/>
    <n v="4"/>
    <n v="48"/>
    <s v="No"/>
    <x v="2"/>
    <n v="34"/>
    <n v="0.55631399317406138"/>
    <x v="0"/>
    <s v="Monitor Sales"/>
  </r>
  <r>
    <n v="344"/>
    <s v="Product_80"/>
    <x v="0"/>
    <x v="0"/>
    <n v="248"/>
    <n v="343"/>
    <n v="389"/>
    <n v="3579.52"/>
    <n v="2018.02"/>
    <n v="119"/>
    <n v="5"/>
    <s v="2026-03-25"/>
    <n v="117"/>
    <n v="4"/>
    <n v="44"/>
    <s v="Yes"/>
    <x v="0"/>
    <n v="-46"/>
    <n v="1.3830645161290323"/>
    <x v="1"/>
    <s v="Maintain Stock"/>
  </r>
  <r>
    <n v="345"/>
    <s v="Product_66"/>
    <x v="4"/>
    <x v="1"/>
    <n v="407"/>
    <n v="155"/>
    <n v="175"/>
    <n v="1462.06"/>
    <n v="761.9"/>
    <n v="137"/>
    <n v="15"/>
    <s v="2025-12-29"/>
    <n v="123"/>
    <n v="4"/>
    <n v="17"/>
    <s v="Yes"/>
    <x v="2"/>
    <n v="-20"/>
    <n v="0.38083538083538082"/>
    <x v="2"/>
    <s v="Apply Discount / Promotion"/>
  </r>
  <r>
    <n v="346"/>
    <s v="Product_20"/>
    <x v="2"/>
    <x v="1"/>
    <n v="242"/>
    <n v="105"/>
    <n v="70"/>
    <n v="4422.5600000000004"/>
    <n v="3292.52"/>
    <n v="36"/>
    <n v="10"/>
    <s v="2026-03-20"/>
    <n v="178"/>
    <n v="5"/>
    <n v="45"/>
    <s v="Yes"/>
    <x v="0"/>
    <n v="35"/>
    <n v="0.43388429752066116"/>
    <x v="2"/>
    <s v="Apply Discount / Promotion"/>
  </r>
  <r>
    <n v="347"/>
    <s v="Product_58"/>
    <x v="0"/>
    <x v="0"/>
    <n v="314"/>
    <n v="297"/>
    <n v="276"/>
    <n v="3670.28"/>
    <n v="1904.47"/>
    <n v="43"/>
    <n v="7"/>
    <s v="2026-03-19"/>
    <n v="189"/>
    <n v="5"/>
    <n v="26"/>
    <s v="Yes"/>
    <x v="2"/>
    <n v="21"/>
    <n v="0.94585987261146498"/>
    <x v="0"/>
    <s v="Monitor Sales"/>
  </r>
  <r>
    <n v="348"/>
    <s v="Product_87"/>
    <x v="3"/>
    <x v="3"/>
    <n v="444"/>
    <n v="318"/>
    <n v="297"/>
    <n v="3708.18"/>
    <n v="2227.66"/>
    <n v="57"/>
    <n v="13"/>
    <s v="2026-03-28"/>
    <n v="133"/>
    <n v="2"/>
    <n v="41"/>
    <s v="No"/>
    <x v="2"/>
    <n v="21"/>
    <n v="0.71621621621621623"/>
    <x v="0"/>
    <s v="Monitor Sales"/>
  </r>
  <r>
    <n v="349"/>
    <s v="Product_52"/>
    <x v="3"/>
    <x v="3"/>
    <n v="407"/>
    <n v="194"/>
    <n v="211"/>
    <n v="1274.19"/>
    <n v="804.15"/>
    <n v="132"/>
    <n v="6"/>
    <s v="2026-03-16"/>
    <n v="84"/>
    <n v="1"/>
    <n v="11"/>
    <s v="No"/>
    <x v="1"/>
    <n v="-17"/>
    <n v="0.47665847665847666"/>
    <x v="2"/>
    <s v="Apply Discount / Promotion"/>
  </r>
  <r>
    <n v="350"/>
    <s v="Product_94"/>
    <x v="0"/>
    <x v="2"/>
    <n v="251"/>
    <n v="98"/>
    <n v="70"/>
    <n v="3137.75"/>
    <n v="1649.47"/>
    <n v="37"/>
    <n v="15"/>
    <s v="2026-01-31"/>
    <n v="287"/>
    <n v="5"/>
    <n v="18"/>
    <s v="Yes"/>
    <x v="1"/>
    <n v="28"/>
    <n v="0.39043824701195218"/>
    <x v="2"/>
    <s v="Apply Discount / Promotion"/>
  </r>
  <r>
    <n v="351"/>
    <s v="Product_43"/>
    <x v="2"/>
    <x v="1"/>
    <n v="156"/>
    <n v="158"/>
    <n v="185"/>
    <n v="3919.08"/>
    <n v="2934.76"/>
    <n v="137"/>
    <n v="1"/>
    <s v="2026-01-20"/>
    <n v="107"/>
    <n v="1"/>
    <n v="3"/>
    <s v="Yes"/>
    <x v="2"/>
    <n v="-27"/>
    <n v="1.0128205128205128"/>
    <x v="1"/>
    <s v="Maintain Stock"/>
  </r>
  <r>
    <n v="352"/>
    <s v="Product_27"/>
    <x v="3"/>
    <x v="3"/>
    <n v="109"/>
    <n v="316"/>
    <n v="278"/>
    <n v="4929.0200000000004"/>
    <n v="3329.27"/>
    <n v="124"/>
    <n v="7"/>
    <s v="2026-03-11"/>
    <n v="88"/>
    <n v="3"/>
    <n v="31"/>
    <s v="Yes"/>
    <x v="0"/>
    <n v="38"/>
    <n v="2.8990825688073394"/>
    <x v="1"/>
    <s v="Maintain Stock"/>
  </r>
  <r>
    <n v="353"/>
    <s v="Product_64"/>
    <x v="4"/>
    <x v="0"/>
    <n v="337"/>
    <n v="0"/>
    <n v="39"/>
    <n v="4193.6099999999997"/>
    <n v="2284.81"/>
    <n v="115"/>
    <n v="14"/>
    <s v="2026-01-13"/>
    <n v="325"/>
    <n v="4"/>
    <n v="12"/>
    <s v="No"/>
    <x v="0"/>
    <n v="-39"/>
    <n v="0"/>
    <x v="2"/>
    <s v="Apply Discount / Promotion"/>
  </r>
  <r>
    <n v="354"/>
    <s v="Product_51"/>
    <x v="4"/>
    <x v="0"/>
    <n v="329"/>
    <n v="160"/>
    <n v="204"/>
    <n v="3389.65"/>
    <n v="2600.65"/>
    <n v="56"/>
    <n v="2"/>
    <s v="2026-01-29"/>
    <n v="56"/>
    <n v="5"/>
    <n v="46"/>
    <s v="No"/>
    <x v="2"/>
    <n v="-44"/>
    <n v="0.48632218844984804"/>
    <x v="2"/>
    <s v="Apply Discount / Promotion"/>
  </r>
  <r>
    <n v="355"/>
    <s v="Product_11"/>
    <x v="3"/>
    <x v="1"/>
    <n v="228"/>
    <n v="162"/>
    <n v="146"/>
    <n v="368.01"/>
    <n v="186.55"/>
    <n v="37"/>
    <n v="5"/>
    <s v="2025-12-29"/>
    <n v="340"/>
    <n v="2"/>
    <n v="27"/>
    <s v="Yes"/>
    <x v="1"/>
    <n v="16"/>
    <n v="0.71052631578947367"/>
    <x v="0"/>
    <s v="Monitor Sales"/>
  </r>
  <r>
    <n v="356"/>
    <s v="Product_10"/>
    <x v="1"/>
    <x v="0"/>
    <n v="442"/>
    <n v="358"/>
    <n v="394"/>
    <n v="2331.89"/>
    <n v="1759.57"/>
    <n v="37"/>
    <n v="14"/>
    <s v="2025-12-30"/>
    <n v="235"/>
    <n v="4"/>
    <n v="35"/>
    <s v="No"/>
    <x v="0"/>
    <n v="-36"/>
    <n v="0.80995475113122173"/>
    <x v="0"/>
    <s v="Monitor Sales"/>
  </r>
  <r>
    <n v="357"/>
    <s v="Product_47"/>
    <x v="3"/>
    <x v="0"/>
    <n v="415"/>
    <n v="362"/>
    <n v="339"/>
    <n v="1936.22"/>
    <n v="1131.97"/>
    <n v="55"/>
    <n v="13"/>
    <s v="2026-01-05"/>
    <n v="43"/>
    <n v="1"/>
    <n v="41"/>
    <s v="No"/>
    <x v="0"/>
    <n v="23"/>
    <n v="0.87228915662650608"/>
    <x v="0"/>
    <s v="Monitor Sales"/>
  </r>
  <r>
    <n v="358"/>
    <s v="Product_7"/>
    <x v="0"/>
    <x v="0"/>
    <n v="161"/>
    <n v="149"/>
    <n v="172"/>
    <n v="2034.1"/>
    <n v="1468.95"/>
    <n v="133"/>
    <n v="1"/>
    <s v="2026-01-30"/>
    <n v="226"/>
    <n v="5"/>
    <n v="5"/>
    <s v="Yes"/>
    <x v="2"/>
    <n v="-23"/>
    <n v="0.92546583850931674"/>
    <x v="0"/>
    <s v="Monitor Sales"/>
  </r>
  <r>
    <n v="359"/>
    <s v="Product_11"/>
    <x v="2"/>
    <x v="0"/>
    <n v="500"/>
    <n v="146"/>
    <n v="195"/>
    <n v="1695.32"/>
    <n v="1292.1400000000001"/>
    <n v="79"/>
    <n v="11"/>
    <s v="2026-03-17"/>
    <n v="337"/>
    <n v="5"/>
    <n v="27"/>
    <s v="Yes"/>
    <x v="1"/>
    <n v="-49"/>
    <n v="0.29199999999999998"/>
    <x v="2"/>
    <s v="Apply Discount / Promotion"/>
  </r>
  <r>
    <n v="360"/>
    <s v="Product_37"/>
    <x v="1"/>
    <x v="3"/>
    <n v="385"/>
    <n v="220"/>
    <n v="247"/>
    <n v="2870.11"/>
    <n v="1583.93"/>
    <n v="52"/>
    <n v="8"/>
    <s v="2026-01-31"/>
    <n v="288"/>
    <n v="5"/>
    <n v="39"/>
    <s v="Yes"/>
    <x v="2"/>
    <n v="-27"/>
    <n v="0.5714285714285714"/>
    <x v="0"/>
    <s v="Monitor Sales"/>
  </r>
  <r>
    <n v="361"/>
    <s v="Product_44"/>
    <x v="1"/>
    <x v="1"/>
    <n v="229"/>
    <n v="53"/>
    <n v="78"/>
    <n v="379.25"/>
    <n v="261.06"/>
    <n v="73"/>
    <n v="1"/>
    <s v="2026-03-13"/>
    <n v="344"/>
    <n v="5"/>
    <n v="50"/>
    <s v="Yes"/>
    <x v="1"/>
    <n v="-25"/>
    <n v="0.23144104803493451"/>
    <x v="2"/>
    <s v="Apply Discount / Promotion"/>
  </r>
  <r>
    <n v="362"/>
    <s v="Product_71"/>
    <x v="3"/>
    <x v="2"/>
    <n v="298"/>
    <n v="24"/>
    <n v="16"/>
    <n v="4569.53"/>
    <n v="3200.47"/>
    <n v="136"/>
    <n v="14"/>
    <s v="2026-03-21"/>
    <n v="220"/>
    <n v="2"/>
    <n v="15"/>
    <s v="No"/>
    <x v="1"/>
    <n v="8"/>
    <n v="8.0536912751677847E-2"/>
    <x v="2"/>
    <s v="Apply Discount / Promotion"/>
  </r>
  <r>
    <n v="363"/>
    <s v="Product_3"/>
    <x v="3"/>
    <x v="1"/>
    <n v="232"/>
    <n v="251"/>
    <n v="263"/>
    <n v="4160.78"/>
    <n v="2161.2800000000002"/>
    <n v="55"/>
    <n v="9"/>
    <s v="2026-02-14"/>
    <n v="196"/>
    <n v="5"/>
    <n v="33"/>
    <s v="Yes"/>
    <x v="1"/>
    <n v="-12"/>
    <n v="1.0818965517241379"/>
    <x v="1"/>
    <s v="Maintain Stock"/>
  </r>
  <r>
    <n v="364"/>
    <s v="Product_95"/>
    <x v="3"/>
    <x v="3"/>
    <n v="58"/>
    <n v="371"/>
    <n v="331"/>
    <n v="847.53"/>
    <n v="529.42999999999995"/>
    <n v="121"/>
    <n v="9"/>
    <s v="2026-02-28"/>
    <n v="219"/>
    <n v="4"/>
    <n v="41"/>
    <s v="Yes"/>
    <x v="0"/>
    <n v="40"/>
    <n v="6.3965517241379306"/>
    <x v="1"/>
    <s v="Maintain Stock"/>
  </r>
  <r>
    <n v="365"/>
    <s v="Product_72"/>
    <x v="2"/>
    <x v="2"/>
    <n v="326"/>
    <n v="135"/>
    <n v="85"/>
    <n v="4366.2700000000004"/>
    <n v="2312.83"/>
    <n v="64"/>
    <n v="7"/>
    <s v="2026-03-03"/>
    <n v="252"/>
    <n v="1"/>
    <n v="39"/>
    <s v="Yes"/>
    <x v="0"/>
    <n v="50"/>
    <n v="0.41411042944785276"/>
    <x v="2"/>
    <s v="Apply Discount / Promotion"/>
  </r>
  <r>
    <n v="366"/>
    <s v="Product_53"/>
    <x v="3"/>
    <x v="3"/>
    <n v="119"/>
    <n v="81"/>
    <n v="64"/>
    <n v="1263.3499999999999"/>
    <n v="693.13"/>
    <n v="47"/>
    <n v="3"/>
    <s v="2026-02-14"/>
    <n v="199"/>
    <n v="4"/>
    <n v="14"/>
    <s v="Yes"/>
    <x v="1"/>
    <n v="17"/>
    <n v="0.68067226890756305"/>
    <x v="0"/>
    <s v="Monitor Sales"/>
  </r>
  <r>
    <n v="367"/>
    <s v="Product_97"/>
    <x v="2"/>
    <x v="2"/>
    <n v="246"/>
    <n v="119"/>
    <n v="81"/>
    <n v="2062.06"/>
    <n v="1538.19"/>
    <n v="150"/>
    <n v="14"/>
    <s v="2026-01-21"/>
    <n v="258"/>
    <n v="5"/>
    <n v="10"/>
    <s v="Yes"/>
    <x v="0"/>
    <n v="38"/>
    <n v="0.48373983739837401"/>
    <x v="2"/>
    <s v="Apply Discount / Promotion"/>
  </r>
  <r>
    <n v="368"/>
    <s v="Product_98"/>
    <x v="2"/>
    <x v="2"/>
    <n v="40"/>
    <n v="29"/>
    <n v="17"/>
    <n v="401.82"/>
    <n v="234.51"/>
    <n v="92"/>
    <n v="2"/>
    <s v="2026-01-10"/>
    <n v="238"/>
    <n v="5"/>
    <n v="7"/>
    <s v="No"/>
    <x v="2"/>
    <n v="12"/>
    <n v="0.72499999999999998"/>
    <x v="0"/>
    <s v="Monitor Sales"/>
  </r>
  <r>
    <n v="369"/>
    <s v="Product_50"/>
    <x v="0"/>
    <x v="0"/>
    <n v="65"/>
    <n v="369"/>
    <n v="351"/>
    <n v="4346.6899999999996"/>
    <n v="2235.46"/>
    <n v="41"/>
    <n v="5"/>
    <s v="2026-03-01"/>
    <n v="314"/>
    <n v="1"/>
    <n v="36"/>
    <s v="No"/>
    <x v="2"/>
    <n v="18"/>
    <n v="5.6769230769230772"/>
    <x v="1"/>
    <s v="Maintain Stock"/>
  </r>
  <r>
    <n v="370"/>
    <s v="Product_92"/>
    <x v="0"/>
    <x v="0"/>
    <n v="299"/>
    <n v="73"/>
    <n v="69"/>
    <n v="2014.59"/>
    <n v="1328.69"/>
    <n v="103"/>
    <n v="4"/>
    <s v="2026-01-17"/>
    <n v="89"/>
    <n v="5"/>
    <n v="42"/>
    <s v="Yes"/>
    <x v="1"/>
    <n v="4"/>
    <n v="0.24414715719063546"/>
    <x v="2"/>
    <s v="Apply Discount / Promotion"/>
  </r>
  <r>
    <n v="371"/>
    <s v="Product_85"/>
    <x v="2"/>
    <x v="2"/>
    <n v="358"/>
    <n v="5"/>
    <n v="41"/>
    <n v="4084.23"/>
    <n v="2442.98"/>
    <n v="40"/>
    <n v="4"/>
    <s v="2026-01-04"/>
    <n v="293"/>
    <n v="1"/>
    <n v="21"/>
    <s v="No"/>
    <x v="0"/>
    <n v="-36"/>
    <n v="1.3966480446927373E-2"/>
    <x v="2"/>
    <s v="Apply Discount / Promotion"/>
  </r>
  <r>
    <n v="372"/>
    <s v="Product_6"/>
    <x v="1"/>
    <x v="3"/>
    <n v="390"/>
    <n v="73"/>
    <n v="36"/>
    <n v="1877.03"/>
    <n v="1254.8699999999999"/>
    <n v="69"/>
    <n v="7"/>
    <s v="2026-03-26"/>
    <n v="182"/>
    <n v="2"/>
    <n v="19"/>
    <s v="Yes"/>
    <x v="1"/>
    <n v="37"/>
    <n v="0.18717948717948718"/>
    <x v="2"/>
    <s v="Apply Discount / Promotion"/>
  </r>
  <r>
    <n v="373"/>
    <s v="Product_45"/>
    <x v="2"/>
    <x v="0"/>
    <n v="382"/>
    <n v="145"/>
    <n v="135"/>
    <n v="246.38"/>
    <n v="186.31"/>
    <n v="61"/>
    <n v="6"/>
    <s v="2026-01-20"/>
    <n v="92"/>
    <n v="4"/>
    <n v="16"/>
    <s v="No"/>
    <x v="0"/>
    <n v="10"/>
    <n v="0.37958115183246072"/>
    <x v="2"/>
    <s v="Apply Discount / Promotion"/>
  </r>
  <r>
    <n v="374"/>
    <s v="Product_67"/>
    <x v="3"/>
    <x v="0"/>
    <n v="454"/>
    <n v="16"/>
    <n v="34"/>
    <n v="4086"/>
    <n v="2913.14"/>
    <n v="31"/>
    <n v="12"/>
    <s v="2026-01-28"/>
    <n v="80"/>
    <n v="5"/>
    <n v="6"/>
    <s v="Yes"/>
    <x v="0"/>
    <n v="-18"/>
    <n v="3.5242290748898682E-2"/>
    <x v="2"/>
    <s v="Apply Discount / Promotion"/>
  </r>
  <r>
    <n v="375"/>
    <s v="Product_86"/>
    <x v="2"/>
    <x v="1"/>
    <n v="220"/>
    <n v="75"/>
    <n v="87"/>
    <n v="3688.88"/>
    <n v="2785.5"/>
    <n v="72"/>
    <n v="4"/>
    <s v="2026-03-19"/>
    <n v="199"/>
    <n v="4"/>
    <n v="28"/>
    <s v="No"/>
    <x v="1"/>
    <n v="-12"/>
    <n v="0.34090909090909088"/>
    <x v="2"/>
    <s v="Apply Discount / Promotion"/>
  </r>
  <r>
    <n v="376"/>
    <s v="Product_57"/>
    <x v="1"/>
    <x v="0"/>
    <n v="267"/>
    <n v="359"/>
    <n v="344"/>
    <n v="4514.45"/>
    <n v="2995.47"/>
    <n v="117"/>
    <n v="1"/>
    <s v="2026-03-05"/>
    <n v="89"/>
    <n v="1"/>
    <n v="49"/>
    <s v="Yes"/>
    <x v="2"/>
    <n v="15"/>
    <n v="1.3445692883895131"/>
    <x v="1"/>
    <s v="Maintain Stock"/>
  </r>
  <r>
    <n v="377"/>
    <s v="Product_68"/>
    <x v="1"/>
    <x v="0"/>
    <n v="495"/>
    <n v="144"/>
    <n v="191"/>
    <n v="2823.81"/>
    <n v="2174.29"/>
    <n v="59"/>
    <n v="13"/>
    <s v="2026-02-27"/>
    <n v="71"/>
    <n v="5"/>
    <n v="34"/>
    <s v="Yes"/>
    <x v="2"/>
    <n v="-47"/>
    <n v="0.29090909090909089"/>
    <x v="2"/>
    <s v="Apply Discount / Promotion"/>
  </r>
  <r>
    <n v="378"/>
    <s v="Product_34"/>
    <x v="2"/>
    <x v="1"/>
    <n v="89"/>
    <n v="88"/>
    <n v="46"/>
    <n v="478.03"/>
    <n v="361.87"/>
    <n v="32"/>
    <n v="3"/>
    <s v="2026-03-05"/>
    <n v="163"/>
    <n v="5"/>
    <n v="43"/>
    <s v="Yes"/>
    <x v="0"/>
    <n v="42"/>
    <n v="0.9887640449438202"/>
    <x v="0"/>
    <s v="Monitor Sales"/>
  </r>
  <r>
    <n v="379"/>
    <s v="Product_64"/>
    <x v="2"/>
    <x v="2"/>
    <n v="114"/>
    <n v="242"/>
    <n v="201"/>
    <n v="3398.21"/>
    <n v="2156.56"/>
    <n v="116"/>
    <n v="9"/>
    <s v="2026-01-21"/>
    <n v="166"/>
    <n v="2"/>
    <n v="14"/>
    <s v="Yes"/>
    <x v="0"/>
    <n v="41"/>
    <n v="2.1228070175438596"/>
    <x v="1"/>
    <s v="Maintain Stock"/>
  </r>
  <r>
    <n v="380"/>
    <s v="Product_48"/>
    <x v="1"/>
    <x v="1"/>
    <n v="227"/>
    <n v="256"/>
    <n v="248"/>
    <n v="2480.1"/>
    <n v="1979.03"/>
    <n v="120"/>
    <n v="3"/>
    <s v="2026-02-22"/>
    <n v="272"/>
    <n v="1"/>
    <n v="18"/>
    <s v="Yes"/>
    <x v="2"/>
    <n v="8"/>
    <n v="1.1277533039647578"/>
    <x v="1"/>
    <s v="Maintain Stock"/>
  </r>
  <r>
    <n v="381"/>
    <s v="Product_44"/>
    <x v="1"/>
    <x v="1"/>
    <n v="176"/>
    <n v="195"/>
    <n v="210"/>
    <n v="1395.11"/>
    <n v="990.91"/>
    <n v="139"/>
    <n v="11"/>
    <s v="2026-01-18"/>
    <n v="298"/>
    <n v="5"/>
    <n v="45"/>
    <s v="No"/>
    <x v="0"/>
    <n v="-15"/>
    <n v="1.1079545454545454"/>
    <x v="1"/>
    <s v="Maintain Stock"/>
  </r>
  <r>
    <n v="382"/>
    <s v="Product_11"/>
    <x v="3"/>
    <x v="0"/>
    <n v="388"/>
    <n v="122"/>
    <n v="147"/>
    <n v="3677.38"/>
    <n v="2181.64"/>
    <n v="32"/>
    <n v="3"/>
    <s v="2026-03-27"/>
    <n v="100"/>
    <n v="4"/>
    <n v="16"/>
    <s v="No"/>
    <x v="2"/>
    <n v="-25"/>
    <n v="0.31443298969072164"/>
    <x v="2"/>
    <s v="Apply Discount / Promotion"/>
  </r>
  <r>
    <n v="383"/>
    <s v="Product_72"/>
    <x v="0"/>
    <x v="1"/>
    <n v="447"/>
    <n v="148"/>
    <n v="184"/>
    <n v="2457.6799999999998"/>
    <n v="1364.65"/>
    <n v="61"/>
    <n v="7"/>
    <s v="2026-03-09"/>
    <n v="165"/>
    <n v="5"/>
    <n v="10"/>
    <s v="No"/>
    <x v="0"/>
    <n v="-36"/>
    <n v="0.33109619686800895"/>
    <x v="2"/>
    <s v="Apply Discount / Promotion"/>
  </r>
  <r>
    <n v="384"/>
    <s v="Product_63"/>
    <x v="1"/>
    <x v="2"/>
    <n v="105"/>
    <n v="168"/>
    <n v="188"/>
    <n v="2838.9"/>
    <n v="1618.35"/>
    <n v="80"/>
    <n v="7"/>
    <s v="2026-03-02"/>
    <n v="62"/>
    <n v="3"/>
    <n v="43"/>
    <s v="No"/>
    <x v="1"/>
    <n v="-20"/>
    <n v="1.6"/>
    <x v="1"/>
    <s v="Maintain Stock"/>
  </r>
  <r>
    <n v="385"/>
    <s v="Product_35"/>
    <x v="1"/>
    <x v="0"/>
    <n v="335"/>
    <n v="229"/>
    <n v="279"/>
    <n v="4882.2700000000004"/>
    <n v="3007.18"/>
    <n v="65"/>
    <n v="14"/>
    <s v="2026-01-16"/>
    <n v="158"/>
    <n v="2"/>
    <n v="46"/>
    <s v="Yes"/>
    <x v="2"/>
    <n v="-50"/>
    <n v="0.68358208955223876"/>
    <x v="0"/>
    <s v="Monitor Sales"/>
  </r>
  <r>
    <n v="386"/>
    <s v="Product_75"/>
    <x v="4"/>
    <x v="1"/>
    <n v="141"/>
    <n v="10"/>
    <n v="38"/>
    <n v="2473.75"/>
    <n v="1864.25"/>
    <n v="38"/>
    <n v="7"/>
    <s v="2026-01-11"/>
    <n v="298"/>
    <n v="2"/>
    <n v="1"/>
    <s v="No"/>
    <x v="0"/>
    <n v="-28"/>
    <n v="7.0921985815602842E-2"/>
    <x v="2"/>
    <s v="Apply Discount / Promotion"/>
  </r>
  <r>
    <n v="387"/>
    <s v="Product_33"/>
    <x v="0"/>
    <x v="1"/>
    <n v="151"/>
    <n v="156"/>
    <n v="106"/>
    <n v="524.75"/>
    <n v="276.93"/>
    <n v="126"/>
    <n v="11"/>
    <s v="2026-03-23"/>
    <n v="73"/>
    <n v="4"/>
    <n v="25"/>
    <s v="No"/>
    <x v="0"/>
    <n v="50"/>
    <n v="1.0331125827814569"/>
    <x v="1"/>
    <s v="Maintain Stock"/>
  </r>
  <r>
    <n v="388"/>
    <s v="Product_23"/>
    <x v="3"/>
    <x v="1"/>
    <n v="457"/>
    <n v="120"/>
    <n v="166"/>
    <n v="2377.02"/>
    <n v="1685.07"/>
    <n v="103"/>
    <n v="3"/>
    <s v="2026-01-03"/>
    <n v="326"/>
    <n v="1"/>
    <n v="17"/>
    <s v="No"/>
    <x v="0"/>
    <n v="-46"/>
    <n v="0.26258205689277897"/>
    <x v="2"/>
    <s v="Apply Discount / Promotion"/>
  </r>
  <r>
    <n v="389"/>
    <s v="Product_52"/>
    <x v="0"/>
    <x v="1"/>
    <n v="319"/>
    <n v="128"/>
    <n v="149"/>
    <n v="691.25"/>
    <n v="345.76"/>
    <n v="116"/>
    <n v="7"/>
    <s v="2026-01-29"/>
    <n v="160"/>
    <n v="4"/>
    <n v="26"/>
    <s v="Yes"/>
    <x v="1"/>
    <n v="-21"/>
    <n v="0.40125391849529779"/>
    <x v="2"/>
    <s v="Apply Discount / Promotion"/>
  </r>
  <r>
    <n v="390"/>
    <s v="Product_79"/>
    <x v="0"/>
    <x v="2"/>
    <n v="425"/>
    <n v="105"/>
    <n v="92"/>
    <n v="1180.51"/>
    <n v="899.79"/>
    <n v="130"/>
    <n v="15"/>
    <s v="2026-03-22"/>
    <n v="254"/>
    <n v="2"/>
    <n v="2"/>
    <s v="No"/>
    <x v="1"/>
    <n v="13"/>
    <n v="0.24705882352941178"/>
    <x v="2"/>
    <s v="Apply Discount / Promotion"/>
  </r>
  <r>
    <n v="391"/>
    <s v="Product_94"/>
    <x v="4"/>
    <x v="2"/>
    <n v="146"/>
    <n v="134"/>
    <n v="116"/>
    <n v="4932.96"/>
    <n v="3330.17"/>
    <n v="145"/>
    <n v="5"/>
    <s v="2026-02-02"/>
    <n v="153"/>
    <n v="5"/>
    <n v="34"/>
    <s v="Yes"/>
    <x v="2"/>
    <n v="18"/>
    <n v="0.9178082191780822"/>
    <x v="0"/>
    <s v="Monitor Sales"/>
  </r>
  <r>
    <n v="392"/>
    <s v="Product_17"/>
    <x v="4"/>
    <x v="3"/>
    <n v="363"/>
    <n v="394"/>
    <n v="374"/>
    <n v="2822.14"/>
    <n v="1493.79"/>
    <n v="105"/>
    <n v="14"/>
    <s v="2026-02-04"/>
    <n v="126"/>
    <n v="4"/>
    <n v="36"/>
    <s v="Yes"/>
    <x v="1"/>
    <n v="20"/>
    <n v="1.0853994490358128"/>
    <x v="1"/>
    <s v="Maintain Stock"/>
  </r>
  <r>
    <n v="393"/>
    <s v="Product_91"/>
    <x v="4"/>
    <x v="0"/>
    <n v="230"/>
    <n v="368"/>
    <n v="360"/>
    <n v="3251.07"/>
    <n v="2272.1799999999998"/>
    <n v="92"/>
    <n v="1"/>
    <s v="2026-02-11"/>
    <n v="66"/>
    <n v="4"/>
    <n v="10"/>
    <s v="No"/>
    <x v="2"/>
    <n v="8"/>
    <n v="1.6"/>
    <x v="1"/>
    <s v="Maintain Stock"/>
  </r>
  <r>
    <n v="394"/>
    <s v="Product_14"/>
    <x v="4"/>
    <x v="2"/>
    <n v="166"/>
    <n v="201"/>
    <n v="241"/>
    <n v="1029.26"/>
    <n v="822.22"/>
    <n v="78"/>
    <n v="13"/>
    <s v="2026-01-17"/>
    <n v="178"/>
    <n v="3"/>
    <n v="2"/>
    <s v="No"/>
    <x v="1"/>
    <n v="-40"/>
    <n v="1.2108433734939759"/>
    <x v="1"/>
    <s v="Maintain Stock"/>
  </r>
  <r>
    <n v="395"/>
    <s v="Product_72"/>
    <x v="1"/>
    <x v="0"/>
    <n v="456"/>
    <n v="303"/>
    <n v="267"/>
    <n v="941.57"/>
    <n v="692.51"/>
    <n v="41"/>
    <n v="7"/>
    <s v="2026-01-27"/>
    <n v="281"/>
    <n v="3"/>
    <n v="38"/>
    <s v="No"/>
    <x v="0"/>
    <n v="36"/>
    <n v="0.66447368421052633"/>
    <x v="0"/>
    <s v="Monitor Sales"/>
  </r>
  <r>
    <n v="396"/>
    <s v="Product_76"/>
    <x v="2"/>
    <x v="0"/>
    <n v="57"/>
    <n v="334"/>
    <n v="344"/>
    <n v="375.48"/>
    <n v="239.41"/>
    <n v="148"/>
    <n v="10"/>
    <s v="2026-02-10"/>
    <n v="350"/>
    <n v="3"/>
    <n v="32"/>
    <s v="No"/>
    <x v="0"/>
    <n v="-10"/>
    <n v="5.8596491228070171"/>
    <x v="1"/>
    <s v="Maintain Stock"/>
  </r>
  <r>
    <n v="397"/>
    <s v="Product_5"/>
    <x v="4"/>
    <x v="3"/>
    <n v="63"/>
    <n v="221"/>
    <n v="203"/>
    <n v="1925.99"/>
    <n v="1213.68"/>
    <n v="95"/>
    <n v="13"/>
    <s v="2026-02-17"/>
    <n v="192"/>
    <n v="4"/>
    <n v="4"/>
    <s v="Yes"/>
    <x v="0"/>
    <n v="18"/>
    <n v="3.5079365079365079"/>
    <x v="1"/>
    <s v="Maintain Stock"/>
  </r>
  <r>
    <n v="398"/>
    <s v="Product_10"/>
    <x v="0"/>
    <x v="0"/>
    <n v="141"/>
    <n v="379"/>
    <n v="333"/>
    <n v="4337.78"/>
    <n v="3241.61"/>
    <n v="120"/>
    <n v="5"/>
    <s v="2026-03-08"/>
    <n v="271"/>
    <n v="4"/>
    <n v="50"/>
    <s v="No"/>
    <x v="2"/>
    <n v="46"/>
    <n v="2.6879432624113475"/>
    <x v="1"/>
    <s v="Maintain Stock"/>
  </r>
  <r>
    <n v="399"/>
    <s v="Product_30"/>
    <x v="2"/>
    <x v="2"/>
    <n v="57"/>
    <n v="204"/>
    <n v="168"/>
    <n v="2428.2399999999998"/>
    <n v="1379.39"/>
    <n v="86"/>
    <n v="12"/>
    <s v="2026-02-25"/>
    <n v="35"/>
    <n v="1"/>
    <n v="21"/>
    <s v="Yes"/>
    <x v="1"/>
    <n v="36"/>
    <n v="3.5789473684210527"/>
    <x v="1"/>
    <s v="Maintain Stock"/>
  </r>
  <r>
    <n v="400"/>
    <s v="Product_74"/>
    <x v="1"/>
    <x v="3"/>
    <n v="28"/>
    <n v="159"/>
    <n v="121"/>
    <n v="1993.22"/>
    <n v="1492.1"/>
    <n v="53"/>
    <n v="8"/>
    <s v="2026-01-21"/>
    <n v="184"/>
    <n v="4"/>
    <n v="13"/>
    <s v="No"/>
    <x v="2"/>
    <n v="38"/>
    <n v="5.6785714285714288"/>
    <x v="1"/>
    <s v="Maintain Stock"/>
  </r>
  <r>
    <n v="401"/>
    <s v="Product_39"/>
    <x v="1"/>
    <x v="0"/>
    <n v="158"/>
    <n v="132"/>
    <n v="109"/>
    <n v="4639"/>
    <n v="2419.13"/>
    <n v="144"/>
    <n v="11"/>
    <s v="2026-02-06"/>
    <n v="297"/>
    <n v="4"/>
    <n v="24"/>
    <s v="No"/>
    <x v="0"/>
    <n v="23"/>
    <n v="0.83544303797468356"/>
    <x v="0"/>
    <s v="Monitor Sales"/>
  </r>
  <r>
    <n v="402"/>
    <s v="Product_86"/>
    <x v="1"/>
    <x v="0"/>
    <n v="73"/>
    <n v="151"/>
    <n v="161"/>
    <n v="3999.44"/>
    <n v="2393.89"/>
    <n v="57"/>
    <n v="3"/>
    <s v="2026-02-21"/>
    <n v="135"/>
    <n v="1"/>
    <n v="8"/>
    <s v="Yes"/>
    <x v="1"/>
    <n v="-10"/>
    <n v="2.0684931506849313"/>
    <x v="1"/>
    <s v="Maintain Stock"/>
  </r>
  <r>
    <n v="403"/>
    <s v="Product_31"/>
    <x v="1"/>
    <x v="1"/>
    <n v="187"/>
    <n v="251"/>
    <n v="231"/>
    <n v="3477.06"/>
    <n v="2556.96"/>
    <n v="76"/>
    <n v="1"/>
    <s v="2026-03-26"/>
    <n v="310"/>
    <n v="3"/>
    <n v="42"/>
    <s v="Yes"/>
    <x v="1"/>
    <n v="20"/>
    <n v="1.3422459893048129"/>
    <x v="1"/>
    <s v="Maintain Stock"/>
  </r>
  <r>
    <n v="404"/>
    <s v="Product_74"/>
    <x v="2"/>
    <x v="3"/>
    <n v="216"/>
    <n v="285"/>
    <n v="288"/>
    <n v="4040.39"/>
    <n v="2374.1"/>
    <n v="138"/>
    <n v="10"/>
    <s v="2026-01-26"/>
    <n v="168"/>
    <n v="1"/>
    <n v="38"/>
    <s v="No"/>
    <x v="2"/>
    <n v="-3"/>
    <n v="1.3194444444444444"/>
    <x v="1"/>
    <s v="Maintain Stock"/>
  </r>
  <r>
    <n v="405"/>
    <s v="Product_57"/>
    <x v="2"/>
    <x v="1"/>
    <n v="354"/>
    <n v="77"/>
    <n v="86"/>
    <n v="3753.37"/>
    <n v="2372.5500000000002"/>
    <n v="44"/>
    <n v="3"/>
    <s v="2026-01-03"/>
    <n v="258"/>
    <n v="1"/>
    <n v="13"/>
    <s v="No"/>
    <x v="0"/>
    <n v="-9"/>
    <n v="0.2175141242937853"/>
    <x v="2"/>
    <s v="Apply Discount / Promotion"/>
  </r>
  <r>
    <n v="406"/>
    <s v="Product_86"/>
    <x v="0"/>
    <x v="3"/>
    <n v="132"/>
    <n v="0"/>
    <n v="10"/>
    <n v="460.62"/>
    <n v="297.89999999999998"/>
    <n v="137"/>
    <n v="8"/>
    <s v="2026-02-12"/>
    <n v="223"/>
    <n v="2"/>
    <n v="25"/>
    <s v="No"/>
    <x v="1"/>
    <n v="-10"/>
    <n v="0"/>
    <x v="2"/>
    <s v="Apply Discount / Promotion"/>
  </r>
  <r>
    <n v="407"/>
    <s v="Product_48"/>
    <x v="0"/>
    <x v="0"/>
    <n v="265"/>
    <n v="103"/>
    <n v="62"/>
    <n v="3514.3"/>
    <n v="2096.39"/>
    <n v="76"/>
    <n v="7"/>
    <s v="2026-03-27"/>
    <n v="356"/>
    <n v="2"/>
    <n v="47"/>
    <s v="Yes"/>
    <x v="1"/>
    <n v="41"/>
    <n v="0.38867924528301889"/>
    <x v="2"/>
    <s v="Apply Discount / Promotion"/>
  </r>
  <r>
    <n v="408"/>
    <s v="Product_86"/>
    <x v="4"/>
    <x v="0"/>
    <n v="234"/>
    <n v="228"/>
    <n v="198"/>
    <n v="2972.35"/>
    <n v="1990.86"/>
    <n v="32"/>
    <n v="14"/>
    <s v="2026-02-01"/>
    <n v="303"/>
    <n v="2"/>
    <n v="23"/>
    <s v="Yes"/>
    <x v="2"/>
    <n v="30"/>
    <n v="0.97435897435897434"/>
    <x v="0"/>
    <s v="Monitor Sales"/>
  </r>
  <r>
    <n v="409"/>
    <s v="Product_85"/>
    <x v="4"/>
    <x v="3"/>
    <n v="419"/>
    <n v="121"/>
    <n v="157"/>
    <n v="3414.45"/>
    <n v="2202.0700000000002"/>
    <n v="51"/>
    <n v="13"/>
    <s v="2026-01-10"/>
    <n v="251"/>
    <n v="1"/>
    <n v="31"/>
    <s v="Yes"/>
    <x v="1"/>
    <n v="-36"/>
    <n v="0.28878281622911695"/>
    <x v="2"/>
    <s v="Apply Discount / Promotion"/>
  </r>
  <r>
    <n v="410"/>
    <s v="Product_91"/>
    <x v="1"/>
    <x v="3"/>
    <n v="145"/>
    <n v="365"/>
    <n v="329"/>
    <n v="4576.4399999999996"/>
    <n v="3621.98"/>
    <n v="67"/>
    <n v="14"/>
    <s v="2026-01-07"/>
    <n v="186"/>
    <n v="3"/>
    <n v="29"/>
    <s v="No"/>
    <x v="0"/>
    <n v="36"/>
    <n v="2.5172413793103448"/>
    <x v="1"/>
    <s v="Maintain Stock"/>
  </r>
  <r>
    <n v="411"/>
    <s v="Product_60"/>
    <x v="2"/>
    <x v="3"/>
    <n v="311"/>
    <n v="382"/>
    <n v="341"/>
    <n v="3692.75"/>
    <n v="2034.48"/>
    <n v="123"/>
    <n v="8"/>
    <s v="2026-02-02"/>
    <n v="143"/>
    <n v="1"/>
    <n v="47"/>
    <s v="No"/>
    <x v="2"/>
    <n v="41"/>
    <n v="1.2282958199356913"/>
    <x v="1"/>
    <s v="Maintain Stock"/>
  </r>
  <r>
    <n v="412"/>
    <s v="Product_79"/>
    <x v="4"/>
    <x v="0"/>
    <n v="478"/>
    <n v="22"/>
    <n v="24"/>
    <n v="278.91000000000003"/>
    <n v="164.77"/>
    <n v="82"/>
    <n v="13"/>
    <s v="2026-01-26"/>
    <n v="147"/>
    <n v="4"/>
    <n v="25"/>
    <s v="Yes"/>
    <x v="0"/>
    <n v="-2"/>
    <n v="4.6025104602510462E-2"/>
    <x v="2"/>
    <s v="Apply Discount / Promotion"/>
  </r>
  <r>
    <n v="413"/>
    <s v="Product_100"/>
    <x v="2"/>
    <x v="3"/>
    <n v="498"/>
    <n v="348"/>
    <n v="395"/>
    <n v="2445.9699999999998"/>
    <n v="1282.0899999999999"/>
    <n v="96"/>
    <n v="15"/>
    <s v="2026-01-04"/>
    <n v="278"/>
    <n v="1"/>
    <n v="3"/>
    <s v="No"/>
    <x v="2"/>
    <n v="-47"/>
    <n v="0.6987951807228916"/>
    <x v="0"/>
    <s v="Monitor Sales"/>
  </r>
  <r>
    <n v="414"/>
    <s v="Product_26"/>
    <x v="0"/>
    <x v="3"/>
    <n v="76"/>
    <n v="58"/>
    <n v="33"/>
    <n v="1118.06"/>
    <n v="883.05"/>
    <n v="62"/>
    <n v="9"/>
    <s v="2026-01-06"/>
    <n v="286"/>
    <n v="3"/>
    <n v="0"/>
    <s v="No"/>
    <x v="0"/>
    <n v="25"/>
    <n v="0.76315789473684215"/>
    <x v="0"/>
    <s v="Monitor Sales"/>
  </r>
  <r>
    <n v="415"/>
    <s v="Product_77"/>
    <x v="4"/>
    <x v="1"/>
    <n v="236"/>
    <n v="236"/>
    <n v="195"/>
    <n v="3757.89"/>
    <n v="2759.43"/>
    <n v="133"/>
    <n v="7"/>
    <s v="2026-03-27"/>
    <n v="122"/>
    <n v="2"/>
    <n v="47"/>
    <s v="No"/>
    <x v="2"/>
    <n v="41"/>
    <n v="1"/>
    <x v="1"/>
    <s v="Maintain Stock"/>
  </r>
  <r>
    <n v="416"/>
    <s v="Product_21"/>
    <x v="4"/>
    <x v="1"/>
    <n v="157"/>
    <n v="379"/>
    <n v="358"/>
    <n v="3396.82"/>
    <n v="1833.43"/>
    <n v="61"/>
    <n v="2"/>
    <s v="2026-02-28"/>
    <n v="91"/>
    <n v="2"/>
    <n v="46"/>
    <s v="No"/>
    <x v="0"/>
    <n v="21"/>
    <n v="2.4140127388535033"/>
    <x v="1"/>
    <s v="Maintain Stock"/>
  </r>
  <r>
    <n v="417"/>
    <s v="Product_61"/>
    <x v="0"/>
    <x v="0"/>
    <n v="288"/>
    <n v="318"/>
    <n v="360"/>
    <n v="2128.44"/>
    <n v="1275"/>
    <n v="134"/>
    <n v="14"/>
    <s v="2026-01-04"/>
    <n v="60"/>
    <n v="5"/>
    <n v="50"/>
    <s v="No"/>
    <x v="0"/>
    <n v="-42"/>
    <n v="1.1041666666666667"/>
    <x v="1"/>
    <s v="Maintain Stock"/>
  </r>
  <r>
    <n v="418"/>
    <s v="Product_35"/>
    <x v="1"/>
    <x v="0"/>
    <n v="168"/>
    <n v="355"/>
    <n v="312"/>
    <n v="1697.17"/>
    <n v="1176.51"/>
    <n v="120"/>
    <n v="9"/>
    <s v="2026-02-09"/>
    <n v="359"/>
    <n v="3"/>
    <n v="28"/>
    <s v="No"/>
    <x v="1"/>
    <n v="43"/>
    <n v="2.1130952380952381"/>
    <x v="1"/>
    <s v="Maintain Stock"/>
  </r>
  <r>
    <n v="419"/>
    <s v="Product_80"/>
    <x v="0"/>
    <x v="0"/>
    <n v="118"/>
    <n v="113"/>
    <n v="136"/>
    <n v="2670.17"/>
    <n v="1916.62"/>
    <n v="114"/>
    <n v="11"/>
    <s v="2026-03-27"/>
    <n v="37"/>
    <n v="4"/>
    <n v="17"/>
    <s v="No"/>
    <x v="1"/>
    <n v="-23"/>
    <n v="0.9576271186440678"/>
    <x v="0"/>
    <s v="Monitor Sales"/>
  </r>
  <r>
    <n v="420"/>
    <s v="Product_47"/>
    <x v="4"/>
    <x v="0"/>
    <n v="210"/>
    <n v="0"/>
    <n v="10"/>
    <n v="4399.93"/>
    <n v="2810.3"/>
    <n v="62"/>
    <n v="2"/>
    <s v="2026-01-02"/>
    <n v="350"/>
    <n v="5"/>
    <n v="27"/>
    <s v="No"/>
    <x v="0"/>
    <n v="-10"/>
    <n v="0"/>
    <x v="2"/>
    <s v="Apply Discount / Promotion"/>
  </r>
  <r>
    <n v="421"/>
    <s v="Product_83"/>
    <x v="0"/>
    <x v="2"/>
    <n v="24"/>
    <n v="125"/>
    <n v="129"/>
    <n v="3349.32"/>
    <n v="2552.79"/>
    <n v="130"/>
    <n v="10"/>
    <s v="2026-03-14"/>
    <n v="96"/>
    <n v="2"/>
    <n v="25"/>
    <s v="No"/>
    <x v="0"/>
    <n v="-4"/>
    <n v="5.208333333333333"/>
    <x v="1"/>
    <s v="Maintain Stock"/>
  </r>
  <r>
    <n v="422"/>
    <s v="Product_67"/>
    <x v="1"/>
    <x v="2"/>
    <n v="73"/>
    <n v="61"/>
    <n v="98"/>
    <n v="2623.46"/>
    <n v="1496.99"/>
    <n v="86"/>
    <n v="1"/>
    <s v="2026-02-22"/>
    <n v="109"/>
    <n v="4"/>
    <n v="37"/>
    <s v="Yes"/>
    <x v="1"/>
    <n v="-37"/>
    <n v="0.83561643835616439"/>
    <x v="0"/>
    <s v="Monitor Sales"/>
  </r>
  <r>
    <n v="423"/>
    <s v="Product_29"/>
    <x v="4"/>
    <x v="3"/>
    <n v="273"/>
    <n v="113"/>
    <n v="90"/>
    <n v="2411.23"/>
    <n v="1617.43"/>
    <n v="118"/>
    <n v="13"/>
    <s v="2026-02-02"/>
    <n v="317"/>
    <n v="1"/>
    <n v="25"/>
    <s v="No"/>
    <x v="2"/>
    <n v="23"/>
    <n v="0.41391941391941389"/>
    <x v="2"/>
    <s v="Apply Discount / Promotion"/>
  </r>
  <r>
    <n v="424"/>
    <s v="Product_80"/>
    <x v="3"/>
    <x v="2"/>
    <n v="468"/>
    <n v="45"/>
    <n v="29"/>
    <n v="2070.19"/>
    <n v="1338.66"/>
    <n v="89"/>
    <n v="13"/>
    <s v="2026-03-08"/>
    <n v="251"/>
    <n v="2"/>
    <n v="40"/>
    <s v="Yes"/>
    <x v="0"/>
    <n v="16"/>
    <n v="9.6153846153846159E-2"/>
    <x v="2"/>
    <s v="Apply Discount / Promotion"/>
  </r>
  <r>
    <n v="425"/>
    <s v="Product_32"/>
    <x v="3"/>
    <x v="0"/>
    <n v="20"/>
    <n v="113"/>
    <n v="87"/>
    <n v="905.42"/>
    <n v="703.41"/>
    <n v="140"/>
    <n v="7"/>
    <s v="2026-03-12"/>
    <n v="35"/>
    <n v="2"/>
    <n v="26"/>
    <s v="Yes"/>
    <x v="2"/>
    <n v="26"/>
    <n v="5.65"/>
    <x v="1"/>
    <s v="Maintain Stock"/>
  </r>
  <r>
    <n v="426"/>
    <s v="Product_73"/>
    <x v="2"/>
    <x v="0"/>
    <n v="391"/>
    <n v="264"/>
    <n v="298"/>
    <n v="2962.21"/>
    <n v="2214.25"/>
    <n v="142"/>
    <n v="2"/>
    <s v="2026-01-12"/>
    <n v="238"/>
    <n v="5"/>
    <n v="40"/>
    <s v="Yes"/>
    <x v="2"/>
    <n v="-34"/>
    <n v="0.67519181585677746"/>
    <x v="0"/>
    <s v="Monitor Sales"/>
  </r>
  <r>
    <n v="427"/>
    <s v="Product_81"/>
    <x v="1"/>
    <x v="1"/>
    <n v="423"/>
    <n v="324"/>
    <n v="352"/>
    <n v="4100.41"/>
    <n v="3234.75"/>
    <n v="46"/>
    <n v="3"/>
    <s v="2026-03-16"/>
    <n v="121"/>
    <n v="5"/>
    <n v="15"/>
    <s v="Yes"/>
    <x v="0"/>
    <n v="-28"/>
    <n v="0.76595744680851063"/>
    <x v="0"/>
    <s v="Monitor Sales"/>
  </r>
  <r>
    <n v="428"/>
    <s v="Product_56"/>
    <x v="4"/>
    <x v="0"/>
    <n v="418"/>
    <n v="210"/>
    <n v="224"/>
    <n v="154.05000000000001"/>
    <n v="94.15"/>
    <n v="45"/>
    <n v="10"/>
    <s v="2026-01-01"/>
    <n v="215"/>
    <n v="1"/>
    <n v="6"/>
    <s v="No"/>
    <x v="1"/>
    <n v="-14"/>
    <n v="0.50239234449760761"/>
    <x v="0"/>
    <s v="Monitor Sales"/>
  </r>
  <r>
    <n v="429"/>
    <s v="Product_16"/>
    <x v="4"/>
    <x v="0"/>
    <n v="246"/>
    <n v="265"/>
    <n v="303"/>
    <n v="2259.62"/>
    <n v="1273.8499999999999"/>
    <n v="63"/>
    <n v="8"/>
    <s v="2026-03-25"/>
    <n v="234"/>
    <n v="5"/>
    <n v="44"/>
    <s v="Yes"/>
    <x v="0"/>
    <n v="-38"/>
    <n v="1.0772357723577235"/>
    <x v="1"/>
    <s v="Maintain Stock"/>
  </r>
  <r>
    <n v="430"/>
    <s v="Product_89"/>
    <x v="2"/>
    <x v="1"/>
    <n v="288"/>
    <n v="336"/>
    <n v="322"/>
    <n v="3602.56"/>
    <n v="2321.0300000000002"/>
    <n v="145"/>
    <n v="14"/>
    <s v="2026-01-20"/>
    <n v="338"/>
    <n v="3"/>
    <n v="6"/>
    <s v="No"/>
    <x v="0"/>
    <n v="14"/>
    <n v="1.1666666666666667"/>
    <x v="1"/>
    <s v="Maintain Stock"/>
  </r>
  <r>
    <n v="431"/>
    <s v="Product_64"/>
    <x v="3"/>
    <x v="2"/>
    <n v="378"/>
    <n v="175"/>
    <n v="221"/>
    <n v="3509.24"/>
    <n v="2069.48"/>
    <n v="86"/>
    <n v="4"/>
    <s v="2026-03-21"/>
    <n v="117"/>
    <n v="1"/>
    <n v="10"/>
    <s v="Yes"/>
    <x v="0"/>
    <n v="-46"/>
    <n v="0.46296296296296297"/>
    <x v="2"/>
    <s v="Apply Discount / Promotion"/>
  </r>
  <r>
    <n v="432"/>
    <s v="Product_76"/>
    <x v="2"/>
    <x v="0"/>
    <n v="166"/>
    <n v="77"/>
    <n v="117"/>
    <n v="2259.31"/>
    <n v="1771.78"/>
    <n v="129"/>
    <n v="5"/>
    <s v="2026-02-23"/>
    <n v="249"/>
    <n v="2"/>
    <n v="46"/>
    <s v="No"/>
    <x v="2"/>
    <n v="-40"/>
    <n v="0.46385542168674698"/>
    <x v="2"/>
    <s v="Apply Discount / Promotion"/>
  </r>
  <r>
    <n v="433"/>
    <s v="Product_37"/>
    <x v="3"/>
    <x v="1"/>
    <n v="138"/>
    <n v="294"/>
    <n v="251"/>
    <n v="3471.81"/>
    <n v="2446.59"/>
    <n v="128"/>
    <n v="2"/>
    <s v="2026-03-26"/>
    <n v="134"/>
    <n v="5"/>
    <n v="18"/>
    <s v="Yes"/>
    <x v="1"/>
    <n v="43"/>
    <n v="2.1304347826086958"/>
    <x v="1"/>
    <s v="Maintain Stock"/>
  </r>
  <r>
    <n v="434"/>
    <s v="Product_8"/>
    <x v="0"/>
    <x v="3"/>
    <n v="146"/>
    <n v="282"/>
    <n v="252"/>
    <n v="2977.31"/>
    <n v="1593.19"/>
    <n v="69"/>
    <n v="13"/>
    <s v="2026-02-15"/>
    <n v="80"/>
    <n v="5"/>
    <n v="32"/>
    <s v="Yes"/>
    <x v="2"/>
    <n v="30"/>
    <n v="1.9315068493150684"/>
    <x v="1"/>
    <s v="Maintain Stock"/>
  </r>
  <r>
    <n v="435"/>
    <s v="Product_92"/>
    <x v="3"/>
    <x v="0"/>
    <n v="281"/>
    <n v="143"/>
    <n v="109"/>
    <n v="4559.93"/>
    <n v="2903.15"/>
    <n v="69"/>
    <n v="13"/>
    <s v="2026-01-11"/>
    <n v="343"/>
    <n v="4"/>
    <n v="41"/>
    <s v="Yes"/>
    <x v="1"/>
    <n v="34"/>
    <n v="0.50889679715302494"/>
    <x v="0"/>
    <s v="Monitor Sales"/>
  </r>
  <r>
    <n v="436"/>
    <s v="Product_58"/>
    <x v="3"/>
    <x v="3"/>
    <n v="124"/>
    <n v="281"/>
    <n v="281"/>
    <n v="3944.82"/>
    <n v="2658.89"/>
    <n v="119"/>
    <n v="1"/>
    <s v="2026-02-10"/>
    <n v="149"/>
    <n v="2"/>
    <n v="39"/>
    <s v="No"/>
    <x v="1"/>
    <n v="0"/>
    <n v="2.2661290322580645"/>
    <x v="1"/>
    <s v="Maintain Stock"/>
  </r>
  <r>
    <n v="437"/>
    <s v="Product_70"/>
    <x v="2"/>
    <x v="1"/>
    <n v="199"/>
    <n v="67"/>
    <n v="54"/>
    <n v="366.87"/>
    <n v="244.14"/>
    <n v="116"/>
    <n v="14"/>
    <s v="2026-03-22"/>
    <n v="50"/>
    <n v="2"/>
    <n v="22"/>
    <s v="Yes"/>
    <x v="1"/>
    <n v="13"/>
    <n v="0.33668341708542715"/>
    <x v="2"/>
    <s v="Apply Discount / Promotion"/>
  </r>
  <r>
    <n v="438"/>
    <s v="Product_15"/>
    <x v="2"/>
    <x v="1"/>
    <n v="271"/>
    <n v="329"/>
    <n v="307"/>
    <n v="759.16"/>
    <n v="385.12"/>
    <n v="43"/>
    <n v="5"/>
    <s v="2026-02-07"/>
    <n v="240"/>
    <n v="2"/>
    <n v="18"/>
    <s v="No"/>
    <x v="1"/>
    <n v="22"/>
    <n v="1.2140221402214022"/>
    <x v="1"/>
    <s v="Maintain Stock"/>
  </r>
  <r>
    <n v="439"/>
    <s v="Product_68"/>
    <x v="2"/>
    <x v="3"/>
    <n v="485"/>
    <n v="311"/>
    <n v="340"/>
    <n v="1785.2"/>
    <n v="1307.46"/>
    <n v="68"/>
    <n v="9"/>
    <s v="2026-01-01"/>
    <n v="324"/>
    <n v="2"/>
    <n v="43"/>
    <s v="Yes"/>
    <x v="1"/>
    <n v="-29"/>
    <n v="0.64123711340206191"/>
    <x v="0"/>
    <s v="Monitor Sales"/>
  </r>
  <r>
    <n v="440"/>
    <s v="Product_65"/>
    <x v="0"/>
    <x v="1"/>
    <n v="245"/>
    <n v="164"/>
    <n v="213"/>
    <n v="3936.23"/>
    <n v="2232.23"/>
    <n v="139"/>
    <n v="10"/>
    <s v="2026-01-08"/>
    <n v="88"/>
    <n v="3"/>
    <n v="21"/>
    <s v="Yes"/>
    <x v="1"/>
    <n v="-49"/>
    <n v="0.66938775510204085"/>
    <x v="0"/>
    <s v="Monitor Sales"/>
  </r>
  <r>
    <n v="441"/>
    <s v="Product_61"/>
    <x v="2"/>
    <x v="2"/>
    <n v="215"/>
    <n v="271"/>
    <n v="267"/>
    <n v="2000.9"/>
    <n v="1559.77"/>
    <n v="65"/>
    <n v="6"/>
    <s v="2026-03-22"/>
    <n v="92"/>
    <n v="1"/>
    <n v="45"/>
    <s v="No"/>
    <x v="1"/>
    <n v="4"/>
    <n v="1.2604651162790699"/>
    <x v="1"/>
    <s v="Maintain Stock"/>
  </r>
  <r>
    <n v="442"/>
    <s v="Product_15"/>
    <x v="0"/>
    <x v="1"/>
    <n v="101"/>
    <n v="189"/>
    <n v="189"/>
    <n v="1859.1"/>
    <n v="1138.3800000000001"/>
    <n v="34"/>
    <n v="10"/>
    <s v="2026-01-17"/>
    <n v="178"/>
    <n v="4"/>
    <n v="42"/>
    <s v="No"/>
    <x v="0"/>
    <n v="0"/>
    <n v="1.8712871287128714"/>
    <x v="1"/>
    <s v="Maintain Stock"/>
  </r>
  <r>
    <n v="443"/>
    <s v="Product_95"/>
    <x v="2"/>
    <x v="3"/>
    <n v="71"/>
    <n v="153"/>
    <n v="120"/>
    <n v="1104.8499999999999"/>
    <n v="747.88"/>
    <n v="136"/>
    <n v="1"/>
    <s v="2026-01-30"/>
    <n v="317"/>
    <n v="4"/>
    <n v="40"/>
    <s v="Yes"/>
    <x v="2"/>
    <n v="33"/>
    <n v="2.1549295774647885"/>
    <x v="1"/>
    <s v="Maintain Stock"/>
  </r>
  <r>
    <n v="444"/>
    <s v="Product_37"/>
    <x v="0"/>
    <x v="0"/>
    <n v="239"/>
    <n v="169"/>
    <n v="191"/>
    <n v="345.87"/>
    <n v="221.37"/>
    <n v="49"/>
    <n v="10"/>
    <s v="2026-02-02"/>
    <n v="59"/>
    <n v="5"/>
    <n v="15"/>
    <s v="No"/>
    <x v="2"/>
    <n v="-22"/>
    <n v="0.70711297071129708"/>
    <x v="0"/>
    <s v="Monitor Sales"/>
  </r>
  <r>
    <n v="445"/>
    <s v="Product_95"/>
    <x v="4"/>
    <x v="3"/>
    <n v="351"/>
    <n v="198"/>
    <n v="231"/>
    <n v="4433.8599999999997"/>
    <n v="2265.37"/>
    <n v="72"/>
    <n v="14"/>
    <s v="2026-01-09"/>
    <n v="256"/>
    <n v="3"/>
    <n v="15"/>
    <s v="Yes"/>
    <x v="2"/>
    <n v="-33"/>
    <n v="0.5641025641025641"/>
    <x v="0"/>
    <s v="Monitor Sales"/>
  </r>
  <r>
    <n v="446"/>
    <s v="Product_59"/>
    <x v="0"/>
    <x v="0"/>
    <n v="326"/>
    <n v="232"/>
    <n v="182"/>
    <n v="2910.7"/>
    <n v="1570.37"/>
    <n v="78"/>
    <n v="13"/>
    <s v="2026-03-16"/>
    <n v="231"/>
    <n v="1"/>
    <n v="7"/>
    <s v="Yes"/>
    <x v="2"/>
    <n v="50"/>
    <n v="0.71165644171779141"/>
    <x v="0"/>
    <s v="Monitor Sales"/>
  </r>
  <r>
    <n v="447"/>
    <s v="Product_17"/>
    <x v="4"/>
    <x v="0"/>
    <n v="477"/>
    <n v="252"/>
    <n v="266"/>
    <n v="4548.3900000000003"/>
    <n v="2785.52"/>
    <n v="61"/>
    <n v="1"/>
    <s v="2026-02-18"/>
    <n v="135"/>
    <n v="1"/>
    <n v="37"/>
    <s v="Yes"/>
    <x v="1"/>
    <n v="-14"/>
    <n v="0.52830188679245282"/>
    <x v="0"/>
    <s v="Monitor Sales"/>
  </r>
  <r>
    <n v="448"/>
    <s v="Product_60"/>
    <x v="2"/>
    <x v="2"/>
    <n v="450"/>
    <n v="394"/>
    <n v="372"/>
    <n v="224.4"/>
    <n v="161.06"/>
    <n v="141"/>
    <n v="3"/>
    <s v="2026-02-14"/>
    <n v="84"/>
    <n v="4"/>
    <n v="22"/>
    <s v="Yes"/>
    <x v="0"/>
    <n v="22"/>
    <n v="0.87555555555555553"/>
    <x v="0"/>
    <s v="Monitor Sales"/>
  </r>
  <r>
    <n v="449"/>
    <s v="Product_63"/>
    <x v="4"/>
    <x v="3"/>
    <n v="417"/>
    <n v="222"/>
    <n v="195"/>
    <n v="4179.6899999999996"/>
    <n v="2323.2600000000002"/>
    <n v="92"/>
    <n v="6"/>
    <s v="2026-02-23"/>
    <n v="330"/>
    <n v="4"/>
    <n v="30"/>
    <s v="No"/>
    <x v="1"/>
    <n v="27"/>
    <n v="0.53237410071942448"/>
    <x v="0"/>
    <s v="Monitor Sales"/>
  </r>
  <r>
    <n v="450"/>
    <s v="Product_46"/>
    <x v="3"/>
    <x v="2"/>
    <n v="241"/>
    <n v="240"/>
    <n v="239"/>
    <n v="3673.33"/>
    <n v="2374.7399999999998"/>
    <n v="80"/>
    <n v="11"/>
    <s v="2026-03-19"/>
    <n v="273"/>
    <n v="5"/>
    <n v="4"/>
    <s v="No"/>
    <x v="0"/>
    <n v="1"/>
    <n v="0.99585062240663902"/>
    <x v="0"/>
    <s v="Monitor Sales"/>
  </r>
  <r>
    <n v="451"/>
    <s v="Product_24"/>
    <x v="3"/>
    <x v="0"/>
    <n v="110"/>
    <n v="358"/>
    <n v="375"/>
    <n v="317.39"/>
    <n v="229.97"/>
    <n v="54"/>
    <n v="15"/>
    <s v="2026-03-21"/>
    <n v="352"/>
    <n v="5"/>
    <n v="32"/>
    <s v="No"/>
    <x v="1"/>
    <n v="-17"/>
    <n v="3.2545454545454544"/>
    <x v="1"/>
    <s v="Maintain Stock"/>
  </r>
  <r>
    <n v="452"/>
    <s v="Product_61"/>
    <x v="3"/>
    <x v="3"/>
    <n v="51"/>
    <n v="233"/>
    <n v="240"/>
    <n v="2805.93"/>
    <n v="2130.5300000000002"/>
    <n v="117"/>
    <n v="1"/>
    <s v="2026-03-28"/>
    <n v="116"/>
    <n v="3"/>
    <n v="46"/>
    <s v="Yes"/>
    <x v="2"/>
    <n v="-7"/>
    <n v="4.5686274509803919"/>
    <x v="1"/>
    <s v="Maintain Stock"/>
  </r>
  <r>
    <n v="453"/>
    <s v="Product_1"/>
    <x v="1"/>
    <x v="1"/>
    <n v="455"/>
    <n v="320"/>
    <n v="370"/>
    <n v="4939.9399999999996"/>
    <n v="3133.63"/>
    <n v="69"/>
    <n v="11"/>
    <s v="2026-02-16"/>
    <n v="214"/>
    <n v="4"/>
    <n v="27"/>
    <s v="No"/>
    <x v="0"/>
    <n v="-50"/>
    <n v="0.70329670329670335"/>
    <x v="0"/>
    <s v="Monitor Sales"/>
  </r>
  <r>
    <n v="454"/>
    <s v="Product_78"/>
    <x v="1"/>
    <x v="2"/>
    <n v="72"/>
    <n v="374"/>
    <n v="329"/>
    <n v="3959.25"/>
    <n v="2327.25"/>
    <n v="39"/>
    <n v="15"/>
    <s v="2026-03-10"/>
    <n v="247"/>
    <n v="5"/>
    <n v="35"/>
    <s v="Yes"/>
    <x v="2"/>
    <n v="45"/>
    <n v="5.1944444444444446"/>
    <x v="1"/>
    <s v="Maintain Stock"/>
  </r>
  <r>
    <n v="455"/>
    <s v="Product_28"/>
    <x v="1"/>
    <x v="2"/>
    <n v="317"/>
    <n v="162"/>
    <n v="130"/>
    <n v="1251.83"/>
    <n v="707.89"/>
    <n v="43"/>
    <n v="13"/>
    <s v="2026-02-09"/>
    <n v="65"/>
    <n v="2"/>
    <n v="20"/>
    <s v="No"/>
    <x v="2"/>
    <n v="32"/>
    <n v="0.51104100946372244"/>
    <x v="0"/>
    <s v="Monitor Sales"/>
  </r>
  <r>
    <n v="456"/>
    <s v="Product_76"/>
    <x v="1"/>
    <x v="3"/>
    <n v="168"/>
    <n v="103"/>
    <n v="137"/>
    <n v="278.14"/>
    <n v="169.88"/>
    <n v="128"/>
    <n v="13"/>
    <s v="2026-02-14"/>
    <n v="348"/>
    <n v="1"/>
    <n v="39"/>
    <s v="Yes"/>
    <x v="1"/>
    <n v="-34"/>
    <n v="0.61309523809523814"/>
    <x v="0"/>
    <s v="Monitor Sales"/>
  </r>
  <r>
    <n v="457"/>
    <s v="Product_93"/>
    <x v="2"/>
    <x v="1"/>
    <n v="34"/>
    <n v="253"/>
    <n v="216"/>
    <n v="3418.35"/>
    <n v="2193.48"/>
    <n v="116"/>
    <n v="15"/>
    <s v="2026-01-13"/>
    <n v="100"/>
    <n v="3"/>
    <n v="45"/>
    <s v="Yes"/>
    <x v="1"/>
    <n v="37"/>
    <n v="7.4411764705882355"/>
    <x v="1"/>
    <s v="Maintain Stock"/>
  </r>
  <r>
    <n v="458"/>
    <s v="Product_76"/>
    <x v="3"/>
    <x v="1"/>
    <n v="152"/>
    <n v="345"/>
    <n v="305"/>
    <n v="540.76"/>
    <n v="343.08"/>
    <n v="40"/>
    <n v="4"/>
    <s v="2026-03-15"/>
    <n v="108"/>
    <n v="5"/>
    <n v="42"/>
    <s v="Yes"/>
    <x v="0"/>
    <n v="40"/>
    <n v="2.2697368421052633"/>
    <x v="1"/>
    <s v="Maintain Stock"/>
  </r>
  <r>
    <n v="459"/>
    <s v="Product_43"/>
    <x v="4"/>
    <x v="3"/>
    <n v="495"/>
    <n v="99"/>
    <n v="132"/>
    <n v="1109.74"/>
    <n v="698.85"/>
    <n v="117"/>
    <n v="12"/>
    <s v="2026-01-31"/>
    <n v="339"/>
    <n v="4"/>
    <n v="31"/>
    <s v="Yes"/>
    <x v="0"/>
    <n v="-33"/>
    <n v="0.2"/>
    <x v="2"/>
    <s v="Apply Discount / Promotion"/>
  </r>
  <r>
    <n v="460"/>
    <s v="Product_69"/>
    <x v="4"/>
    <x v="1"/>
    <n v="430"/>
    <n v="154"/>
    <n v="121"/>
    <n v="1425.87"/>
    <n v="817.62"/>
    <n v="127"/>
    <n v="3"/>
    <s v="2026-02-26"/>
    <n v="230"/>
    <n v="4"/>
    <n v="39"/>
    <s v="Yes"/>
    <x v="1"/>
    <n v="33"/>
    <n v="0.35813953488372091"/>
    <x v="2"/>
    <s v="Apply Discount / Promotion"/>
  </r>
  <r>
    <n v="461"/>
    <s v="Product_7"/>
    <x v="2"/>
    <x v="2"/>
    <n v="327"/>
    <n v="293"/>
    <n v="246"/>
    <n v="4812.72"/>
    <n v="3759.68"/>
    <n v="64"/>
    <n v="13"/>
    <s v="2026-03-25"/>
    <n v="157"/>
    <n v="5"/>
    <n v="30"/>
    <s v="No"/>
    <x v="0"/>
    <n v="47"/>
    <n v="0.89602446483180431"/>
    <x v="0"/>
    <s v="Monitor Sales"/>
  </r>
  <r>
    <n v="462"/>
    <s v="Product_80"/>
    <x v="4"/>
    <x v="3"/>
    <n v="448"/>
    <n v="262"/>
    <n v="223"/>
    <n v="214.97"/>
    <n v="132.02000000000001"/>
    <n v="59"/>
    <n v="2"/>
    <s v="2026-02-11"/>
    <n v="165"/>
    <n v="5"/>
    <n v="15"/>
    <s v="No"/>
    <x v="2"/>
    <n v="39"/>
    <n v="0.5848214285714286"/>
    <x v="0"/>
    <s v="Monitor Sales"/>
  </r>
  <r>
    <n v="463"/>
    <s v="Product_98"/>
    <x v="2"/>
    <x v="3"/>
    <n v="379"/>
    <n v="300"/>
    <n v="330"/>
    <n v="399.33"/>
    <n v="304.73"/>
    <n v="46"/>
    <n v="11"/>
    <s v="2026-03-05"/>
    <n v="323"/>
    <n v="3"/>
    <n v="4"/>
    <s v="Yes"/>
    <x v="0"/>
    <n v="-30"/>
    <n v="0.79155672823218992"/>
    <x v="0"/>
    <s v="Monitor Sales"/>
  </r>
  <r>
    <n v="464"/>
    <s v="Product_7"/>
    <x v="4"/>
    <x v="3"/>
    <n v="355"/>
    <n v="148"/>
    <n v="159"/>
    <n v="3407.68"/>
    <n v="2379.4899999999998"/>
    <n v="80"/>
    <n v="14"/>
    <s v="2026-01-30"/>
    <n v="186"/>
    <n v="5"/>
    <n v="1"/>
    <s v="Yes"/>
    <x v="0"/>
    <n v="-11"/>
    <n v="0.41690140845070423"/>
    <x v="2"/>
    <s v="Apply Discount / Promotion"/>
  </r>
  <r>
    <n v="465"/>
    <s v="Product_51"/>
    <x v="1"/>
    <x v="1"/>
    <n v="167"/>
    <n v="273"/>
    <n v="227"/>
    <n v="927.02"/>
    <n v="615.79"/>
    <n v="87"/>
    <n v="9"/>
    <s v="2026-02-20"/>
    <n v="287"/>
    <n v="2"/>
    <n v="14"/>
    <s v="Yes"/>
    <x v="1"/>
    <n v="46"/>
    <n v="1.6347305389221556"/>
    <x v="1"/>
    <s v="Maintain Stock"/>
  </r>
  <r>
    <n v="466"/>
    <s v="Product_75"/>
    <x v="3"/>
    <x v="3"/>
    <n v="380"/>
    <n v="300"/>
    <n v="275"/>
    <n v="1612.28"/>
    <n v="828.63"/>
    <n v="76"/>
    <n v="7"/>
    <s v="2026-01-06"/>
    <n v="182"/>
    <n v="3"/>
    <n v="40"/>
    <s v="No"/>
    <x v="2"/>
    <n v="25"/>
    <n v="0.78947368421052633"/>
    <x v="0"/>
    <s v="Monitor Sales"/>
  </r>
  <r>
    <n v="467"/>
    <s v="Product_47"/>
    <x v="0"/>
    <x v="0"/>
    <n v="318"/>
    <n v="63"/>
    <n v="20"/>
    <n v="711.25"/>
    <n v="397.28"/>
    <n v="97"/>
    <n v="11"/>
    <s v="2026-02-09"/>
    <n v="362"/>
    <n v="3"/>
    <n v="11"/>
    <s v="Yes"/>
    <x v="2"/>
    <n v="43"/>
    <n v="0.19811320754716982"/>
    <x v="2"/>
    <s v="Apply Discount / Promotion"/>
  </r>
  <r>
    <n v="468"/>
    <s v="Product_15"/>
    <x v="3"/>
    <x v="1"/>
    <n v="192"/>
    <n v="206"/>
    <n v="215"/>
    <n v="2896.7"/>
    <n v="1821.76"/>
    <n v="120"/>
    <n v="4"/>
    <s v="2026-01-26"/>
    <n v="314"/>
    <n v="4"/>
    <n v="48"/>
    <s v="Yes"/>
    <x v="1"/>
    <n v="-9"/>
    <n v="1.0729166666666667"/>
    <x v="1"/>
    <s v="Maintain Stock"/>
  </r>
  <r>
    <n v="469"/>
    <s v="Product_64"/>
    <x v="2"/>
    <x v="2"/>
    <n v="89"/>
    <n v="184"/>
    <n v="189"/>
    <n v="2279.66"/>
    <n v="1815.82"/>
    <n v="55"/>
    <n v="13"/>
    <s v="2026-01-23"/>
    <n v="44"/>
    <n v="4"/>
    <n v="40"/>
    <s v="No"/>
    <x v="2"/>
    <n v="-5"/>
    <n v="2.0674157303370788"/>
    <x v="1"/>
    <s v="Maintain Stock"/>
  </r>
  <r>
    <n v="470"/>
    <s v="Product_63"/>
    <x v="3"/>
    <x v="2"/>
    <n v="352"/>
    <n v="190"/>
    <n v="236"/>
    <n v="3150.78"/>
    <n v="1633.17"/>
    <n v="137"/>
    <n v="9"/>
    <s v="2026-03-25"/>
    <n v="138"/>
    <n v="5"/>
    <n v="2"/>
    <s v="No"/>
    <x v="0"/>
    <n v="-46"/>
    <n v="0.53977272727272729"/>
    <x v="0"/>
    <s v="Monitor Sales"/>
  </r>
  <r>
    <n v="471"/>
    <s v="Product_11"/>
    <x v="3"/>
    <x v="3"/>
    <n v="189"/>
    <n v="251"/>
    <n v="297"/>
    <n v="2498.17"/>
    <n v="1348.58"/>
    <n v="58"/>
    <n v="9"/>
    <s v="2026-03-04"/>
    <n v="334"/>
    <n v="2"/>
    <n v="1"/>
    <s v="No"/>
    <x v="1"/>
    <n v="-46"/>
    <n v="1.3280423280423281"/>
    <x v="1"/>
    <s v="Maintain Stock"/>
  </r>
  <r>
    <n v="472"/>
    <s v="Product_29"/>
    <x v="0"/>
    <x v="2"/>
    <n v="477"/>
    <n v="239"/>
    <n v="265"/>
    <n v="1307.79"/>
    <n v="996.4"/>
    <n v="61"/>
    <n v="15"/>
    <s v="2026-01-06"/>
    <n v="242"/>
    <n v="2"/>
    <n v="15"/>
    <s v="Yes"/>
    <x v="1"/>
    <n v="-26"/>
    <n v="0.50104821802935007"/>
    <x v="0"/>
    <s v="Monitor Sales"/>
  </r>
  <r>
    <n v="473"/>
    <s v="Product_90"/>
    <x v="3"/>
    <x v="3"/>
    <n v="132"/>
    <n v="61"/>
    <n v="35"/>
    <n v="4550.07"/>
    <n v="3341.41"/>
    <n v="30"/>
    <n v="11"/>
    <s v="2026-03-24"/>
    <n v="49"/>
    <n v="4"/>
    <n v="15"/>
    <s v="Yes"/>
    <x v="1"/>
    <n v="26"/>
    <n v="0.4621212121212121"/>
    <x v="2"/>
    <s v="Apply Discount / Promotion"/>
  </r>
  <r>
    <n v="474"/>
    <s v="Product_64"/>
    <x v="4"/>
    <x v="2"/>
    <n v="173"/>
    <n v="25"/>
    <n v="67"/>
    <n v="1694.54"/>
    <n v="983.05"/>
    <n v="115"/>
    <n v="12"/>
    <s v="2026-01-11"/>
    <n v="41"/>
    <n v="3"/>
    <n v="10"/>
    <s v="No"/>
    <x v="2"/>
    <n v="-42"/>
    <n v="0.14450867052023122"/>
    <x v="2"/>
    <s v="Apply Discount / Promotion"/>
  </r>
  <r>
    <n v="475"/>
    <s v="Product_23"/>
    <x v="4"/>
    <x v="1"/>
    <n v="28"/>
    <n v="330"/>
    <n v="362"/>
    <n v="3576.62"/>
    <n v="2812.91"/>
    <n v="102"/>
    <n v="12"/>
    <s v="2026-02-16"/>
    <n v="176"/>
    <n v="5"/>
    <n v="13"/>
    <s v="No"/>
    <x v="2"/>
    <n v="-32"/>
    <n v="11.785714285714286"/>
    <x v="1"/>
    <s v="Maintain Stock"/>
  </r>
  <r>
    <n v="476"/>
    <s v="Product_1"/>
    <x v="4"/>
    <x v="2"/>
    <n v="352"/>
    <n v="352"/>
    <n v="336"/>
    <n v="4258.8599999999997"/>
    <n v="2493.66"/>
    <n v="87"/>
    <n v="10"/>
    <s v="2026-02-14"/>
    <n v="248"/>
    <n v="2"/>
    <n v="32"/>
    <s v="No"/>
    <x v="0"/>
    <n v="16"/>
    <n v="1"/>
    <x v="1"/>
    <s v="Maintain Stock"/>
  </r>
  <r>
    <n v="477"/>
    <s v="Product_73"/>
    <x v="0"/>
    <x v="2"/>
    <n v="323"/>
    <n v="168"/>
    <n v="166"/>
    <n v="1141.6099999999999"/>
    <n v="812.2"/>
    <n v="33"/>
    <n v="2"/>
    <s v="2026-01-03"/>
    <n v="103"/>
    <n v="2"/>
    <n v="40"/>
    <s v="No"/>
    <x v="2"/>
    <n v="2"/>
    <n v="0.52012383900928794"/>
    <x v="0"/>
    <s v="Monitor Sales"/>
  </r>
  <r>
    <n v="478"/>
    <s v="Product_31"/>
    <x v="3"/>
    <x v="1"/>
    <n v="106"/>
    <n v="236"/>
    <n v="277"/>
    <n v="3490.07"/>
    <n v="2325.11"/>
    <n v="57"/>
    <n v="6"/>
    <s v="2026-02-23"/>
    <n v="89"/>
    <n v="2"/>
    <n v="33"/>
    <s v="Yes"/>
    <x v="1"/>
    <n v="-41"/>
    <n v="2.2264150943396226"/>
    <x v="1"/>
    <s v="Maintain Stock"/>
  </r>
  <r>
    <n v="479"/>
    <s v="Product_100"/>
    <x v="3"/>
    <x v="3"/>
    <n v="162"/>
    <n v="152"/>
    <n v="116"/>
    <n v="2077.5500000000002"/>
    <n v="1463.04"/>
    <n v="112"/>
    <n v="5"/>
    <s v="2026-01-28"/>
    <n v="79"/>
    <n v="2"/>
    <n v="38"/>
    <s v="Yes"/>
    <x v="1"/>
    <n v="36"/>
    <n v="0.93827160493827155"/>
    <x v="0"/>
    <s v="Monitor Sales"/>
  </r>
  <r>
    <n v="480"/>
    <s v="Product_55"/>
    <x v="1"/>
    <x v="2"/>
    <n v="439"/>
    <n v="428"/>
    <n v="398"/>
    <n v="2914.05"/>
    <n v="1679"/>
    <n v="109"/>
    <n v="7"/>
    <s v="2026-01-05"/>
    <n v="110"/>
    <n v="1"/>
    <n v="3"/>
    <s v="No"/>
    <x v="0"/>
    <n v="30"/>
    <n v="0.97494305239179957"/>
    <x v="0"/>
    <s v="Monitor Sales"/>
  </r>
  <r>
    <n v="481"/>
    <s v="Product_80"/>
    <x v="2"/>
    <x v="0"/>
    <n v="488"/>
    <n v="317"/>
    <n v="344"/>
    <n v="4630.3500000000004"/>
    <n v="3237.5"/>
    <n v="131"/>
    <n v="2"/>
    <s v="2026-03-02"/>
    <n v="156"/>
    <n v="5"/>
    <n v="36"/>
    <s v="No"/>
    <x v="2"/>
    <n v="-27"/>
    <n v="0.64959016393442626"/>
    <x v="0"/>
    <s v="Monitor Sales"/>
  </r>
  <r>
    <n v="482"/>
    <s v="Product_61"/>
    <x v="1"/>
    <x v="1"/>
    <n v="340"/>
    <n v="423"/>
    <n v="395"/>
    <n v="2874.23"/>
    <n v="1460.79"/>
    <n v="60"/>
    <n v="14"/>
    <s v="2026-01-22"/>
    <n v="118"/>
    <n v="4"/>
    <n v="44"/>
    <s v="Yes"/>
    <x v="0"/>
    <n v="28"/>
    <n v="1.2441176470588236"/>
    <x v="1"/>
    <s v="Maintain Stock"/>
  </r>
  <r>
    <n v="483"/>
    <s v="Product_13"/>
    <x v="2"/>
    <x v="1"/>
    <n v="85"/>
    <n v="361"/>
    <n v="318"/>
    <n v="3236.8"/>
    <n v="2457"/>
    <n v="34"/>
    <n v="3"/>
    <s v="2026-02-26"/>
    <n v="146"/>
    <n v="5"/>
    <n v="38"/>
    <s v="Yes"/>
    <x v="2"/>
    <n v="43"/>
    <n v="4.2470588235294118"/>
    <x v="1"/>
    <s v="Maintain Stock"/>
  </r>
  <r>
    <n v="484"/>
    <s v="Product_22"/>
    <x v="2"/>
    <x v="0"/>
    <n v="409"/>
    <n v="150"/>
    <n v="114"/>
    <n v="2171.8200000000002"/>
    <n v="1697.11"/>
    <n v="147"/>
    <n v="5"/>
    <s v="2026-01-14"/>
    <n v="283"/>
    <n v="4"/>
    <n v="14"/>
    <s v="No"/>
    <x v="0"/>
    <n v="36"/>
    <n v="0.36674816625916873"/>
    <x v="2"/>
    <s v="Apply Discount / Promotion"/>
  </r>
  <r>
    <n v="485"/>
    <s v="Product_37"/>
    <x v="4"/>
    <x v="0"/>
    <n v="477"/>
    <n v="369"/>
    <n v="400"/>
    <n v="2978.71"/>
    <n v="1957.48"/>
    <n v="37"/>
    <n v="12"/>
    <s v="2026-02-23"/>
    <n v="272"/>
    <n v="1"/>
    <n v="47"/>
    <s v="No"/>
    <x v="2"/>
    <n v="-31"/>
    <n v="0.77358490566037741"/>
    <x v="0"/>
    <s v="Monitor Sales"/>
  </r>
  <r>
    <n v="486"/>
    <s v="Product_42"/>
    <x v="3"/>
    <x v="1"/>
    <n v="42"/>
    <n v="156"/>
    <n v="129"/>
    <n v="2244.7600000000002"/>
    <n v="1407.64"/>
    <n v="150"/>
    <n v="12"/>
    <s v="2026-02-05"/>
    <n v="150"/>
    <n v="5"/>
    <n v="37"/>
    <s v="No"/>
    <x v="1"/>
    <n v="27"/>
    <n v="3.7142857142857144"/>
    <x v="1"/>
    <s v="Maintain Stock"/>
  </r>
  <r>
    <n v="487"/>
    <s v="Product_36"/>
    <x v="0"/>
    <x v="3"/>
    <n v="500"/>
    <n v="151"/>
    <n v="137"/>
    <n v="3525.15"/>
    <n v="2043.26"/>
    <n v="146"/>
    <n v="5"/>
    <s v="2026-01-25"/>
    <n v="357"/>
    <n v="4"/>
    <n v="35"/>
    <s v="No"/>
    <x v="2"/>
    <n v="14"/>
    <n v="0.30199999999999999"/>
    <x v="2"/>
    <s v="Apply Discount / Promotion"/>
  </r>
  <r>
    <n v="488"/>
    <s v="Product_28"/>
    <x v="1"/>
    <x v="3"/>
    <n v="82"/>
    <n v="105"/>
    <n v="127"/>
    <n v="1086.3699999999999"/>
    <n v="649.70000000000005"/>
    <n v="49"/>
    <n v="13"/>
    <s v="2026-03-10"/>
    <n v="50"/>
    <n v="1"/>
    <n v="49"/>
    <s v="Yes"/>
    <x v="0"/>
    <n v="-22"/>
    <n v="1.2804878048780488"/>
    <x v="1"/>
    <s v="Maintain Stock"/>
  </r>
  <r>
    <n v="489"/>
    <s v="Product_70"/>
    <x v="0"/>
    <x v="3"/>
    <n v="439"/>
    <n v="86"/>
    <n v="55"/>
    <n v="2288.25"/>
    <n v="1544.33"/>
    <n v="46"/>
    <n v="7"/>
    <s v="2026-03-18"/>
    <n v="49"/>
    <n v="4"/>
    <n v="3"/>
    <s v="No"/>
    <x v="2"/>
    <n v="31"/>
    <n v="0.1958997722095672"/>
    <x v="2"/>
    <s v="Apply Discount / Promotion"/>
  </r>
  <r>
    <n v="490"/>
    <s v="Product_38"/>
    <x v="2"/>
    <x v="2"/>
    <n v="221"/>
    <n v="265"/>
    <n v="230"/>
    <n v="1272.25"/>
    <n v="918.36"/>
    <n v="89"/>
    <n v="9"/>
    <s v="2026-02-12"/>
    <n v="93"/>
    <n v="5"/>
    <n v="11"/>
    <s v="No"/>
    <x v="2"/>
    <n v="35"/>
    <n v="1.1990950226244343"/>
    <x v="1"/>
    <s v="Maintain Stock"/>
  </r>
  <r>
    <n v="491"/>
    <s v="Product_13"/>
    <x v="3"/>
    <x v="3"/>
    <n v="91"/>
    <n v="325"/>
    <n v="282"/>
    <n v="2574.64"/>
    <n v="2050.35"/>
    <n v="117"/>
    <n v="12"/>
    <s v="2026-03-10"/>
    <n v="212"/>
    <n v="4"/>
    <n v="40"/>
    <s v="No"/>
    <x v="0"/>
    <n v="43"/>
    <n v="3.5714285714285716"/>
    <x v="1"/>
    <s v="Maintain Stock"/>
  </r>
  <r>
    <n v="492"/>
    <s v="Product_13"/>
    <x v="2"/>
    <x v="0"/>
    <n v="255"/>
    <n v="150"/>
    <n v="101"/>
    <n v="4217.78"/>
    <n v="2137.0100000000002"/>
    <n v="51"/>
    <n v="10"/>
    <s v="2026-02-20"/>
    <n v="127"/>
    <n v="2"/>
    <n v="49"/>
    <s v="Yes"/>
    <x v="2"/>
    <n v="49"/>
    <n v="0.58823529411764708"/>
    <x v="0"/>
    <s v="Monitor Sales"/>
  </r>
  <r>
    <n v="493"/>
    <s v="Product_48"/>
    <x v="2"/>
    <x v="1"/>
    <n v="393"/>
    <n v="255"/>
    <n v="219"/>
    <n v="2854.39"/>
    <n v="2270.0700000000002"/>
    <n v="142"/>
    <n v="14"/>
    <s v="2026-03-16"/>
    <n v="284"/>
    <n v="4"/>
    <n v="1"/>
    <s v="Yes"/>
    <x v="1"/>
    <n v="36"/>
    <n v="0.64885496183206104"/>
    <x v="0"/>
    <s v="Monitor Sales"/>
  </r>
  <r>
    <n v="494"/>
    <s v="Product_7"/>
    <x v="4"/>
    <x v="0"/>
    <n v="449"/>
    <n v="126"/>
    <n v="79"/>
    <n v="3422.96"/>
    <n v="1726.16"/>
    <n v="100"/>
    <n v="1"/>
    <s v="2026-01-21"/>
    <n v="240"/>
    <n v="1"/>
    <n v="2"/>
    <s v="Yes"/>
    <x v="2"/>
    <n v="47"/>
    <n v="0.28062360801781738"/>
    <x v="2"/>
    <s v="Apply Discount / Promotion"/>
  </r>
  <r>
    <n v="495"/>
    <s v="Product_17"/>
    <x v="2"/>
    <x v="0"/>
    <n v="448"/>
    <n v="87"/>
    <n v="90"/>
    <n v="3647.24"/>
    <n v="2471.42"/>
    <n v="121"/>
    <n v="15"/>
    <s v="2026-02-02"/>
    <n v="55"/>
    <n v="1"/>
    <n v="49"/>
    <s v="No"/>
    <x v="2"/>
    <n v="-3"/>
    <n v="0.19419642857142858"/>
    <x v="2"/>
    <s v="Apply Discount / Promotion"/>
  </r>
  <r>
    <n v="496"/>
    <s v="Product_60"/>
    <x v="0"/>
    <x v="2"/>
    <n v="446"/>
    <n v="384"/>
    <n v="356"/>
    <n v="1854.33"/>
    <n v="1298.42"/>
    <n v="145"/>
    <n v="7"/>
    <s v="2026-02-09"/>
    <n v="229"/>
    <n v="2"/>
    <n v="2"/>
    <s v="No"/>
    <x v="1"/>
    <n v="28"/>
    <n v="0.86098654708520184"/>
    <x v="0"/>
    <s v="Monitor Sales"/>
  </r>
  <r>
    <n v="497"/>
    <s v="Product_89"/>
    <x v="1"/>
    <x v="3"/>
    <n v="333"/>
    <n v="381"/>
    <n v="344"/>
    <n v="1939.17"/>
    <n v="1449.46"/>
    <n v="138"/>
    <n v="4"/>
    <s v="2026-02-24"/>
    <n v="321"/>
    <n v="5"/>
    <n v="37"/>
    <s v="Yes"/>
    <x v="2"/>
    <n v="37"/>
    <n v="1.1441441441441442"/>
    <x v="1"/>
    <s v="Maintain Stock"/>
  </r>
  <r>
    <n v="498"/>
    <s v="Product_87"/>
    <x v="0"/>
    <x v="1"/>
    <n v="194"/>
    <n v="335"/>
    <n v="331"/>
    <n v="1679.52"/>
    <n v="1291.94"/>
    <n v="48"/>
    <n v="10"/>
    <s v="2026-03-20"/>
    <n v="275"/>
    <n v="4"/>
    <n v="7"/>
    <s v="Yes"/>
    <x v="2"/>
    <n v="4"/>
    <n v="1.7268041237113403"/>
    <x v="1"/>
    <s v="Maintain Stock"/>
  </r>
  <r>
    <n v="499"/>
    <s v="Product_93"/>
    <x v="3"/>
    <x v="1"/>
    <n v="131"/>
    <n v="350"/>
    <n v="369"/>
    <n v="705.55"/>
    <n v="447.66"/>
    <n v="68"/>
    <n v="14"/>
    <s v="2026-02-27"/>
    <n v="184"/>
    <n v="5"/>
    <n v="28"/>
    <s v="Yes"/>
    <x v="0"/>
    <n v="-19"/>
    <n v="2.6717557251908395"/>
    <x v="1"/>
    <s v="Maintain Stock"/>
  </r>
  <r>
    <n v="500"/>
    <s v="Product_35"/>
    <x v="0"/>
    <x v="1"/>
    <n v="415"/>
    <n v="277"/>
    <n v="309"/>
    <n v="3038.42"/>
    <n v="2065.94"/>
    <n v="72"/>
    <n v="1"/>
    <s v="2026-02-04"/>
    <n v="94"/>
    <n v="4"/>
    <n v="28"/>
    <s v="No"/>
    <x v="1"/>
    <n v="-32"/>
    <n v="0.66746987951807224"/>
    <x v="0"/>
    <s v="Monitor Sales"/>
  </r>
  <r>
    <n v="501"/>
    <s v="Product_57"/>
    <x v="1"/>
    <x v="3"/>
    <n v="428"/>
    <n v="213"/>
    <n v="243"/>
    <n v="377.24"/>
    <n v="236.14"/>
    <n v="78"/>
    <n v="2"/>
    <s v="2026-01-08"/>
    <n v="307"/>
    <n v="1"/>
    <n v="43"/>
    <s v="No"/>
    <x v="1"/>
    <n v="-30"/>
    <n v="0.49766355140186919"/>
    <x v="2"/>
    <s v="Apply Discount / Promotion"/>
  </r>
  <r>
    <n v="502"/>
    <s v="Product_14"/>
    <x v="0"/>
    <x v="3"/>
    <n v="50"/>
    <n v="287"/>
    <n v="323"/>
    <n v="1271.03"/>
    <n v="843.28"/>
    <n v="101"/>
    <n v="4"/>
    <s v="2026-02-23"/>
    <n v="234"/>
    <n v="4"/>
    <n v="25"/>
    <s v="No"/>
    <x v="1"/>
    <n v="-36"/>
    <n v="5.74"/>
    <x v="1"/>
    <s v="Maintain Stock"/>
  </r>
  <r>
    <n v="503"/>
    <s v="Product_69"/>
    <x v="4"/>
    <x v="2"/>
    <n v="230"/>
    <n v="346"/>
    <n v="318"/>
    <n v="740.54"/>
    <n v="472.01"/>
    <n v="118"/>
    <n v="11"/>
    <s v="2026-02-07"/>
    <n v="59"/>
    <n v="1"/>
    <n v="31"/>
    <s v="Yes"/>
    <x v="2"/>
    <n v="28"/>
    <n v="1.5043478260869565"/>
    <x v="1"/>
    <s v="Maintain Stock"/>
  </r>
  <r>
    <n v="504"/>
    <s v="Product_24"/>
    <x v="2"/>
    <x v="1"/>
    <n v="186"/>
    <n v="301"/>
    <n v="260"/>
    <n v="2124.5"/>
    <n v="1336.28"/>
    <n v="79"/>
    <n v="7"/>
    <s v="2026-01-08"/>
    <n v="268"/>
    <n v="3"/>
    <n v="28"/>
    <s v="Yes"/>
    <x v="0"/>
    <n v="41"/>
    <n v="1.618279569892473"/>
    <x v="1"/>
    <s v="Maintain Stock"/>
  </r>
  <r>
    <n v="505"/>
    <s v="Product_39"/>
    <x v="0"/>
    <x v="2"/>
    <n v="138"/>
    <n v="250"/>
    <n v="297"/>
    <n v="2616.0500000000002"/>
    <n v="1420.3"/>
    <n v="144"/>
    <n v="4"/>
    <s v="2026-01-07"/>
    <n v="131"/>
    <n v="2"/>
    <n v="16"/>
    <s v="No"/>
    <x v="1"/>
    <n v="-47"/>
    <n v="1.8115942028985508"/>
    <x v="1"/>
    <s v="Maintain Stock"/>
  </r>
  <r>
    <n v="506"/>
    <s v="Product_27"/>
    <x v="2"/>
    <x v="0"/>
    <n v="194"/>
    <n v="432"/>
    <n v="388"/>
    <n v="4815.0600000000004"/>
    <n v="3563.2"/>
    <n v="106"/>
    <n v="10"/>
    <s v="2026-01-02"/>
    <n v="248"/>
    <n v="3"/>
    <n v="9"/>
    <s v="Yes"/>
    <x v="1"/>
    <n v="44"/>
    <n v="2.2268041237113403"/>
    <x v="1"/>
    <s v="Maintain Stock"/>
  </r>
  <r>
    <n v="507"/>
    <s v="Product_49"/>
    <x v="1"/>
    <x v="2"/>
    <n v="434"/>
    <n v="207"/>
    <n v="233"/>
    <n v="3175.12"/>
    <n v="1643.13"/>
    <n v="76"/>
    <n v="7"/>
    <s v="2026-03-21"/>
    <n v="271"/>
    <n v="2"/>
    <n v="36"/>
    <s v="Yes"/>
    <x v="2"/>
    <n v="-26"/>
    <n v="0.47695852534562211"/>
    <x v="2"/>
    <s v="Apply Discount / Promotion"/>
  </r>
  <r>
    <n v="508"/>
    <s v="Product_5"/>
    <x v="3"/>
    <x v="3"/>
    <n v="296"/>
    <n v="282"/>
    <n v="234"/>
    <n v="1565.81"/>
    <n v="1020.51"/>
    <n v="77"/>
    <n v="5"/>
    <s v="2026-03-09"/>
    <n v="178"/>
    <n v="3"/>
    <n v="8"/>
    <s v="No"/>
    <x v="0"/>
    <n v="48"/>
    <n v="0.95270270270270274"/>
    <x v="0"/>
    <s v="Monitor Sales"/>
  </r>
  <r>
    <n v="509"/>
    <s v="Product_81"/>
    <x v="2"/>
    <x v="3"/>
    <n v="212"/>
    <n v="49"/>
    <n v="45"/>
    <n v="1293.83"/>
    <n v="852.93"/>
    <n v="118"/>
    <n v="7"/>
    <s v="2026-02-19"/>
    <n v="33"/>
    <n v="4"/>
    <n v="40"/>
    <s v="No"/>
    <x v="2"/>
    <n v="4"/>
    <n v="0.23113207547169812"/>
    <x v="2"/>
    <s v="Apply Discount / Promotion"/>
  </r>
  <r>
    <n v="510"/>
    <s v="Product_3"/>
    <x v="1"/>
    <x v="0"/>
    <n v="246"/>
    <n v="130"/>
    <n v="176"/>
    <n v="3776.72"/>
    <n v="2975.54"/>
    <n v="138"/>
    <n v="3"/>
    <s v="2026-03-05"/>
    <n v="198"/>
    <n v="5"/>
    <n v="5"/>
    <s v="No"/>
    <x v="2"/>
    <n v="-46"/>
    <n v="0.52845528455284552"/>
    <x v="0"/>
    <s v="Monitor Sales"/>
  </r>
  <r>
    <n v="511"/>
    <s v="Product_71"/>
    <x v="2"/>
    <x v="3"/>
    <n v="124"/>
    <n v="47"/>
    <n v="38"/>
    <n v="3486.9"/>
    <n v="2392.7600000000002"/>
    <n v="32"/>
    <n v="7"/>
    <s v="2026-01-22"/>
    <n v="123"/>
    <n v="4"/>
    <n v="22"/>
    <s v="No"/>
    <x v="1"/>
    <n v="9"/>
    <n v="0.37903225806451613"/>
    <x v="2"/>
    <s v="Apply Discount / Promotion"/>
  </r>
  <r>
    <n v="512"/>
    <s v="Product_76"/>
    <x v="3"/>
    <x v="1"/>
    <n v="122"/>
    <n v="299"/>
    <n v="287"/>
    <n v="202.53"/>
    <n v="101.64"/>
    <n v="104"/>
    <n v="14"/>
    <s v="2026-03-07"/>
    <n v="265"/>
    <n v="2"/>
    <n v="13"/>
    <s v="Yes"/>
    <x v="1"/>
    <n v="12"/>
    <n v="2.4508196721311477"/>
    <x v="1"/>
    <s v="Maintain Stock"/>
  </r>
  <r>
    <n v="513"/>
    <s v="Product_92"/>
    <x v="0"/>
    <x v="2"/>
    <n v="94"/>
    <n v="316"/>
    <n v="279"/>
    <n v="3213.51"/>
    <n v="2044.29"/>
    <n v="65"/>
    <n v="2"/>
    <s v="2026-01-27"/>
    <n v="61"/>
    <n v="1"/>
    <n v="34"/>
    <s v="Yes"/>
    <x v="1"/>
    <n v="37"/>
    <n v="3.3617021276595747"/>
    <x v="1"/>
    <s v="Maintain Stock"/>
  </r>
  <r>
    <n v="514"/>
    <s v="Product_73"/>
    <x v="4"/>
    <x v="1"/>
    <n v="455"/>
    <n v="405"/>
    <n v="381"/>
    <n v="3957.74"/>
    <n v="2744.71"/>
    <n v="133"/>
    <n v="7"/>
    <s v="2026-03-28"/>
    <n v="112"/>
    <n v="2"/>
    <n v="3"/>
    <s v="No"/>
    <x v="1"/>
    <n v="24"/>
    <n v="0.89010989010989006"/>
    <x v="0"/>
    <s v="Monitor Sales"/>
  </r>
  <r>
    <n v="515"/>
    <s v="Product_55"/>
    <x v="1"/>
    <x v="2"/>
    <n v="408"/>
    <n v="220"/>
    <n v="198"/>
    <n v="970.2"/>
    <n v="701.2"/>
    <n v="134"/>
    <n v="5"/>
    <s v="2026-01-29"/>
    <n v="42"/>
    <n v="1"/>
    <n v="9"/>
    <s v="Yes"/>
    <x v="0"/>
    <n v="22"/>
    <n v="0.53921568627450978"/>
    <x v="0"/>
    <s v="Monitor Sales"/>
  </r>
  <r>
    <n v="516"/>
    <s v="Product_87"/>
    <x v="0"/>
    <x v="0"/>
    <n v="485"/>
    <n v="414"/>
    <n v="400"/>
    <n v="3782.36"/>
    <n v="1895.98"/>
    <n v="71"/>
    <n v="9"/>
    <s v="2026-01-24"/>
    <n v="162"/>
    <n v="3"/>
    <n v="10"/>
    <s v="Yes"/>
    <x v="0"/>
    <n v="14"/>
    <n v="0.85360824742268038"/>
    <x v="0"/>
    <s v="Monitor Sales"/>
  </r>
  <r>
    <n v="517"/>
    <s v="Product_15"/>
    <x v="1"/>
    <x v="2"/>
    <n v="207"/>
    <n v="159"/>
    <n v="159"/>
    <n v="2816.01"/>
    <n v="1992.27"/>
    <n v="134"/>
    <n v="13"/>
    <s v="2026-01-30"/>
    <n v="192"/>
    <n v="5"/>
    <n v="7"/>
    <s v="Yes"/>
    <x v="1"/>
    <n v="0"/>
    <n v="0.76811594202898548"/>
    <x v="0"/>
    <s v="Monitor Sales"/>
  </r>
  <r>
    <n v="518"/>
    <s v="Product_44"/>
    <x v="0"/>
    <x v="1"/>
    <n v="297"/>
    <n v="231"/>
    <n v="278"/>
    <n v="692.78"/>
    <n v="500.93"/>
    <n v="97"/>
    <n v="14"/>
    <s v="2026-03-19"/>
    <n v="233"/>
    <n v="4"/>
    <n v="30"/>
    <s v="Yes"/>
    <x v="1"/>
    <n v="-47"/>
    <n v="0.77777777777777779"/>
    <x v="0"/>
    <s v="Monitor Sales"/>
  </r>
  <r>
    <n v="519"/>
    <s v="Product_93"/>
    <x v="0"/>
    <x v="2"/>
    <n v="106"/>
    <n v="372"/>
    <n v="356"/>
    <n v="699.44"/>
    <n v="513.75"/>
    <n v="76"/>
    <n v="13"/>
    <s v="2026-01-06"/>
    <n v="365"/>
    <n v="4"/>
    <n v="6"/>
    <s v="Yes"/>
    <x v="0"/>
    <n v="16"/>
    <n v="3.5094339622641511"/>
    <x v="1"/>
    <s v="Maintain Stock"/>
  </r>
  <r>
    <n v="520"/>
    <s v="Product_2"/>
    <x v="0"/>
    <x v="2"/>
    <n v="424"/>
    <n v="255"/>
    <n v="242"/>
    <n v="1746.42"/>
    <n v="1354.81"/>
    <n v="124"/>
    <n v="5"/>
    <s v="2026-03-14"/>
    <n v="212"/>
    <n v="4"/>
    <n v="34"/>
    <s v="No"/>
    <x v="0"/>
    <n v="13"/>
    <n v="0.60141509433962259"/>
    <x v="0"/>
    <s v="Monitor Sales"/>
  </r>
  <r>
    <n v="521"/>
    <s v="Product_34"/>
    <x v="4"/>
    <x v="1"/>
    <n v="208"/>
    <n v="238"/>
    <n v="235"/>
    <n v="4016.91"/>
    <n v="2974.57"/>
    <n v="64"/>
    <n v="15"/>
    <s v="2026-01-02"/>
    <n v="242"/>
    <n v="1"/>
    <n v="7"/>
    <s v="Yes"/>
    <x v="2"/>
    <n v="3"/>
    <n v="1.1442307692307692"/>
    <x v="1"/>
    <s v="Maintain Stock"/>
  </r>
  <r>
    <n v="522"/>
    <s v="Product_74"/>
    <x v="2"/>
    <x v="2"/>
    <n v="292"/>
    <n v="183"/>
    <n v="198"/>
    <n v="3440.7"/>
    <n v="1908.15"/>
    <n v="114"/>
    <n v="14"/>
    <s v="2026-03-18"/>
    <n v="39"/>
    <n v="4"/>
    <n v="28"/>
    <s v="No"/>
    <x v="2"/>
    <n v="-15"/>
    <n v="0.62671232876712324"/>
    <x v="0"/>
    <s v="Monitor Sales"/>
  </r>
  <r>
    <n v="523"/>
    <s v="Product_43"/>
    <x v="1"/>
    <x v="2"/>
    <n v="428"/>
    <n v="0"/>
    <n v="14"/>
    <n v="3316.19"/>
    <n v="2326.77"/>
    <n v="61"/>
    <n v="13"/>
    <s v="2026-03-14"/>
    <n v="59"/>
    <n v="3"/>
    <n v="27"/>
    <s v="Yes"/>
    <x v="1"/>
    <n v="-14"/>
    <n v="0"/>
    <x v="2"/>
    <s v="Apply Discount / Promotion"/>
  </r>
  <r>
    <n v="524"/>
    <s v="Product_86"/>
    <x v="2"/>
    <x v="2"/>
    <n v="364"/>
    <n v="141"/>
    <n v="102"/>
    <n v="2647.47"/>
    <n v="1920.64"/>
    <n v="136"/>
    <n v="6"/>
    <s v="2026-01-01"/>
    <n v="115"/>
    <n v="4"/>
    <n v="40"/>
    <s v="Yes"/>
    <x v="1"/>
    <n v="39"/>
    <n v="0.38736263736263737"/>
    <x v="2"/>
    <s v="Apply Discount / Promotion"/>
  </r>
  <r>
    <n v="525"/>
    <s v="Product_3"/>
    <x v="0"/>
    <x v="2"/>
    <n v="47"/>
    <n v="388"/>
    <n v="349"/>
    <n v="4672.2299999999996"/>
    <n v="2586.25"/>
    <n v="58"/>
    <n v="15"/>
    <s v="2026-03-02"/>
    <n v="223"/>
    <n v="5"/>
    <n v="30"/>
    <s v="No"/>
    <x v="1"/>
    <n v="39"/>
    <n v="8.2553191489361701"/>
    <x v="1"/>
    <s v="Maintain Stock"/>
  </r>
  <r>
    <n v="526"/>
    <s v="Product_29"/>
    <x v="0"/>
    <x v="1"/>
    <n v="167"/>
    <n v="183"/>
    <n v="233"/>
    <n v="4141.29"/>
    <n v="3018.16"/>
    <n v="99"/>
    <n v="8"/>
    <s v="2026-01-14"/>
    <n v="255"/>
    <n v="1"/>
    <n v="25"/>
    <s v="No"/>
    <x v="0"/>
    <n v="-50"/>
    <n v="1.095808383233533"/>
    <x v="1"/>
    <s v="Maintain Stock"/>
  </r>
  <r>
    <n v="527"/>
    <s v="Product_43"/>
    <x v="4"/>
    <x v="0"/>
    <n v="310"/>
    <n v="140"/>
    <n v="165"/>
    <n v="1333.08"/>
    <n v="864.76"/>
    <n v="36"/>
    <n v="1"/>
    <s v="2026-02-05"/>
    <n v="39"/>
    <n v="3"/>
    <n v="22"/>
    <s v="No"/>
    <x v="1"/>
    <n v="-25"/>
    <n v="0.45161290322580644"/>
    <x v="2"/>
    <s v="Apply Discount / Promotion"/>
  </r>
  <r>
    <n v="528"/>
    <s v="Product_39"/>
    <x v="1"/>
    <x v="1"/>
    <n v="233"/>
    <n v="226"/>
    <n v="250"/>
    <n v="4739.92"/>
    <n v="3037.65"/>
    <n v="88"/>
    <n v="3"/>
    <s v="2026-02-24"/>
    <n v="101"/>
    <n v="1"/>
    <n v="47"/>
    <s v="No"/>
    <x v="2"/>
    <n v="-24"/>
    <n v="0.96995708154506433"/>
    <x v="0"/>
    <s v="Monitor Sales"/>
  </r>
  <r>
    <n v="529"/>
    <s v="Product_79"/>
    <x v="0"/>
    <x v="2"/>
    <n v="275"/>
    <n v="149"/>
    <n v="184"/>
    <n v="593.24"/>
    <n v="426.26"/>
    <n v="48"/>
    <n v="1"/>
    <s v="2026-01-06"/>
    <n v="259"/>
    <n v="5"/>
    <n v="4"/>
    <s v="No"/>
    <x v="2"/>
    <n v="-35"/>
    <n v="0.54181818181818187"/>
    <x v="0"/>
    <s v="Monitor Sales"/>
  </r>
  <r>
    <n v="530"/>
    <s v="Product_70"/>
    <x v="0"/>
    <x v="0"/>
    <n v="133"/>
    <n v="283"/>
    <n v="253"/>
    <n v="3728.17"/>
    <n v="2404.27"/>
    <n v="54"/>
    <n v="6"/>
    <s v="2026-03-09"/>
    <n v="150"/>
    <n v="1"/>
    <n v="31"/>
    <s v="Yes"/>
    <x v="2"/>
    <n v="30"/>
    <n v="2.1278195488721803"/>
    <x v="1"/>
    <s v="Maintain Stock"/>
  </r>
  <r>
    <n v="531"/>
    <s v="Product_62"/>
    <x v="2"/>
    <x v="1"/>
    <n v="111"/>
    <n v="261"/>
    <n v="214"/>
    <n v="1773.74"/>
    <n v="1309.6300000000001"/>
    <n v="105"/>
    <n v="14"/>
    <s v="2026-02-06"/>
    <n v="347"/>
    <n v="1"/>
    <n v="13"/>
    <s v="No"/>
    <x v="1"/>
    <n v="47"/>
    <n v="2.3513513513513513"/>
    <x v="1"/>
    <s v="Maintain Stock"/>
  </r>
  <r>
    <n v="532"/>
    <s v="Product_100"/>
    <x v="0"/>
    <x v="0"/>
    <n v="351"/>
    <n v="214"/>
    <n v="168"/>
    <n v="3981.96"/>
    <n v="2769.57"/>
    <n v="122"/>
    <n v="14"/>
    <s v="2026-03-14"/>
    <n v="324"/>
    <n v="5"/>
    <n v="22"/>
    <s v="Yes"/>
    <x v="0"/>
    <n v="46"/>
    <n v="0.6096866096866097"/>
    <x v="0"/>
    <s v="Monitor Sales"/>
  </r>
  <r>
    <n v="533"/>
    <s v="Product_12"/>
    <x v="1"/>
    <x v="0"/>
    <n v="208"/>
    <n v="165"/>
    <n v="159"/>
    <n v="1173.49"/>
    <n v="698.01"/>
    <n v="78"/>
    <n v="1"/>
    <s v="2026-02-20"/>
    <n v="98"/>
    <n v="5"/>
    <n v="26"/>
    <s v="Yes"/>
    <x v="2"/>
    <n v="6"/>
    <n v="0.79326923076923073"/>
    <x v="0"/>
    <s v="Monitor Sales"/>
  </r>
  <r>
    <n v="534"/>
    <s v="Product_91"/>
    <x v="2"/>
    <x v="1"/>
    <n v="432"/>
    <n v="19"/>
    <n v="28"/>
    <n v="1335.53"/>
    <n v="955.35"/>
    <n v="48"/>
    <n v="14"/>
    <s v="2026-03-23"/>
    <n v="279"/>
    <n v="2"/>
    <n v="0"/>
    <s v="No"/>
    <x v="2"/>
    <n v="-9"/>
    <n v="4.3981481481481483E-2"/>
    <x v="2"/>
    <s v="Apply Discount / Promotion"/>
  </r>
  <r>
    <n v="535"/>
    <s v="Product_76"/>
    <x v="3"/>
    <x v="1"/>
    <n v="172"/>
    <n v="114"/>
    <n v="94"/>
    <n v="1301.73"/>
    <n v="1040.9000000000001"/>
    <n v="150"/>
    <n v="10"/>
    <s v="2026-01-03"/>
    <n v="75"/>
    <n v="5"/>
    <n v="35"/>
    <s v="No"/>
    <x v="1"/>
    <n v="20"/>
    <n v="0.66279069767441856"/>
    <x v="0"/>
    <s v="Monitor Sales"/>
  </r>
  <r>
    <n v="536"/>
    <s v="Product_66"/>
    <x v="3"/>
    <x v="0"/>
    <n v="447"/>
    <n v="39"/>
    <n v="33"/>
    <n v="1327.42"/>
    <n v="1024.1400000000001"/>
    <n v="102"/>
    <n v="15"/>
    <s v="2026-01-31"/>
    <n v="45"/>
    <n v="3"/>
    <n v="22"/>
    <s v="Yes"/>
    <x v="0"/>
    <n v="6"/>
    <n v="8.7248322147651006E-2"/>
    <x v="2"/>
    <s v="Apply Discount / Promotion"/>
  </r>
  <r>
    <n v="537"/>
    <s v="Product_36"/>
    <x v="2"/>
    <x v="0"/>
    <n v="104"/>
    <n v="205"/>
    <n v="245"/>
    <n v="3156.22"/>
    <n v="2407.31"/>
    <n v="141"/>
    <n v="6"/>
    <s v="2026-01-29"/>
    <n v="70"/>
    <n v="4"/>
    <n v="37"/>
    <s v="Yes"/>
    <x v="0"/>
    <n v="-40"/>
    <n v="1.9711538461538463"/>
    <x v="1"/>
    <s v="Maintain Stock"/>
  </r>
  <r>
    <n v="538"/>
    <s v="Product_97"/>
    <x v="3"/>
    <x v="1"/>
    <n v="32"/>
    <n v="168"/>
    <n v="170"/>
    <n v="3345.63"/>
    <n v="1820.37"/>
    <n v="96"/>
    <n v="6"/>
    <s v="2026-02-11"/>
    <n v="56"/>
    <n v="2"/>
    <n v="3"/>
    <s v="No"/>
    <x v="2"/>
    <n v="-2"/>
    <n v="5.25"/>
    <x v="1"/>
    <s v="Maintain Stock"/>
  </r>
  <r>
    <n v="539"/>
    <s v="Product_56"/>
    <x v="0"/>
    <x v="3"/>
    <n v="327"/>
    <n v="355"/>
    <n v="388"/>
    <n v="3655.48"/>
    <n v="1872.13"/>
    <n v="50"/>
    <n v="12"/>
    <s v="2026-01-12"/>
    <n v="335"/>
    <n v="2"/>
    <n v="17"/>
    <s v="Yes"/>
    <x v="1"/>
    <n v="-33"/>
    <n v="1.0856269113149848"/>
    <x v="1"/>
    <s v="Maintain Stock"/>
  </r>
  <r>
    <n v="540"/>
    <s v="Product_68"/>
    <x v="1"/>
    <x v="2"/>
    <n v="441"/>
    <n v="308"/>
    <n v="347"/>
    <n v="3861.44"/>
    <n v="3061.16"/>
    <n v="123"/>
    <n v="4"/>
    <s v="2026-01-15"/>
    <n v="132"/>
    <n v="1"/>
    <n v="29"/>
    <s v="Yes"/>
    <x v="0"/>
    <n v="-39"/>
    <n v="0.69841269841269837"/>
    <x v="0"/>
    <s v="Monitor Sales"/>
  </r>
  <r>
    <n v="541"/>
    <s v="Product_67"/>
    <x v="2"/>
    <x v="2"/>
    <n v="111"/>
    <n v="246"/>
    <n v="208"/>
    <n v="2442.5700000000002"/>
    <n v="1406.9"/>
    <n v="76"/>
    <n v="1"/>
    <s v="2026-01-30"/>
    <n v="50"/>
    <n v="5"/>
    <n v="17"/>
    <s v="No"/>
    <x v="1"/>
    <n v="38"/>
    <n v="2.2162162162162162"/>
    <x v="1"/>
    <s v="Maintain Stock"/>
  </r>
  <r>
    <n v="542"/>
    <s v="Product_16"/>
    <x v="1"/>
    <x v="3"/>
    <n v="243"/>
    <n v="228"/>
    <n v="197"/>
    <n v="3027.05"/>
    <n v="1786.41"/>
    <n v="81"/>
    <n v="6"/>
    <s v="2026-02-21"/>
    <n v="237"/>
    <n v="1"/>
    <n v="14"/>
    <s v="No"/>
    <x v="0"/>
    <n v="31"/>
    <n v="0.93827160493827155"/>
    <x v="0"/>
    <s v="Monitor Sales"/>
  </r>
  <r>
    <n v="543"/>
    <s v="Product_13"/>
    <x v="0"/>
    <x v="0"/>
    <n v="57"/>
    <n v="186"/>
    <n v="224"/>
    <n v="1566.74"/>
    <n v="883.8"/>
    <n v="100"/>
    <n v="1"/>
    <s v="2026-01-23"/>
    <n v="156"/>
    <n v="3"/>
    <n v="8"/>
    <s v="No"/>
    <x v="2"/>
    <n v="-38"/>
    <n v="3.263157894736842"/>
    <x v="1"/>
    <s v="Maintain Stock"/>
  </r>
  <r>
    <n v="544"/>
    <s v="Product_14"/>
    <x v="2"/>
    <x v="0"/>
    <n v="57"/>
    <n v="375"/>
    <n v="354"/>
    <n v="4177.3599999999997"/>
    <n v="2093.94"/>
    <n v="114"/>
    <n v="14"/>
    <s v="2026-03-03"/>
    <n v="68"/>
    <n v="5"/>
    <n v="21"/>
    <s v="No"/>
    <x v="1"/>
    <n v="21"/>
    <n v="6.5789473684210522"/>
    <x v="1"/>
    <s v="Maintain Stock"/>
  </r>
  <r>
    <n v="545"/>
    <s v="Product_21"/>
    <x v="0"/>
    <x v="3"/>
    <n v="231"/>
    <n v="221"/>
    <n v="266"/>
    <n v="482.37"/>
    <n v="260.48"/>
    <n v="108"/>
    <n v="5"/>
    <s v="2026-03-28"/>
    <n v="216"/>
    <n v="3"/>
    <n v="16"/>
    <s v="Yes"/>
    <x v="0"/>
    <n v="-45"/>
    <n v="0.95670995670995673"/>
    <x v="0"/>
    <s v="Monitor Sales"/>
  </r>
  <r>
    <n v="546"/>
    <s v="Product_44"/>
    <x v="0"/>
    <x v="0"/>
    <n v="225"/>
    <n v="267"/>
    <n v="261"/>
    <n v="2438.29"/>
    <n v="1556.36"/>
    <n v="51"/>
    <n v="9"/>
    <s v="2026-03-27"/>
    <n v="46"/>
    <n v="3"/>
    <n v="39"/>
    <s v="Yes"/>
    <x v="2"/>
    <n v="6"/>
    <n v="1.1866666666666668"/>
    <x v="1"/>
    <s v="Maintain Stock"/>
  </r>
  <r>
    <n v="547"/>
    <s v="Product_89"/>
    <x v="1"/>
    <x v="2"/>
    <n v="118"/>
    <n v="13"/>
    <n v="40"/>
    <n v="1827.16"/>
    <n v="1007.51"/>
    <n v="59"/>
    <n v="7"/>
    <s v="2026-01-20"/>
    <n v="228"/>
    <n v="2"/>
    <n v="34"/>
    <s v="No"/>
    <x v="2"/>
    <n v="-27"/>
    <n v="0.11016949152542373"/>
    <x v="2"/>
    <s v="Apply Discount / Promotion"/>
  </r>
  <r>
    <n v="548"/>
    <s v="Product_68"/>
    <x v="0"/>
    <x v="2"/>
    <n v="304"/>
    <n v="164"/>
    <n v="192"/>
    <n v="4200.1000000000004"/>
    <n v="3034.15"/>
    <n v="75"/>
    <n v="8"/>
    <s v="2026-01-30"/>
    <n v="311"/>
    <n v="1"/>
    <n v="12"/>
    <s v="No"/>
    <x v="2"/>
    <n v="-28"/>
    <n v="0.53947368421052633"/>
    <x v="0"/>
    <s v="Monitor Sales"/>
  </r>
  <r>
    <n v="549"/>
    <s v="Product_100"/>
    <x v="3"/>
    <x v="0"/>
    <n v="413"/>
    <n v="343"/>
    <n v="301"/>
    <n v="2691.36"/>
    <n v="1401.21"/>
    <n v="42"/>
    <n v="7"/>
    <s v="2026-01-21"/>
    <n v="239"/>
    <n v="4"/>
    <n v="23"/>
    <s v="No"/>
    <x v="1"/>
    <n v="42"/>
    <n v="0.83050847457627119"/>
    <x v="0"/>
    <s v="Monitor Sales"/>
  </r>
  <r>
    <n v="550"/>
    <s v="Product_39"/>
    <x v="2"/>
    <x v="3"/>
    <n v="63"/>
    <n v="103"/>
    <n v="140"/>
    <n v="4379.22"/>
    <n v="2759.35"/>
    <n v="46"/>
    <n v="2"/>
    <s v="2026-01-03"/>
    <n v="162"/>
    <n v="2"/>
    <n v="6"/>
    <s v="No"/>
    <x v="2"/>
    <n v="-37"/>
    <n v="1.6349206349206349"/>
    <x v="1"/>
    <s v="Maintain Stock"/>
  </r>
  <r>
    <n v="551"/>
    <s v="Product_20"/>
    <x v="1"/>
    <x v="1"/>
    <n v="347"/>
    <n v="197"/>
    <n v="165"/>
    <n v="2933.09"/>
    <n v="2047.36"/>
    <n v="77"/>
    <n v="11"/>
    <s v="2026-01-29"/>
    <n v="101"/>
    <n v="1"/>
    <n v="14"/>
    <s v="No"/>
    <x v="2"/>
    <n v="32"/>
    <n v="0.56772334293948123"/>
    <x v="0"/>
    <s v="Monitor Sales"/>
  </r>
  <r>
    <n v="552"/>
    <s v="Product_60"/>
    <x v="2"/>
    <x v="3"/>
    <n v="64"/>
    <n v="254"/>
    <n v="207"/>
    <n v="575.24"/>
    <n v="389.51"/>
    <n v="148"/>
    <n v="14"/>
    <s v="2025-12-30"/>
    <n v="172"/>
    <n v="1"/>
    <n v="43"/>
    <s v="No"/>
    <x v="0"/>
    <n v="47"/>
    <n v="3.96875"/>
    <x v="1"/>
    <s v="Maintain Stock"/>
  </r>
  <r>
    <n v="553"/>
    <s v="Product_4"/>
    <x v="1"/>
    <x v="2"/>
    <n v="436"/>
    <n v="344"/>
    <n v="295"/>
    <n v="1067.6400000000001"/>
    <n v="615.9"/>
    <n v="78"/>
    <n v="3"/>
    <s v="2026-03-07"/>
    <n v="100"/>
    <n v="5"/>
    <n v="44"/>
    <s v="Yes"/>
    <x v="2"/>
    <n v="49"/>
    <n v="0.78899082568807344"/>
    <x v="0"/>
    <s v="Monitor Sales"/>
  </r>
  <r>
    <n v="554"/>
    <s v="Product_48"/>
    <x v="3"/>
    <x v="0"/>
    <n v="209"/>
    <n v="290"/>
    <n v="262"/>
    <n v="1422.99"/>
    <n v="779.62"/>
    <n v="38"/>
    <n v="9"/>
    <s v="2026-03-28"/>
    <n v="196"/>
    <n v="5"/>
    <n v="0"/>
    <s v="Yes"/>
    <x v="0"/>
    <n v="28"/>
    <n v="1.3875598086124401"/>
    <x v="1"/>
    <s v="Maintain Stock"/>
  </r>
  <r>
    <n v="555"/>
    <s v="Product_43"/>
    <x v="2"/>
    <x v="1"/>
    <n v="412"/>
    <n v="142"/>
    <n v="150"/>
    <n v="481.86"/>
    <n v="325.47000000000003"/>
    <n v="111"/>
    <n v="7"/>
    <s v="2025-12-31"/>
    <n v="46"/>
    <n v="4"/>
    <n v="23"/>
    <s v="No"/>
    <x v="1"/>
    <n v="-8"/>
    <n v="0.3446601941747573"/>
    <x v="2"/>
    <s v="Apply Discount / Promotion"/>
  </r>
  <r>
    <n v="556"/>
    <s v="Product_81"/>
    <x v="2"/>
    <x v="0"/>
    <n v="74"/>
    <n v="336"/>
    <n v="372"/>
    <n v="2078.54"/>
    <n v="1377"/>
    <n v="74"/>
    <n v="11"/>
    <s v="2026-01-16"/>
    <n v="33"/>
    <n v="3"/>
    <n v="49"/>
    <s v="Yes"/>
    <x v="0"/>
    <n v="-36"/>
    <n v="4.5405405405405403"/>
    <x v="1"/>
    <s v="Maintain Stock"/>
  </r>
  <r>
    <n v="557"/>
    <s v="Product_47"/>
    <x v="1"/>
    <x v="3"/>
    <n v="255"/>
    <n v="281"/>
    <n v="235"/>
    <n v="1898.17"/>
    <n v="1235.57"/>
    <n v="143"/>
    <n v="13"/>
    <s v="2026-03-07"/>
    <n v="300"/>
    <n v="2"/>
    <n v="2"/>
    <s v="Yes"/>
    <x v="0"/>
    <n v="46"/>
    <n v="1.1019607843137256"/>
    <x v="1"/>
    <s v="Maintain Stock"/>
  </r>
  <r>
    <n v="558"/>
    <s v="Product_7"/>
    <x v="3"/>
    <x v="0"/>
    <n v="488"/>
    <n v="78"/>
    <n v="39"/>
    <n v="3011.06"/>
    <n v="1898.75"/>
    <n v="88"/>
    <n v="3"/>
    <s v="2026-03-02"/>
    <n v="69"/>
    <n v="4"/>
    <n v="18"/>
    <s v="No"/>
    <x v="0"/>
    <n v="39"/>
    <n v="0.1598360655737705"/>
    <x v="2"/>
    <s v="Apply Discount / Promotion"/>
  </r>
  <r>
    <n v="559"/>
    <s v="Product_79"/>
    <x v="0"/>
    <x v="3"/>
    <n v="116"/>
    <n v="188"/>
    <n v="215"/>
    <n v="498.83"/>
    <n v="382.12"/>
    <n v="33"/>
    <n v="6"/>
    <s v="2026-01-20"/>
    <n v="234"/>
    <n v="2"/>
    <n v="49"/>
    <s v="No"/>
    <x v="2"/>
    <n v="-27"/>
    <n v="1.6206896551724137"/>
    <x v="1"/>
    <s v="Maintain Stock"/>
  </r>
  <r>
    <n v="560"/>
    <s v="Product_32"/>
    <x v="3"/>
    <x v="2"/>
    <n v="293"/>
    <n v="218"/>
    <n v="223"/>
    <n v="1435.4"/>
    <n v="1017.85"/>
    <n v="40"/>
    <n v="13"/>
    <s v="2026-01-25"/>
    <n v="154"/>
    <n v="5"/>
    <n v="2"/>
    <s v="No"/>
    <x v="0"/>
    <n v="-5"/>
    <n v="0.74402730375426618"/>
    <x v="0"/>
    <s v="Monitor Sales"/>
  </r>
  <r>
    <n v="561"/>
    <s v="Product_93"/>
    <x v="1"/>
    <x v="3"/>
    <n v="414"/>
    <n v="351"/>
    <n v="302"/>
    <n v="4670.74"/>
    <n v="3006.51"/>
    <n v="101"/>
    <n v="3"/>
    <s v="2026-01-15"/>
    <n v="73"/>
    <n v="5"/>
    <n v="23"/>
    <s v="Yes"/>
    <x v="2"/>
    <n v="49"/>
    <n v="0.84782608695652173"/>
    <x v="0"/>
    <s v="Monitor Sales"/>
  </r>
  <r>
    <n v="562"/>
    <s v="Product_83"/>
    <x v="2"/>
    <x v="2"/>
    <n v="293"/>
    <n v="248"/>
    <n v="255"/>
    <n v="971.15"/>
    <n v="760.82"/>
    <n v="83"/>
    <n v="3"/>
    <s v="2026-02-09"/>
    <n v="278"/>
    <n v="4"/>
    <n v="47"/>
    <s v="No"/>
    <x v="1"/>
    <n v="-7"/>
    <n v="0.84641638225255977"/>
    <x v="0"/>
    <s v="Monitor Sales"/>
  </r>
  <r>
    <n v="563"/>
    <s v="Product_77"/>
    <x v="0"/>
    <x v="1"/>
    <n v="47"/>
    <n v="240"/>
    <n v="278"/>
    <n v="1551.58"/>
    <n v="959.49"/>
    <n v="60"/>
    <n v="2"/>
    <s v="2026-01-18"/>
    <n v="313"/>
    <n v="3"/>
    <n v="12"/>
    <s v="No"/>
    <x v="2"/>
    <n v="-38"/>
    <n v="5.1063829787234045"/>
    <x v="1"/>
    <s v="Maintain Stock"/>
  </r>
  <r>
    <n v="564"/>
    <s v="Product_16"/>
    <x v="2"/>
    <x v="3"/>
    <n v="425"/>
    <n v="148"/>
    <n v="115"/>
    <n v="3109.64"/>
    <n v="1874.97"/>
    <n v="79"/>
    <n v="13"/>
    <s v="2026-03-15"/>
    <n v="253"/>
    <n v="2"/>
    <n v="44"/>
    <s v="No"/>
    <x v="0"/>
    <n v="33"/>
    <n v="0.34823529411764703"/>
    <x v="2"/>
    <s v="Apply Discount / Promotion"/>
  </r>
  <r>
    <n v="565"/>
    <s v="Product_81"/>
    <x v="4"/>
    <x v="2"/>
    <n v="282"/>
    <n v="44"/>
    <n v="79"/>
    <n v="3463.35"/>
    <n v="2689.02"/>
    <n v="134"/>
    <n v="1"/>
    <s v="2025-12-30"/>
    <n v="218"/>
    <n v="3"/>
    <n v="38"/>
    <s v="No"/>
    <x v="0"/>
    <n v="-35"/>
    <n v="0.15602836879432624"/>
    <x v="2"/>
    <s v="Apply Discount / Promotion"/>
  </r>
  <r>
    <n v="566"/>
    <s v="Product_33"/>
    <x v="4"/>
    <x v="3"/>
    <n v="299"/>
    <n v="384"/>
    <n v="343"/>
    <n v="1819.95"/>
    <n v="1122.98"/>
    <n v="124"/>
    <n v="10"/>
    <s v="2026-02-06"/>
    <n v="108"/>
    <n v="1"/>
    <n v="3"/>
    <s v="Yes"/>
    <x v="2"/>
    <n v="41"/>
    <n v="1.2842809364548495"/>
    <x v="1"/>
    <s v="Maintain Stock"/>
  </r>
  <r>
    <n v="567"/>
    <s v="Product_44"/>
    <x v="1"/>
    <x v="1"/>
    <n v="95"/>
    <n v="230"/>
    <n v="180"/>
    <n v="3310.11"/>
    <n v="2019.23"/>
    <n v="33"/>
    <n v="4"/>
    <s v="2026-02-04"/>
    <n v="109"/>
    <n v="1"/>
    <n v="44"/>
    <s v="Yes"/>
    <x v="1"/>
    <n v="50"/>
    <n v="2.4210526315789473"/>
    <x v="1"/>
    <s v="Maintain Stock"/>
  </r>
  <r>
    <n v="568"/>
    <s v="Product_21"/>
    <x v="1"/>
    <x v="3"/>
    <n v="470"/>
    <n v="196"/>
    <n v="156"/>
    <n v="2772.04"/>
    <n v="2085.09"/>
    <n v="35"/>
    <n v="6"/>
    <s v="2026-03-16"/>
    <n v="222"/>
    <n v="1"/>
    <n v="41"/>
    <s v="No"/>
    <x v="1"/>
    <n v="40"/>
    <n v="0.41702127659574467"/>
    <x v="2"/>
    <s v="Apply Discount / Promotion"/>
  </r>
  <r>
    <n v="569"/>
    <s v="Product_13"/>
    <x v="2"/>
    <x v="2"/>
    <n v="197"/>
    <n v="393"/>
    <n v="377"/>
    <n v="1032.5899999999999"/>
    <n v="618.22"/>
    <n v="100"/>
    <n v="9"/>
    <s v="2026-03-08"/>
    <n v="224"/>
    <n v="5"/>
    <n v="21"/>
    <s v="No"/>
    <x v="2"/>
    <n v="16"/>
    <n v="1.9949238578680204"/>
    <x v="1"/>
    <s v="Maintain Stock"/>
  </r>
  <r>
    <n v="570"/>
    <s v="Product_31"/>
    <x v="0"/>
    <x v="3"/>
    <n v="422"/>
    <n v="156"/>
    <n v="201"/>
    <n v="3714.69"/>
    <n v="1924.06"/>
    <n v="121"/>
    <n v="8"/>
    <s v="2026-01-26"/>
    <n v="199"/>
    <n v="3"/>
    <n v="27"/>
    <s v="No"/>
    <x v="0"/>
    <n v="-45"/>
    <n v="0.36966824644549762"/>
    <x v="2"/>
    <s v="Apply Discount / Promotion"/>
  </r>
  <r>
    <n v="571"/>
    <s v="Product_68"/>
    <x v="0"/>
    <x v="0"/>
    <n v="194"/>
    <n v="232"/>
    <n v="277"/>
    <n v="1122.55"/>
    <n v="701.81"/>
    <n v="96"/>
    <n v="11"/>
    <s v="2026-03-16"/>
    <n v="125"/>
    <n v="1"/>
    <n v="38"/>
    <s v="No"/>
    <x v="0"/>
    <n v="-45"/>
    <n v="1.1958762886597938"/>
    <x v="1"/>
    <s v="Maintain Stock"/>
  </r>
  <r>
    <n v="572"/>
    <s v="Product_26"/>
    <x v="1"/>
    <x v="3"/>
    <n v="262"/>
    <n v="351"/>
    <n v="392"/>
    <n v="3722.84"/>
    <n v="2092.08"/>
    <n v="37"/>
    <n v="9"/>
    <s v="2026-01-07"/>
    <n v="325"/>
    <n v="5"/>
    <n v="0"/>
    <s v="Yes"/>
    <x v="0"/>
    <n v="-41"/>
    <n v="1.3396946564885497"/>
    <x v="1"/>
    <s v="Maintain Stock"/>
  </r>
  <r>
    <n v="573"/>
    <s v="Product_95"/>
    <x v="0"/>
    <x v="1"/>
    <n v="403"/>
    <n v="108"/>
    <n v="77"/>
    <n v="1010.97"/>
    <n v="788.31"/>
    <n v="65"/>
    <n v="14"/>
    <s v="2026-01-23"/>
    <n v="77"/>
    <n v="1"/>
    <n v="18"/>
    <s v="No"/>
    <x v="2"/>
    <n v="31"/>
    <n v="0.26799007444168732"/>
    <x v="2"/>
    <s v="Apply Discount / Promotion"/>
  </r>
  <r>
    <n v="574"/>
    <s v="Product_74"/>
    <x v="1"/>
    <x v="1"/>
    <n v="93"/>
    <n v="195"/>
    <n v="208"/>
    <n v="1755.17"/>
    <n v="1091.78"/>
    <n v="79"/>
    <n v="13"/>
    <s v="2026-03-05"/>
    <n v="272"/>
    <n v="1"/>
    <n v="38"/>
    <s v="Yes"/>
    <x v="1"/>
    <n v="-13"/>
    <n v="2.096774193548387"/>
    <x v="1"/>
    <s v="Maintain Stock"/>
  </r>
  <r>
    <n v="575"/>
    <s v="Product_87"/>
    <x v="4"/>
    <x v="0"/>
    <n v="472"/>
    <n v="304"/>
    <n v="294"/>
    <n v="4472.9799999999996"/>
    <n v="3152.52"/>
    <n v="140"/>
    <n v="8"/>
    <s v="2026-01-29"/>
    <n v="39"/>
    <n v="2"/>
    <n v="27"/>
    <s v="Yes"/>
    <x v="2"/>
    <n v="10"/>
    <n v="0.64406779661016944"/>
    <x v="0"/>
    <s v="Monitor Sales"/>
  </r>
  <r>
    <n v="576"/>
    <s v="Product_5"/>
    <x v="4"/>
    <x v="3"/>
    <n v="493"/>
    <n v="290"/>
    <n v="324"/>
    <n v="1128.3"/>
    <n v="781.7"/>
    <n v="149"/>
    <n v="7"/>
    <s v="2026-01-19"/>
    <n v="85"/>
    <n v="4"/>
    <n v="49"/>
    <s v="Yes"/>
    <x v="0"/>
    <n v="-34"/>
    <n v="0.58823529411764708"/>
    <x v="0"/>
    <s v="Monitor Sales"/>
  </r>
  <r>
    <n v="577"/>
    <s v="Product_89"/>
    <x v="4"/>
    <x v="1"/>
    <n v="386"/>
    <n v="232"/>
    <n v="184"/>
    <n v="985.11"/>
    <n v="521.66999999999996"/>
    <n v="95"/>
    <n v="10"/>
    <s v="2026-01-21"/>
    <n v="294"/>
    <n v="4"/>
    <n v="21"/>
    <s v="Yes"/>
    <x v="1"/>
    <n v="48"/>
    <n v="0.60103626943005184"/>
    <x v="0"/>
    <s v="Monitor Sales"/>
  </r>
  <r>
    <n v="578"/>
    <s v="Product_50"/>
    <x v="2"/>
    <x v="2"/>
    <n v="371"/>
    <n v="403"/>
    <n v="384"/>
    <n v="2377.56"/>
    <n v="1444.42"/>
    <n v="65"/>
    <n v="11"/>
    <s v="2026-01-22"/>
    <n v="305"/>
    <n v="5"/>
    <n v="9"/>
    <s v="Yes"/>
    <x v="2"/>
    <n v="19"/>
    <n v="1.0862533692722371"/>
    <x v="1"/>
    <s v="Maintain Stock"/>
  </r>
  <r>
    <n v="579"/>
    <s v="Product_60"/>
    <x v="1"/>
    <x v="3"/>
    <n v="229"/>
    <n v="114"/>
    <n v="116"/>
    <n v="1620.14"/>
    <n v="1171.3599999999999"/>
    <n v="61"/>
    <n v="4"/>
    <s v="2026-03-10"/>
    <n v="310"/>
    <n v="5"/>
    <n v="7"/>
    <s v="No"/>
    <x v="1"/>
    <n v="-2"/>
    <n v="0.49781659388646288"/>
    <x v="2"/>
    <s v="Apply Discount / Promotion"/>
  </r>
  <r>
    <n v="580"/>
    <s v="Product_65"/>
    <x v="0"/>
    <x v="3"/>
    <n v="137"/>
    <n v="251"/>
    <n v="219"/>
    <n v="2607.44"/>
    <n v="2054.2800000000002"/>
    <n v="82"/>
    <n v="13"/>
    <s v="2026-03-01"/>
    <n v="365"/>
    <n v="2"/>
    <n v="4"/>
    <s v="No"/>
    <x v="2"/>
    <n v="32"/>
    <n v="1.832116788321168"/>
    <x v="1"/>
    <s v="Maintain Stock"/>
  </r>
  <r>
    <n v="581"/>
    <s v="Product_4"/>
    <x v="4"/>
    <x v="2"/>
    <n v="335"/>
    <n v="92"/>
    <n v="134"/>
    <n v="3041.64"/>
    <n v="2379.15"/>
    <n v="32"/>
    <n v="7"/>
    <s v="2026-01-29"/>
    <n v="67"/>
    <n v="1"/>
    <n v="18"/>
    <s v="Yes"/>
    <x v="0"/>
    <n v="-42"/>
    <n v="0.2746268656716418"/>
    <x v="2"/>
    <s v="Apply Discount / Promotion"/>
  </r>
  <r>
    <n v="582"/>
    <s v="Product_60"/>
    <x v="0"/>
    <x v="2"/>
    <n v="273"/>
    <n v="64"/>
    <n v="19"/>
    <n v="1539.48"/>
    <n v="795.39"/>
    <n v="81"/>
    <n v="4"/>
    <s v="2026-02-26"/>
    <n v="218"/>
    <n v="1"/>
    <n v="36"/>
    <s v="No"/>
    <x v="2"/>
    <n v="45"/>
    <n v="0.23443223443223443"/>
    <x v="2"/>
    <s v="Apply Discount / Promotion"/>
  </r>
  <r>
    <n v="583"/>
    <s v="Product_29"/>
    <x v="1"/>
    <x v="2"/>
    <n v="249"/>
    <n v="427"/>
    <n v="395"/>
    <n v="1049.55"/>
    <n v="709.67"/>
    <n v="68"/>
    <n v="9"/>
    <s v="2026-02-08"/>
    <n v="80"/>
    <n v="2"/>
    <n v="22"/>
    <s v="Yes"/>
    <x v="2"/>
    <n v="32"/>
    <n v="1.714859437751004"/>
    <x v="1"/>
    <s v="Maintain Stock"/>
  </r>
  <r>
    <n v="584"/>
    <s v="Product_75"/>
    <x v="2"/>
    <x v="2"/>
    <n v="68"/>
    <n v="304"/>
    <n v="275"/>
    <n v="1633.89"/>
    <n v="877.51"/>
    <n v="132"/>
    <n v="13"/>
    <s v="2026-02-20"/>
    <n v="285"/>
    <n v="3"/>
    <n v="45"/>
    <s v="Yes"/>
    <x v="2"/>
    <n v="29"/>
    <n v="4.4705882352941178"/>
    <x v="1"/>
    <s v="Maintain Stock"/>
  </r>
  <r>
    <n v="585"/>
    <s v="Product_50"/>
    <x v="0"/>
    <x v="2"/>
    <n v="431"/>
    <n v="235"/>
    <n v="218"/>
    <n v="1596.38"/>
    <n v="896.44"/>
    <n v="34"/>
    <n v="11"/>
    <s v="2026-03-09"/>
    <n v="335"/>
    <n v="5"/>
    <n v="11"/>
    <s v="Yes"/>
    <x v="2"/>
    <n v="17"/>
    <n v="0.54524361948955913"/>
    <x v="0"/>
    <s v="Monitor Sales"/>
  </r>
  <r>
    <n v="586"/>
    <s v="Product_98"/>
    <x v="1"/>
    <x v="2"/>
    <n v="196"/>
    <n v="361"/>
    <n v="349"/>
    <n v="705.36"/>
    <n v="440.61"/>
    <n v="126"/>
    <n v="1"/>
    <s v="2026-02-03"/>
    <n v="343"/>
    <n v="1"/>
    <n v="12"/>
    <s v="No"/>
    <x v="0"/>
    <n v="12"/>
    <n v="1.8418367346938775"/>
    <x v="1"/>
    <s v="Maintain Stock"/>
  </r>
  <r>
    <n v="587"/>
    <s v="Product_72"/>
    <x v="1"/>
    <x v="2"/>
    <n v="336"/>
    <n v="80"/>
    <n v="68"/>
    <n v="413.84"/>
    <n v="315.5"/>
    <n v="38"/>
    <n v="14"/>
    <s v="2026-01-14"/>
    <n v="233"/>
    <n v="5"/>
    <n v="31"/>
    <s v="Yes"/>
    <x v="0"/>
    <n v="12"/>
    <n v="0.23809523809523808"/>
    <x v="2"/>
    <s v="Apply Discount / Promotion"/>
  </r>
  <r>
    <n v="588"/>
    <s v="Product_70"/>
    <x v="0"/>
    <x v="0"/>
    <n v="89"/>
    <n v="204"/>
    <n v="173"/>
    <n v="2608.29"/>
    <n v="2077.6"/>
    <n v="41"/>
    <n v="4"/>
    <s v="2026-02-08"/>
    <n v="68"/>
    <n v="3"/>
    <n v="8"/>
    <s v="No"/>
    <x v="2"/>
    <n v="31"/>
    <n v="2.292134831460674"/>
    <x v="1"/>
    <s v="Maintain Stock"/>
  </r>
  <r>
    <n v="589"/>
    <s v="Product_57"/>
    <x v="0"/>
    <x v="2"/>
    <n v="196"/>
    <n v="101"/>
    <n v="109"/>
    <n v="1997.22"/>
    <n v="1522.67"/>
    <n v="54"/>
    <n v="13"/>
    <s v="2026-03-16"/>
    <n v="241"/>
    <n v="4"/>
    <n v="21"/>
    <s v="Yes"/>
    <x v="0"/>
    <n v="-8"/>
    <n v="0.51530612244897955"/>
    <x v="0"/>
    <s v="Monitor Sales"/>
  </r>
  <r>
    <n v="590"/>
    <s v="Product_32"/>
    <x v="0"/>
    <x v="0"/>
    <n v="111"/>
    <n v="220"/>
    <n v="250"/>
    <n v="4435.3599999999997"/>
    <n v="3209.14"/>
    <n v="127"/>
    <n v="7"/>
    <s v="2026-03-28"/>
    <n v="299"/>
    <n v="1"/>
    <n v="24"/>
    <s v="Yes"/>
    <x v="2"/>
    <n v="-30"/>
    <n v="1.9819819819819819"/>
    <x v="1"/>
    <s v="Maintain Stock"/>
  </r>
  <r>
    <n v="591"/>
    <s v="Product_91"/>
    <x v="1"/>
    <x v="1"/>
    <n v="61"/>
    <n v="386"/>
    <n v="399"/>
    <n v="2787.06"/>
    <n v="1633.81"/>
    <n v="108"/>
    <n v="3"/>
    <s v="2026-02-09"/>
    <n v="247"/>
    <n v="3"/>
    <n v="37"/>
    <s v="No"/>
    <x v="2"/>
    <n v="-13"/>
    <n v="6.3278688524590168"/>
    <x v="1"/>
    <s v="Maintain Stock"/>
  </r>
  <r>
    <n v="592"/>
    <s v="Product_6"/>
    <x v="2"/>
    <x v="2"/>
    <n v="235"/>
    <n v="191"/>
    <n v="173"/>
    <n v="1654.56"/>
    <n v="1297.33"/>
    <n v="64"/>
    <n v="1"/>
    <s v="2026-03-10"/>
    <n v="276"/>
    <n v="1"/>
    <n v="22"/>
    <s v="No"/>
    <x v="2"/>
    <n v="18"/>
    <n v="0.81276595744680846"/>
    <x v="0"/>
    <s v="Monitor Sales"/>
  </r>
  <r>
    <n v="593"/>
    <s v="Product_65"/>
    <x v="4"/>
    <x v="2"/>
    <n v="473"/>
    <n v="90"/>
    <n v="100"/>
    <n v="4742.8500000000004"/>
    <n v="3337.43"/>
    <n v="66"/>
    <n v="10"/>
    <s v="2026-01-13"/>
    <n v="49"/>
    <n v="5"/>
    <n v="45"/>
    <s v="No"/>
    <x v="2"/>
    <n v="-10"/>
    <n v="0.19027484143763213"/>
    <x v="2"/>
    <s v="Apply Discount / Promotion"/>
  </r>
  <r>
    <n v="594"/>
    <s v="Product_76"/>
    <x v="1"/>
    <x v="2"/>
    <n v="344"/>
    <n v="155"/>
    <n v="192"/>
    <n v="2972.27"/>
    <n v="2155.69"/>
    <n v="109"/>
    <n v="12"/>
    <s v="2026-03-25"/>
    <n v="269"/>
    <n v="5"/>
    <n v="27"/>
    <s v="No"/>
    <x v="0"/>
    <n v="-37"/>
    <n v="0.45058139534883723"/>
    <x v="2"/>
    <s v="Apply Discount / Promotion"/>
  </r>
  <r>
    <n v="595"/>
    <s v="Product_93"/>
    <x v="2"/>
    <x v="3"/>
    <n v="362"/>
    <n v="316"/>
    <n v="286"/>
    <n v="378.61"/>
    <n v="249.42"/>
    <n v="51"/>
    <n v="8"/>
    <s v="2026-01-08"/>
    <n v="355"/>
    <n v="3"/>
    <n v="13"/>
    <s v="No"/>
    <x v="2"/>
    <n v="30"/>
    <n v="0.8729281767955801"/>
    <x v="0"/>
    <s v="Monitor Sales"/>
  </r>
  <r>
    <n v="596"/>
    <s v="Product_21"/>
    <x v="0"/>
    <x v="3"/>
    <n v="313"/>
    <n v="248"/>
    <n v="251"/>
    <n v="2797.63"/>
    <n v="2051.65"/>
    <n v="91"/>
    <n v="13"/>
    <s v="2026-02-10"/>
    <n v="347"/>
    <n v="2"/>
    <n v="40"/>
    <s v="No"/>
    <x v="0"/>
    <n v="-3"/>
    <n v="0.792332268370607"/>
    <x v="0"/>
    <s v="Monitor Sales"/>
  </r>
  <r>
    <n v="597"/>
    <s v="Product_96"/>
    <x v="0"/>
    <x v="1"/>
    <n v="102"/>
    <n v="51"/>
    <n v="72"/>
    <n v="4116.71"/>
    <n v="2655.63"/>
    <n v="126"/>
    <n v="8"/>
    <s v="2026-03-11"/>
    <n v="290"/>
    <n v="5"/>
    <n v="19"/>
    <s v="Yes"/>
    <x v="1"/>
    <n v="-21"/>
    <n v="0.5"/>
    <x v="0"/>
    <s v="Monitor Sales"/>
  </r>
  <r>
    <n v="598"/>
    <s v="Product_21"/>
    <x v="3"/>
    <x v="2"/>
    <n v="121"/>
    <n v="279"/>
    <n v="271"/>
    <n v="451.46"/>
    <n v="354.02"/>
    <n v="99"/>
    <n v="8"/>
    <s v="2026-02-06"/>
    <n v="290"/>
    <n v="1"/>
    <n v="12"/>
    <s v="No"/>
    <x v="1"/>
    <n v="8"/>
    <n v="2.3057851239669422"/>
    <x v="1"/>
    <s v="Maintain Stock"/>
  </r>
  <r>
    <n v="599"/>
    <s v="Product_78"/>
    <x v="3"/>
    <x v="3"/>
    <n v="126"/>
    <n v="21"/>
    <n v="10"/>
    <n v="4656.6400000000003"/>
    <n v="2727.55"/>
    <n v="83"/>
    <n v="10"/>
    <s v="2026-01-09"/>
    <n v="205"/>
    <n v="5"/>
    <n v="41"/>
    <s v="No"/>
    <x v="2"/>
    <n v="11"/>
    <n v="0.16666666666666666"/>
    <x v="2"/>
    <s v="Apply Discount / Promotion"/>
  </r>
  <r>
    <n v="600"/>
    <s v="Product_87"/>
    <x v="2"/>
    <x v="2"/>
    <n v="445"/>
    <n v="360"/>
    <n v="352"/>
    <n v="211.04"/>
    <n v="160.87"/>
    <n v="43"/>
    <n v="9"/>
    <s v="2026-03-22"/>
    <n v="279"/>
    <n v="4"/>
    <n v="18"/>
    <s v="No"/>
    <x v="2"/>
    <n v="8"/>
    <n v="0.8089887640449438"/>
    <x v="0"/>
    <s v="Monitor Sales"/>
  </r>
  <r>
    <n v="601"/>
    <s v="Product_12"/>
    <x v="3"/>
    <x v="3"/>
    <n v="413"/>
    <n v="76"/>
    <n v="82"/>
    <n v="1967.27"/>
    <n v="1046.08"/>
    <n v="76"/>
    <n v="15"/>
    <s v="2026-01-05"/>
    <n v="258"/>
    <n v="5"/>
    <n v="3"/>
    <s v="No"/>
    <x v="2"/>
    <n v="-6"/>
    <n v="0.18401937046004843"/>
    <x v="2"/>
    <s v="Apply Discount / Promotion"/>
  </r>
  <r>
    <n v="602"/>
    <s v="Product_3"/>
    <x v="4"/>
    <x v="3"/>
    <n v="22"/>
    <n v="385"/>
    <n v="345"/>
    <n v="2038.3"/>
    <n v="1243.44"/>
    <n v="138"/>
    <n v="9"/>
    <s v="2026-01-30"/>
    <n v="67"/>
    <n v="2"/>
    <n v="38"/>
    <s v="Yes"/>
    <x v="0"/>
    <n v="40"/>
    <n v="17.5"/>
    <x v="1"/>
    <s v="Maintain Stock"/>
  </r>
  <r>
    <n v="603"/>
    <s v="Product_99"/>
    <x v="1"/>
    <x v="3"/>
    <n v="102"/>
    <n v="254"/>
    <n v="272"/>
    <n v="171.5"/>
    <n v="122.52"/>
    <n v="136"/>
    <n v="10"/>
    <s v="2026-03-08"/>
    <n v="139"/>
    <n v="1"/>
    <n v="30"/>
    <s v="No"/>
    <x v="1"/>
    <n v="-18"/>
    <n v="2.4901960784313726"/>
    <x v="1"/>
    <s v="Maintain Stock"/>
  </r>
  <r>
    <n v="604"/>
    <s v="Product_21"/>
    <x v="4"/>
    <x v="3"/>
    <n v="73"/>
    <n v="111"/>
    <n v="66"/>
    <n v="402.1"/>
    <n v="220.1"/>
    <n v="141"/>
    <n v="2"/>
    <s v="2026-01-02"/>
    <n v="303"/>
    <n v="1"/>
    <n v="1"/>
    <s v="No"/>
    <x v="1"/>
    <n v="45"/>
    <n v="1.5205479452054795"/>
    <x v="1"/>
    <s v="Maintain Stock"/>
  </r>
  <r>
    <n v="605"/>
    <s v="Product_86"/>
    <x v="4"/>
    <x v="3"/>
    <n v="422"/>
    <n v="200"/>
    <n v="207"/>
    <n v="1623.61"/>
    <n v="826.13"/>
    <n v="43"/>
    <n v="4"/>
    <s v="2026-01-24"/>
    <n v="204"/>
    <n v="4"/>
    <n v="3"/>
    <s v="Yes"/>
    <x v="1"/>
    <n v="-7"/>
    <n v="0.47393364928909953"/>
    <x v="2"/>
    <s v="Apply Discount / Promotion"/>
  </r>
  <r>
    <n v="606"/>
    <s v="Product_15"/>
    <x v="4"/>
    <x v="2"/>
    <n v="254"/>
    <n v="157"/>
    <n v="124"/>
    <n v="4919.74"/>
    <n v="3584.2"/>
    <n v="121"/>
    <n v="15"/>
    <s v="2026-01-23"/>
    <n v="37"/>
    <n v="3"/>
    <n v="3"/>
    <s v="Yes"/>
    <x v="0"/>
    <n v="33"/>
    <n v="0.61811023622047245"/>
    <x v="0"/>
    <s v="Monitor Sales"/>
  </r>
  <r>
    <n v="607"/>
    <s v="Product_46"/>
    <x v="4"/>
    <x v="0"/>
    <n v="496"/>
    <n v="226"/>
    <n v="272"/>
    <n v="3619.03"/>
    <n v="2487.92"/>
    <n v="57"/>
    <n v="8"/>
    <s v="2026-01-04"/>
    <n v="160"/>
    <n v="3"/>
    <n v="12"/>
    <s v="Yes"/>
    <x v="0"/>
    <n v="-46"/>
    <n v="0.45564516129032256"/>
    <x v="2"/>
    <s v="Apply Discount / Promotion"/>
  </r>
  <r>
    <n v="608"/>
    <s v="Product_95"/>
    <x v="1"/>
    <x v="2"/>
    <n v="140"/>
    <n v="292"/>
    <n v="327"/>
    <n v="3447.48"/>
    <n v="1862.89"/>
    <n v="63"/>
    <n v="14"/>
    <s v="2026-01-01"/>
    <n v="112"/>
    <n v="5"/>
    <n v="11"/>
    <s v="No"/>
    <x v="1"/>
    <n v="-35"/>
    <n v="2.0857142857142859"/>
    <x v="1"/>
    <s v="Maintain Stock"/>
  </r>
  <r>
    <n v="609"/>
    <s v="Product_69"/>
    <x v="4"/>
    <x v="0"/>
    <n v="283"/>
    <n v="364"/>
    <n v="361"/>
    <n v="606.35"/>
    <n v="459.59"/>
    <n v="50"/>
    <n v="9"/>
    <s v="2026-01-10"/>
    <n v="226"/>
    <n v="1"/>
    <n v="32"/>
    <s v="Yes"/>
    <x v="0"/>
    <n v="3"/>
    <n v="1.2862190812720848"/>
    <x v="1"/>
    <s v="Maintain Stock"/>
  </r>
  <r>
    <n v="610"/>
    <s v="Product_32"/>
    <x v="3"/>
    <x v="0"/>
    <n v="227"/>
    <n v="351"/>
    <n v="387"/>
    <n v="2544.9899999999998"/>
    <n v="1580.45"/>
    <n v="56"/>
    <n v="1"/>
    <s v="2026-01-16"/>
    <n v="68"/>
    <n v="1"/>
    <n v="12"/>
    <s v="Yes"/>
    <x v="0"/>
    <n v="-36"/>
    <n v="1.5462555066079295"/>
    <x v="1"/>
    <s v="Maintain Stock"/>
  </r>
  <r>
    <n v="611"/>
    <s v="Product_16"/>
    <x v="2"/>
    <x v="0"/>
    <n v="322"/>
    <n v="370"/>
    <n v="381"/>
    <n v="2997.37"/>
    <n v="1682.66"/>
    <n v="59"/>
    <n v="7"/>
    <s v="2026-02-10"/>
    <n v="40"/>
    <n v="2"/>
    <n v="3"/>
    <s v="No"/>
    <x v="0"/>
    <n v="-11"/>
    <n v="1.1490683229813665"/>
    <x v="1"/>
    <s v="Maintain Stock"/>
  </r>
  <r>
    <n v="612"/>
    <s v="Product_98"/>
    <x v="0"/>
    <x v="1"/>
    <n v="417"/>
    <n v="310"/>
    <n v="357"/>
    <n v="4300.9799999999996"/>
    <n v="3215.08"/>
    <n v="45"/>
    <n v="9"/>
    <s v="2026-01-11"/>
    <n v="187"/>
    <n v="1"/>
    <n v="45"/>
    <s v="No"/>
    <x v="2"/>
    <n v="-47"/>
    <n v="0.74340527577937654"/>
    <x v="0"/>
    <s v="Monitor Sales"/>
  </r>
  <r>
    <n v="613"/>
    <s v="Product_79"/>
    <x v="3"/>
    <x v="2"/>
    <n v="123"/>
    <n v="267"/>
    <n v="297"/>
    <n v="2470.81"/>
    <n v="1689.5"/>
    <n v="31"/>
    <n v="12"/>
    <s v="2026-01-25"/>
    <n v="61"/>
    <n v="1"/>
    <n v="4"/>
    <s v="No"/>
    <x v="2"/>
    <n v="-30"/>
    <n v="2.1707317073170733"/>
    <x v="1"/>
    <s v="Maintain Stock"/>
  </r>
  <r>
    <n v="614"/>
    <s v="Product_96"/>
    <x v="3"/>
    <x v="0"/>
    <n v="197"/>
    <n v="244"/>
    <n v="224"/>
    <n v="2277.23"/>
    <n v="1636.68"/>
    <n v="131"/>
    <n v="4"/>
    <s v="2026-03-10"/>
    <n v="153"/>
    <n v="1"/>
    <n v="14"/>
    <s v="No"/>
    <x v="1"/>
    <n v="20"/>
    <n v="1.2385786802030456"/>
    <x v="1"/>
    <s v="Maintain Stock"/>
  </r>
  <r>
    <n v="615"/>
    <s v="Product_57"/>
    <x v="1"/>
    <x v="3"/>
    <n v="31"/>
    <n v="328"/>
    <n v="305"/>
    <n v="2052.9899999999998"/>
    <n v="1135.27"/>
    <n v="119"/>
    <n v="5"/>
    <s v="2026-02-08"/>
    <n v="304"/>
    <n v="4"/>
    <n v="2"/>
    <s v="No"/>
    <x v="2"/>
    <n v="23"/>
    <n v="10.580645161290322"/>
    <x v="1"/>
    <s v="Maintain Stock"/>
  </r>
  <r>
    <n v="616"/>
    <s v="Product_66"/>
    <x v="0"/>
    <x v="0"/>
    <n v="372"/>
    <n v="77"/>
    <n v="27"/>
    <n v="2102.35"/>
    <n v="1478.56"/>
    <n v="125"/>
    <n v="7"/>
    <s v="2026-01-10"/>
    <n v="240"/>
    <n v="1"/>
    <n v="15"/>
    <s v="Yes"/>
    <x v="1"/>
    <n v="50"/>
    <n v="0.20698924731182797"/>
    <x v="2"/>
    <s v="Apply Discount / Promotion"/>
  </r>
  <r>
    <n v="617"/>
    <s v="Product_28"/>
    <x v="0"/>
    <x v="1"/>
    <n v="23"/>
    <n v="411"/>
    <n v="365"/>
    <n v="1989.66"/>
    <n v="1018.18"/>
    <n v="49"/>
    <n v="3"/>
    <s v="2026-03-25"/>
    <n v="82"/>
    <n v="5"/>
    <n v="35"/>
    <s v="Yes"/>
    <x v="0"/>
    <n v="46"/>
    <n v="17.869565217391305"/>
    <x v="1"/>
    <s v="Maintain Stock"/>
  </r>
  <r>
    <n v="618"/>
    <s v="Product_11"/>
    <x v="2"/>
    <x v="1"/>
    <n v="161"/>
    <n v="401"/>
    <n v="371"/>
    <n v="2579.56"/>
    <n v="1613.06"/>
    <n v="99"/>
    <n v="8"/>
    <s v="2026-02-03"/>
    <n v="62"/>
    <n v="2"/>
    <n v="19"/>
    <s v="Yes"/>
    <x v="0"/>
    <n v="30"/>
    <n v="2.4906832298136647"/>
    <x v="1"/>
    <s v="Maintain Stock"/>
  </r>
  <r>
    <n v="619"/>
    <s v="Product_43"/>
    <x v="2"/>
    <x v="2"/>
    <n v="203"/>
    <n v="380"/>
    <n v="347"/>
    <n v="3795.66"/>
    <n v="2498.85"/>
    <n v="85"/>
    <n v="15"/>
    <s v="2026-01-05"/>
    <n v="214"/>
    <n v="3"/>
    <n v="9"/>
    <s v="No"/>
    <x v="2"/>
    <n v="33"/>
    <n v="1.8719211822660098"/>
    <x v="1"/>
    <s v="Maintain Stock"/>
  </r>
  <r>
    <n v="620"/>
    <s v="Product_99"/>
    <x v="4"/>
    <x v="1"/>
    <n v="182"/>
    <n v="196"/>
    <n v="190"/>
    <n v="4796.67"/>
    <n v="2442.23"/>
    <n v="44"/>
    <n v="11"/>
    <s v="2026-03-20"/>
    <n v="292"/>
    <n v="4"/>
    <n v="24"/>
    <s v="No"/>
    <x v="0"/>
    <n v="6"/>
    <n v="1.0769230769230769"/>
    <x v="1"/>
    <s v="Maintain Stock"/>
  </r>
  <r>
    <n v="621"/>
    <s v="Product_86"/>
    <x v="1"/>
    <x v="0"/>
    <n v="317"/>
    <n v="82"/>
    <n v="56"/>
    <n v="2717.12"/>
    <n v="1772.88"/>
    <n v="102"/>
    <n v="13"/>
    <s v="2026-02-02"/>
    <n v="199"/>
    <n v="5"/>
    <n v="50"/>
    <s v="Yes"/>
    <x v="2"/>
    <n v="26"/>
    <n v="0.25867507886435331"/>
    <x v="2"/>
    <s v="Apply Discount / Promotion"/>
  </r>
  <r>
    <n v="622"/>
    <s v="Product_32"/>
    <x v="2"/>
    <x v="3"/>
    <n v="249"/>
    <n v="347"/>
    <n v="303"/>
    <n v="3240.33"/>
    <n v="2413.75"/>
    <n v="56"/>
    <n v="15"/>
    <s v="2026-02-19"/>
    <n v="41"/>
    <n v="3"/>
    <n v="27"/>
    <s v="Yes"/>
    <x v="0"/>
    <n v="44"/>
    <n v="1.393574297188755"/>
    <x v="1"/>
    <s v="Maintain Stock"/>
  </r>
  <r>
    <n v="623"/>
    <s v="Product_26"/>
    <x v="1"/>
    <x v="3"/>
    <n v="96"/>
    <n v="285"/>
    <n v="270"/>
    <n v="3119.54"/>
    <n v="2451.08"/>
    <n v="68"/>
    <n v="10"/>
    <s v="2026-01-04"/>
    <n v="195"/>
    <n v="5"/>
    <n v="33"/>
    <s v="No"/>
    <x v="1"/>
    <n v="15"/>
    <n v="2.96875"/>
    <x v="1"/>
    <s v="Maintain Stock"/>
  </r>
  <r>
    <n v="624"/>
    <s v="Product_52"/>
    <x v="4"/>
    <x v="1"/>
    <n v="35"/>
    <n v="369"/>
    <n v="348"/>
    <n v="679.73"/>
    <n v="538.71"/>
    <n v="45"/>
    <n v="2"/>
    <s v="2026-01-18"/>
    <n v="209"/>
    <n v="1"/>
    <n v="38"/>
    <s v="Yes"/>
    <x v="1"/>
    <n v="21"/>
    <n v="10.542857142857143"/>
    <x v="1"/>
    <s v="Maintain Stock"/>
  </r>
  <r>
    <n v="625"/>
    <s v="Product_49"/>
    <x v="3"/>
    <x v="3"/>
    <n v="422"/>
    <n v="267"/>
    <n v="303"/>
    <n v="1546.1"/>
    <n v="1179.97"/>
    <n v="91"/>
    <n v="6"/>
    <s v="2026-03-12"/>
    <n v="283"/>
    <n v="1"/>
    <n v="28"/>
    <s v="No"/>
    <x v="1"/>
    <n v="-36"/>
    <n v="0.63270142180094791"/>
    <x v="0"/>
    <s v="Monitor Sales"/>
  </r>
  <r>
    <n v="626"/>
    <s v="Product_19"/>
    <x v="0"/>
    <x v="0"/>
    <n v="336"/>
    <n v="37"/>
    <n v="32"/>
    <n v="1025.4000000000001"/>
    <n v="799.76"/>
    <n v="89"/>
    <n v="13"/>
    <s v="2026-01-23"/>
    <n v="224"/>
    <n v="5"/>
    <n v="3"/>
    <s v="Yes"/>
    <x v="2"/>
    <n v="5"/>
    <n v="0.11011904761904762"/>
    <x v="2"/>
    <s v="Apply Discount / Promotion"/>
  </r>
  <r>
    <n v="627"/>
    <s v="Product_13"/>
    <x v="4"/>
    <x v="3"/>
    <n v="55"/>
    <n v="95"/>
    <n v="115"/>
    <n v="777.05"/>
    <n v="391.07"/>
    <n v="119"/>
    <n v="7"/>
    <s v="2026-03-24"/>
    <n v="284"/>
    <n v="4"/>
    <n v="3"/>
    <s v="Yes"/>
    <x v="0"/>
    <n v="-20"/>
    <n v="1.7272727272727273"/>
    <x v="1"/>
    <s v="Maintain Stock"/>
  </r>
  <r>
    <n v="628"/>
    <s v="Product_7"/>
    <x v="3"/>
    <x v="2"/>
    <n v="480"/>
    <n v="314"/>
    <n v="266"/>
    <n v="4789.63"/>
    <n v="2788.63"/>
    <n v="149"/>
    <n v="3"/>
    <s v="2026-03-04"/>
    <n v="284"/>
    <n v="1"/>
    <n v="43"/>
    <s v="Yes"/>
    <x v="0"/>
    <n v="48"/>
    <n v="0.65416666666666667"/>
    <x v="0"/>
    <s v="Monitor Sales"/>
  </r>
  <r>
    <n v="629"/>
    <s v="Product_1"/>
    <x v="4"/>
    <x v="2"/>
    <n v="131"/>
    <n v="248"/>
    <n v="211"/>
    <n v="3534.52"/>
    <n v="2421.88"/>
    <n v="50"/>
    <n v="12"/>
    <s v="2026-03-04"/>
    <n v="151"/>
    <n v="3"/>
    <n v="21"/>
    <s v="Yes"/>
    <x v="0"/>
    <n v="37"/>
    <n v="1.8931297709923665"/>
    <x v="1"/>
    <s v="Maintain Stock"/>
  </r>
  <r>
    <n v="630"/>
    <s v="Product_15"/>
    <x v="1"/>
    <x v="1"/>
    <n v="365"/>
    <n v="160"/>
    <n v="178"/>
    <n v="1537.15"/>
    <n v="1152.6500000000001"/>
    <n v="47"/>
    <n v="4"/>
    <s v="2026-01-11"/>
    <n v="52"/>
    <n v="2"/>
    <n v="14"/>
    <s v="No"/>
    <x v="0"/>
    <n v="-18"/>
    <n v="0.43835616438356162"/>
    <x v="2"/>
    <s v="Apply Discount / Promotion"/>
  </r>
  <r>
    <n v="631"/>
    <s v="Product_95"/>
    <x v="4"/>
    <x v="3"/>
    <n v="401"/>
    <n v="196"/>
    <n v="156"/>
    <n v="1457.72"/>
    <n v="958.25"/>
    <n v="137"/>
    <n v="1"/>
    <s v="2026-01-11"/>
    <n v="330"/>
    <n v="4"/>
    <n v="28"/>
    <s v="No"/>
    <x v="1"/>
    <n v="40"/>
    <n v="0.48877805486284287"/>
    <x v="2"/>
    <s v="Apply Discount / Promotion"/>
  </r>
  <r>
    <n v="632"/>
    <s v="Product_62"/>
    <x v="0"/>
    <x v="3"/>
    <n v="284"/>
    <n v="325"/>
    <n v="362"/>
    <n v="4886.1000000000004"/>
    <n v="2564.19"/>
    <n v="70"/>
    <n v="9"/>
    <s v="2026-03-14"/>
    <n v="179"/>
    <n v="2"/>
    <n v="7"/>
    <s v="Yes"/>
    <x v="2"/>
    <n v="-37"/>
    <n v="1.1443661971830985"/>
    <x v="1"/>
    <s v="Maintain Stock"/>
  </r>
  <r>
    <n v="633"/>
    <s v="Product_1"/>
    <x v="0"/>
    <x v="1"/>
    <n v="419"/>
    <n v="97"/>
    <n v="49"/>
    <n v="2832"/>
    <n v="1803"/>
    <n v="81"/>
    <n v="15"/>
    <s v="2026-01-04"/>
    <n v="272"/>
    <n v="4"/>
    <n v="12"/>
    <s v="Yes"/>
    <x v="0"/>
    <n v="48"/>
    <n v="0.23150357995226731"/>
    <x v="2"/>
    <s v="Apply Discount / Promotion"/>
  </r>
  <r>
    <n v="634"/>
    <s v="Product_28"/>
    <x v="0"/>
    <x v="1"/>
    <n v="335"/>
    <n v="231"/>
    <n v="214"/>
    <n v="1837.24"/>
    <n v="989.16"/>
    <n v="73"/>
    <n v="7"/>
    <s v="2026-03-25"/>
    <n v="191"/>
    <n v="4"/>
    <n v="9"/>
    <s v="No"/>
    <x v="2"/>
    <n v="17"/>
    <n v="0.68955223880597016"/>
    <x v="0"/>
    <s v="Monitor Sales"/>
  </r>
  <r>
    <n v="635"/>
    <s v="Product_1"/>
    <x v="2"/>
    <x v="0"/>
    <n v="240"/>
    <n v="58"/>
    <n v="53"/>
    <n v="4189.17"/>
    <n v="2533.62"/>
    <n v="60"/>
    <n v="8"/>
    <s v="2026-03-27"/>
    <n v="165"/>
    <n v="4"/>
    <n v="11"/>
    <s v="No"/>
    <x v="0"/>
    <n v="5"/>
    <n v="0.24166666666666667"/>
    <x v="2"/>
    <s v="Apply Discount / Promotion"/>
  </r>
  <r>
    <n v="636"/>
    <s v="Product_90"/>
    <x v="2"/>
    <x v="1"/>
    <n v="427"/>
    <n v="2"/>
    <n v="50"/>
    <n v="3740.01"/>
    <n v="2876.41"/>
    <n v="114"/>
    <n v="14"/>
    <s v="2026-03-07"/>
    <n v="48"/>
    <n v="5"/>
    <n v="21"/>
    <s v="Yes"/>
    <x v="0"/>
    <n v="-48"/>
    <n v="4.6838407494145199E-3"/>
    <x v="2"/>
    <s v="Apply Discount / Promotion"/>
  </r>
  <r>
    <n v="637"/>
    <s v="Product_27"/>
    <x v="0"/>
    <x v="2"/>
    <n v="455"/>
    <n v="343"/>
    <n v="377"/>
    <n v="1423.16"/>
    <n v="1058.27"/>
    <n v="32"/>
    <n v="8"/>
    <s v="2026-03-06"/>
    <n v="219"/>
    <n v="3"/>
    <n v="36"/>
    <s v="No"/>
    <x v="1"/>
    <n v="-34"/>
    <n v="0.75384615384615383"/>
    <x v="0"/>
    <s v="Monitor Sales"/>
  </r>
  <r>
    <n v="638"/>
    <s v="Product_27"/>
    <x v="1"/>
    <x v="1"/>
    <n v="379"/>
    <n v="398"/>
    <n v="386"/>
    <n v="1335.63"/>
    <n v="850.5"/>
    <n v="104"/>
    <n v="3"/>
    <s v="2026-02-24"/>
    <n v="222"/>
    <n v="3"/>
    <n v="45"/>
    <s v="No"/>
    <x v="0"/>
    <n v="12"/>
    <n v="1.050131926121372"/>
    <x v="1"/>
    <s v="Maintain Stock"/>
  </r>
  <r>
    <n v="639"/>
    <s v="Product_93"/>
    <x v="1"/>
    <x v="3"/>
    <n v="381"/>
    <n v="183"/>
    <n v="155"/>
    <n v="2775.59"/>
    <n v="2190.58"/>
    <n v="90"/>
    <n v="4"/>
    <s v="2026-01-20"/>
    <n v="240"/>
    <n v="3"/>
    <n v="24"/>
    <s v="Yes"/>
    <x v="2"/>
    <n v="28"/>
    <n v="0.48031496062992124"/>
    <x v="2"/>
    <s v="Apply Discount / Promotion"/>
  </r>
  <r>
    <n v="640"/>
    <s v="Product_80"/>
    <x v="2"/>
    <x v="0"/>
    <n v="308"/>
    <n v="347"/>
    <n v="395"/>
    <n v="4955.32"/>
    <n v="3556.91"/>
    <n v="129"/>
    <n v="4"/>
    <s v="2026-03-28"/>
    <n v="314"/>
    <n v="4"/>
    <n v="47"/>
    <s v="Yes"/>
    <x v="0"/>
    <n v="-48"/>
    <n v="1.1266233766233766"/>
    <x v="1"/>
    <s v="Maintain Stock"/>
  </r>
  <r>
    <n v="641"/>
    <s v="Product_1"/>
    <x v="0"/>
    <x v="3"/>
    <n v="218"/>
    <n v="0"/>
    <n v="21"/>
    <n v="3552.44"/>
    <n v="2288.31"/>
    <n v="121"/>
    <n v="2"/>
    <s v="2026-02-10"/>
    <n v="356"/>
    <n v="5"/>
    <n v="33"/>
    <s v="No"/>
    <x v="2"/>
    <n v="-21"/>
    <n v="0"/>
    <x v="2"/>
    <s v="Apply Discount / Promotion"/>
  </r>
  <r>
    <n v="642"/>
    <s v="Product_72"/>
    <x v="3"/>
    <x v="2"/>
    <n v="467"/>
    <n v="93"/>
    <n v="58"/>
    <n v="3365.97"/>
    <n v="1772.95"/>
    <n v="31"/>
    <n v="10"/>
    <s v="2026-01-20"/>
    <n v="232"/>
    <n v="1"/>
    <n v="41"/>
    <s v="Yes"/>
    <x v="2"/>
    <n v="35"/>
    <n v="0.19914346895074947"/>
    <x v="2"/>
    <s v="Apply Discount / Promotion"/>
  </r>
  <r>
    <n v="643"/>
    <s v="Product_54"/>
    <x v="1"/>
    <x v="2"/>
    <n v="275"/>
    <n v="248"/>
    <n v="243"/>
    <n v="4698.8"/>
    <n v="3608.75"/>
    <n v="116"/>
    <n v="7"/>
    <s v="2026-03-03"/>
    <n v="78"/>
    <n v="4"/>
    <n v="32"/>
    <s v="Yes"/>
    <x v="2"/>
    <n v="5"/>
    <n v="0.90181818181818185"/>
    <x v="0"/>
    <s v="Monitor Sales"/>
  </r>
  <r>
    <n v="644"/>
    <s v="Product_3"/>
    <x v="0"/>
    <x v="3"/>
    <n v="419"/>
    <n v="321"/>
    <n v="288"/>
    <n v="2853.39"/>
    <n v="2224.59"/>
    <n v="91"/>
    <n v="14"/>
    <s v="2026-02-22"/>
    <n v="298"/>
    <n v="4"/>
    <n v="2"/>
    <s v="No"/>
    <x v="1"/>
    <n v="33"/>
    <n v="0.76610978520286399"/>
    <x v="0"/>
    <s v="Monitor Sales"/>
  </r>
  <r>
    <n v="645"/>
    <s v="Product_4"/>
    <x v="3"/>
    <x v="1"/>
    <n v="430"/>
    <n v="188"/>
    <n v="176"/>
    <n v="4370.49"/>
    <n v="2815.19"/>
    <n v="112"/>
    <n v="11"/>
    <s v="2026-01-02"/>
    <n v="307"/>
    <n v="2"/>
    <n v="49"/>
    <s v="No"/>
    <x v="2"/>
    <n v="12"/>
    <n v="0.43720930232558142"/>
    <x v="2"/>
    <s v="Apply Discount / Promotion"/>
  </r>
  <r>
    <n v="646"/>
    <s v="Product_1"/>
    <x v="4"/>
    <x v="0"/>
    <n v="109"/>
    <n v="272"/>
    <n v="234"/>
    <n v="645.09"/>
    <n v="470.56"/>
    <n v="60"/>
    <n v="8"/>
    <s v="2026-03-12"/>
    <n v="294"/>
    <n v="5"/>
    <n v="40"/>
    <s v="Yes"/>
    <x v="2"/>
    <n v="38"/>
    <n v="2.4954128440366974"/>
    <x v="1"/>
    <s v="Maintain Stock"/>
  </r>
  <r>
    <n v="647"/>
    <s v="Product_97"/>
    <x v="0"/>
    <x v="2"/>
    <n v="498"/>
    <n v="92"/>
    <n v="74"/>
    <n v="3626.51"/>
    <n v="2899.59"/>
    <n v="140"/>
    <n v="7"/>
    <s v="2026-02-26"/>
    <n v="48"/>
    <n v="5"/>
    <n v="34"/>
    <s v="No"/>
    <x v="1"/>
    <n v="18"/>
    <n v="0.18473895582329317"/>
    <x v="2"/>
    <s v="Apply Discount / Promotion"/>
  </r>
  <r>
    <n v="648"/>
    <s v="Product_21"/>
    <x v="3"/>
    <x v="2"/>
    <n v="437"/>
    <n v="333"/>
    <n v="347"/>
    <n v="1679.4"/>
    <n v="1030.54"/>
    <n v="61"/>
    <n v="9"/>
    <s v="2026-03-02"/>
    <n v="330"/>
    <n v="1"/>
    <n v="2"/>
    <s v="No"/>
    <x v="0"/>
    <n v="-14"/>
    <n v="0.76201372997711669"/>
    <x v="0"/>
    <s v="Monitor Sales"/>
  </r>
  <r>
    <n v="649"/>
    <s v="Product_40"/>
    <x v="4"/>
    <x v="3"/>
    <n v="370"/>
    <n v="277"/>
    <n v="308"/>
    <n v="2640.34"/>
    <n v="1351.99"/>
    <n v="54"/>
    <n v="14"/>
    <s v="2026-03-14"/>
    <n v="300"/>
    <n v="3"/>
    <n v="18"/>
    <s v="Yes"/>
    <x v="1"/>
    <n v="-31"/>
    <n v="0.74864864864864866"/>
    <x v="0"/>
    <s v="Monitor Sales"/>
  </r>
  <r>
    <n v="650"/>
    <s v="Product_34"/>
    <x v="4"/>
    <x v="0"/>
    <n v="275"/>
    <n v="215"/>
    <n v="168"/>
    <n v="4213.4799999999996"/>
    <n v="2836.04"/>
    <n v="147"/>
    <n v="9"/>
    <s v="2026-02-20"/>
    <n v="221"/>
    <n v="1"/>
    <n v="46"/>
    <s v="No"/>
    <x v="1"/>
    <n v="47"/>
    <n v="0.78181818181818186"/>
    <x v="0"/>
    <s v="Monitor Sales"/>
  </r>
  <r>
    <n v="651"/>
    <s v="Product_81"/>
    <x v="0"/>
    <x v="0"/>
    <n v="402"/>
    <n v="223"/>
    <n v="243"/>
    <n v="1765.21"/>
    <n v="1030.94"/>
    <n v="127"/>
    <n v="13"/>
    <s v="2026-03-04"/>
    <n v="183"/>
    <n v="1"/>
    <n v="8"/>
    <s v="No"/>
    <x v="0"/>
    <n v="-20"/>
    <n v="0.55472636815920395"/>
    <x v="0"/>
    <s v="Monitor Sales"/>
  </r>
  <r>
    <n v="652"/>
    <s v="Product_94"/>
    <x v="4"/>
    <x v="1"/>
    <n v="380"/>
    <n v="125"/>
    <n v="173"/>
    <n v="2619.54"/>
    <n v="1575.33"/>
    <n v="66"/>
    <n v="12"/>
    <s v="2026-03-13"/>
    <n v="42"/>
    <n v="3"/>
    <n v="17"/>
    <s v="Yes"/>
    <x v="0"/>
    <n v="-48"/>
    <n v="0.32894736842105265"/>
    <x v="2"/>
    <s v="Apply Discount / Promotion"/>
  </r>
  <r>
    <n v="653"/>
    <s v="Product_48"/>
    <x v="2"/>
    <x v="1"/>
    <n v="150"/>
    <n v="134"/>
    <n v="103"/>
    <n v="4466.83"/>
    <n v="3565.64"/>
    <n v="97"/>
    <n v="12"/>
    <s v="2026-03-20"/>
    <n v="217"/>
    <n v="2"/>
    <n v="5"/>
    <s v="No"/>
    <x v="0"/>
    <n v="31"/>
    <n v="0.89333333333333331"/>
    <x v="0"/>
    <s v="Monitor Sales"/>
  </r>
  <r>
    <n v="654"/>
    <s v="Product_5"/>
    <x v="1"/>
    <x v="2"/>
    <n v="122"/>
    <n v="186"/>
    <n v="212"/>
    <n v="3121.05"/>
    <n v="2312.4299999999998"/>
    <n v="66"/>
    <n v="5"/>
    <s v="2026-01-30"/>
    <n v="158"/>
    <n v="5"/>
    <n v="42"/>
    <s v="Yes"/>
    <x v="2"/>
    <n v="-26"/>
    <n v="1.5245901639344261"/>
    <x v="1"/>
    <s v="Maintain Stock"/>
  </r>
  <r>
    <n v="655"/>
    <s v="Product_65"/>
    <x v="0"/>
    <x v="1"/>
    <n v="495"/>
    <n v="265"/>
    <n v="246"/>
    <n v="1182.21"/>
    <n v="858.71"/>
    <n v="130"/>
    <n v="6"/>
    <s v="2026-03-03"/>
    <n v="139"/>
    <n v="5"/>
    <n v="47"/>
    <s v="Yes"/>
    <x v="1"/>
    <n v="19"/>
    <n v="0.53535353535353536"/>
    <x v="0"/>
    <s v="Monitor Sales"/>
  </r>
  <r>
    <n v="656"/>
    <s v="Product_17"/>
    <x v="1"/>
    <x v="1"/>
    <n v="85"/>
    <n v="259"/>
    <n v="232"/>
    <n v="3592.38"/>
    <n v="2492.8000000000002"/>
    <n v="139"/>
    <n v="15"/>
    <s v="2026-01-03"/>
    <n v="154"/>
    <n v="2"/>
    <n v="35"/>
    <s v="Yes"/>
    <x v="0"/>
    <n v="27"/>
    <n v="3.0470588235294116"/>
    <x v="1"/>
    <s v="Maintain Stock"/>
  </r>
  <r>
    <n v="657"/>
    <s v="Product_85"/>
    <x v="1"/>
    <x v="0"/>
    <n v="213"/>
    <n v="434"/>
    <n v="384"/>
    <n v="2269.9"/>
    <n v="1343.24"/>
    <n v="134"/>
    <n v="3"/>
    <s v="2026-03-20"/>
    <n v="58"/>
    <n v="2"/>
    <n v="43"/>
    <s v="Yes"/>
    <x v="2"/>
    <n v="50"/>
    <n v="2.0375586854460095"/>
    <x v="1"/>
    <s v="Maintain Stock"/>
  </r>
  <r>
    <n v="658"/>
    <s v="Product_76"/>
    <x v="4"/>
    <x v="1"/>
    <n v="176"/>
    <n v="90"/>
    <n v="120"/>
    <n v="4878.1899999999996"/>
    <n v="2510.4"/>
    <n v="55"/>
    <n v="14"/>
    <s v="2026-01-27"/>
    <n v="274"/>
    <n v="3"/>
    <n v="45"/>
    <s v="Yes"/>
    <x v="0"/>
    <n v="-30"/>
    <n v="0.51136363636363635"/>
    <x v="0"/>
    <s v="Monitor Sales"/>
  </r>
  <r>
    <n v="659"/>
    <s v="Product_87"/>
    <x v="2"/>
    <x v="2"/>
    <n v="111"/>
    <n v="159"/>
    <n v="133"/>
    <n v="535.23"/>
    <n v="378.33"/>
    <n v="102"/>
    <n v="10"/>
    <s v="2026-03-15"/>
    <n v="298"/>
    <n v="3"/>
    <n v="11"/>
    <s v="No"/>
    <x v="0"/>
    <n v="26"/>
    <n v="1.4324324324324325"/>
    <x v="1"/>
    <s v="Maintain Stock"/>
  </r>
  <r>
    <n v="660"/>
    <s v="Product_75"/>
    <x v="2"/>
    <x v="0"/>
    <n v="249"/>
    <n v="421"/>
    <n v="375"/>
    <n v="3994.88"/>
    <n v="3112.67"/>
    <n v="97"/>
    <n v="11"/>
    <s v="2026-02-10"/>
    <n v="232"/>
    <n v="2"/>
    <n v="43"/>
    <s v="No"/>
    <x v="1"/>
    <n v="46"/>
    <n v="1.6907630522088353"/>
    <x v="1"/>
    <s v="Maintain Stock"/>
  </r>
  <r>
    <n v="661"/>
    <s v="Product_23"/>
    <x v="3"/>
    <x v="2"/>
    <n v="117"/>
    <n v="275"/>
    <n v="284"/>
    <n v="1269.73"/>
    <n v="803.54"/>
    <n v="59"/>
    <n v="2"/>
    <s v="2026-01-19"/>
    <n v="132"/>
    <n v="3"/>
    <n v="24"/>
    <s v="Yes"/>
    <x v="1"/>
    <n v="-9"/>
    <n v="2.3504273504273505"/>
    <x v="1"/>
    <s v="Maintain Stock"/>
  </r>
  <r>
    <n v="662"/>
    <s v="Product_23"/>
    <x v="3"/>
    <x v="3"/>
    <n v="289"/>
    <n v="353"/>
    <n v="313"/>
    <n v="2397.69"/>
    <n v="1404.19"/>
    <n v="119"/>
    <n v="5"/>
    <s v="2026-02-06"/>
    <n v="255"/>
    <n v="4"/>
    <n v="9"/>
    <s v="Yes"/>
    <x v="0"/>
    <n v="40"/>
    <n v="1.2214532871972319"/>
    <x v="1"/>
    <s v="Maintain Stock"/>
  </r>
  <r>
    <n v="663"/>
    <s v="Product_58"/>
    <x v="4"/>
    <x v="3"/>
    <n v="198"/>
    <n v="157"/>
    <n v="129"/>
    <n v="1983.52"/>
    <n v="1482.3"/>
    <n v="102"/>
    <n v="14"/>
    <s v="2026-02-27"/>
    <n v="273"/>
    <n v="4"/>
    <n v="20"/>
    <s v="Yes"/>
    <x v="0"/>
    <n v="28"/>
    <n v="0.79292929292929293"/>
    <x v="0"/>
    <s v="Monitor Sales"/>
  </r>
  <r>
    <n v="664"/>
    <s v="Product_95"/>
    <x v="2"/>
    <x v="2"/>
    <n v="385"/>
    <n v="336"/>
    <n v="318"/>
    <n v="1845.36"/>
    <n v="1446.73"/>
    <n v="133"/>
    <n v="9"/>
    <s v="2026-01-10"/>
    <n v="173"/>
    <n v="3"/>
    <n v="12"/>
    <s v="No"/>
    <x v="0"/>
    <n v="18"/>
    <n v="0.87272727272727268"/>
    <x v="0"/>
    <s v="Monitor Sales"/>
  </r>
  <r>
    <n v="665"/>
    <s v="Product_38"/>
    <x v="1"/>
    <x v="2"/>
    <n v="361"/>
    <n v="155"/>
    <n v="131"/>
    <n v="542.5"/>
    <n v="364.55"/>
    <n v="95"/>
    <n v="13"/>
    <s v="2026-02-28"/>
    <n v="356"/>
    <n v="1"/>
    <n v="13"/>
    <s v="No"/>
    <x v="0"/>
    <n v="24"/>
    <n v="0.4293628808864266"/>
    <x v="2"/>
    <s v="Apply Discount / Promotion"/>
  </r>
  <r>
    <n v="666"/>
    <s v="Product_9"/>
    <x v="4"/>
    <x v="1"/>
    <n v="427"/>
    <n v="36"/>
    <n v="54"/>
    <n v="1338.44"/>
    <n v="951.03"/>
    <n v="149"/>
    <n v="1"/>
    <s v="2026-03-13"/>
    <n v="36"/>
    <n v="5"/>
    <n v="26"/>
    <s v="No"/>
    <x v="0"/>
    <n v="-18"/>
    <n v="8.4309133489461355E-2"/>
    <x v="2"/>
    <s v="Apply Discount / Promotion"/>
  </r>
  <r>
    <n v="667"/>
    <s v="Product_3"/>
    <x v="3"/>
    <x v="2"/>
    <n v="78"/>
    <n v="91"/>
    <n v="125"/>
    <n v="4345.8100000000004"/>
    <n v="2313.98"/>
    <n v="138"/>
    <n v="14"/>
    <s v="2026-02-17"/>
    <n v="309"/>
    <n v="5"/>
    <n v="44"/>
    <s v="No"/>
    <x v="2"/>
    <n v="-34"/>
    <n v="1.1666666666666667"/>
    <x v="1"/>
    <s v="Maintain Stock"/>
  </r>
  <r>
    <n v="668"/>
    <s v="Product_33"/>
    <x v="4"/>
    <x v="0"/>
    <n v="286"/>
    <n v="121"/>
    <n v="91"/>
    <n v="4304.59"/>
    <n v="2530.67"/>
    <n v="66"/>
    <n v="1"/>
    <s v="2026-03-18"/>
    <n v="253"/>
    <n v="3"/>
    <n v="21"/>
    <s v="Yes"/>
    <x v="0"/>
    <n v="30"/>
    <n v="0.42307692307692307"/>
    <x v="2"/>
    <s v="Apply Discount / Promotion"/>
  </r>
  <r>
    <n v="669"/>
    <s v="Product_61"/>
    <x v="2"/>
    <x v="2"/>
    <n v="159"/>
    <n v="224"/>
    <n v="274"/>
    <n v="4124"/>
    <n v="3150.69"/>
    <n v="128"/>
    <n v="2"/>
    <s v="2026-03-03"/>
    <n v="168"/>
    <n v="2"/>
    <n v="36"/>
    <s v="No"/>
    <x v="0"/>
    <n v="-50"/>
    <n v="1.4088050314465408"/>
    <x v="1"/>
    <s v="Maintain Stock"/>
  </r>
  <r>
    <n v="670"/>
    <s v="Product_21"/>
    <x v="1"/>
    <x v="0"/>
    <n v="205"/>
    <n v="86"/>
    <n v="129"/>
    <n v="758.7"/>
    <n v="431.94"/>
    <n v="82"/>
    <n v="9"/>
    <s v="2026-01-07"/>
    <n v="46"/>
    <n v="3"/>
    <n v="50"/>
    <s v="Yes"/>
    <x v="1"/>
    <n v="-43"/>
    <n v="0.4195121951219512"/>
    <x v="2"/>
    <s v="Apply Discount / Promotion"/>
  </r>
  <r>
    <n v="671"/>
    <s v="Product_7"/>
    <x v="2"/>
    <x v="0"/>
    <n v="433"/>
    <n v="139"/>
    <n v="164"/>
    <n v="2565.71"/>
    <n v="1921.04"/>
    <n v="51"/>
    <n v="10"/>
    <s v="2026-02-27"/>
    <n v="322"/>
    <n v="5"/>
    <n v="39"/>
    <s v="Yes"/>
    <x v="0"/>
    <n v="-25"/>
    <n v="0.32101616628175522"/>
    <x v="2"/>
    <s v="Apply Discount / Promotion"/>
  </r>
  <r>
    <n v="672"/>
    <s v="Product_39"/>
    <x v="2"/>
    <x v="2"/>
    <n v="213"/>
    <n v="11"/>
    <n v="58"/>
    <n v="772.5"/>
    <n v="415.15"/>
    <n v="46"/>
    <n v="3"/>
    <s v="2026-03-14"/>
    <n v="211"/>
    <n v="3"/>
    <n v="30"/>
    <s v="No"/>
    <x v="2"/>
    <n v="-47"/>
    <n v="5.1643192488262914E-2"/>
    <x v="2"/>
    <s v="Apply Discount / Promotion"/>
  </r>
  <r>
    <n v="673"/>
    <s v="Product_29"/>
    <x v="0"/>
    <x v="1"/>
    <n v="419"/>
    <n v="126"/>
    <n v="89"/>
    <n v="303.07"/>
    <n v="196.72"/>
    <n v="115"/>
    <n v="2"/>
    <s v="2026-02-28"/>
    <n v="364"/>
    <n v="5"/>
    <n v="42"/>
    <s v="Yes"/>
    <x v="0"/>
    <n v="37"/>
    <n v="0.30071599045346065"/>
    <x v="2"/>
    <s v="Apply Discount / Promotion"/>
  </r>
  <r>
    <n v="674"/>
    <s v="Product_16"/>
    <x v="1"/>
    <x v="3"/>
    <n v="150"/>
    <n v="123"/>
    <n v="79"/>
    <n v="3894.71"/>
    <n v="2362.17"/>
    <n v="30"/>
    <n v="7"/>
    <s v="2026-03-16"/>
    <n v="271"/>
    <n v="3"/>
    <n v="18"/>
    <s v="Yes"/>
    <x v="0"/>
    <n v="44"/>
    <n v="0.82"/>
    <x v="0"/>
    <s v="Monitor Sales"/>
  </r>
  <r>
    <n v="675"/>
    <s v="Product_37"/>
    <x v="1"/>
    <x v="2"/>
    <n v="294"/>
    <n v="271"/>
    <n v="296"/>
    <n v="831.76"/>
    <n v="567.02"/>
    <n v="73"/>
    <n v="3"/>
    <s v="2026-03-26"/>
    <n v="156"/>
    <n v="1"/>
    <n v="37"/>
    <s v="No"/>
    <x v="0"/>
    <n v="-25"/>
    <n v="0.92176870748299322"/>
    <x v="0"/>
    <s v="Monitor Sales"/>
  </r>
  <r>
    <n v="676"/>
    <s v="Product_56"/>
    <x v="2"/>
    <x v="3"/>
    <n v="331"/>
    <n v="85"/>
    <n v="76"/>
    <n v="3036.2"/>
    <n v="2264.4"/>
    <n v="60"/>
    <n v="10"/>
    <s v="2026-01-13"/>
    <n v="335"/>
    <n v="3"/>
    <n v="18"/>
    <s v="Yes"/>
    <x v="0"/>
    <n v="9"/>
    <n v="0.25679758308157102"/>
    <x v="2"/>
    <s v="Apply Discount / Promotion"/>
  </r>
  <r>
    <n v="677"/>
    <s v="Product_93"/>
    <x v="0"/>
    <x v="1"/>
    <n v="202"/>
    <n v="348"/>
    <n v="319"/>
    <n v="2790.78"/>
    <n v="1730.46"/>
    <n v="130"/>
    <n v="7"/>
    <s v="2026-03-28"/>
    <n v="206"/>
    <n v="2"/>
    <n v="30"/>
    <s v="No"/>
    <x v="2"/>
    <n v="29"/>
    <n v="1.7227722772277227"/>
    <x v="1"/>
    <s v="Maintain Stock"/>
  </r>
  <r>
    <n v="678"/>
    <s v="Product_37"/>
    <x v="1"/>
    <x v="2"/>
    <n v="347"/>
    <n v="66"/>
    <n v="112"/>
    <n v="3032.49"/>
    <n v="1832.45"/>
    <n v="52"/>
    <n v="10"/>
    <s v="2026-01-27"/>
    <n v="318"/>
    <n v="3"/>
    <n v="44"/>
    <s v="Yes"/>
    <x v="2"/>
    <n v="-46"/>
    <n v="0.19020172910662825"/>
    <x v="2"/>
    <s v="Apply Discount / Promotion"/>
  </r>
  <r>
    <n v="679"/>
    <s v="Product_34"/>
    <x v="2"/>
    <x v="3"/>
    <n v="325"/>
    <n v="87"/>
    <n v="42"/>
    <n v="1255.5"/>
    <n v="916.76"/>
    <n v="68"/>
    <n v="13"/>
    <s v="2026-01-15"/>
    <n v="365"/>
    <n v="2"/>
    <n v="25"/>
    <s v="Yes"/>
    <x v="0"/>
    <n v="45"/>
    <n v="0.26769230769230767"/>
    <x v="2"/>
    <s v="Apply Discount / Promotion"/>
  </r>
  <r>
    <n v="680"/>
    <s v="Product_78"/>
    <x v="1"/>
    <x v="0"/>
    <n v="494"/>
    <n v="98"/>
    <n v="110"/>
    <n v="2912.78"/>
    <n v="2224.42"/>
    <n v="74"/>
    <n v="4"/>
    <s v="2026-02-20"/>
    <n v="53"/>
    <n v="2"/>
    <n v="21"/>
    <s v="Yes"/>
    <x v="1"/>
    <n v="-12"/>
    <n v="0.19838056680161945"/>
    <x v="2"/>
    <s v="Apply Discount / Promotion"/>
  </r>
  <r>
    <n v="681"/>
    <s v="Product_82"/>
    <x v="3"/>
    <x v="2"/>
    <n v="106"/>
    <n v="274"/>
    <n v="312"/>
    <n v="993.65"/>
    <n v="506.8"/>
    <n v="59"/>
    <n v="14"/>
    <s v="2026-01-27"/>
    <n v="72"/>
    <n v="4"/>
    <n v="24"/>
    <s v="Yes"/>
    <x v="2"/>
    <n v="-38"/>
    <n v="2.5849056603773586"/>
    <x v="1"/>
    <s v="Maintain Stock"/>
  </r>
  <r>
    <n v="682"/>
    <s v="Product_31"/>
    <x v="1"/>
    <x v="3"/>
    <n v="368"/>
    <n v="74"/>
    <n v="87"/>
    <n v="240.35"/>
    <n v="159.31"/>
    <n v="113"/>
    <n v="5"/>
    <s v="2026-01-08"/>
    <n v="239"/>
    <n v="1"/>
    <n v="35"/>
    <s v="Yes"/>
    <x v="0"/>
    <n v="-13"/>
    <n v="0.20108695652173914"/>
    <x v="2"/>
    <s v="Apply Discount / Promotion"/>
  </r>
  <r>
    <n v="683"/>
    <s v="Product_24"/>
    <x v="4"/>
    <x v="3"/>
    <n v="188"/>
    <n v="94"/>
    <n v="65"/>
    <n v="856.76"/>
    <n v="574.83000000000004"/>
    <n v="105"/>
    <n v="8"/>
    <s v="2026-02-19"/>
    <n v="301"/>
    <n v="3"/>
    <n v="5"/>
    <s v="Yes"/>
    <x v="2"/>
    <n v="29"/>
    <n v="0.5"/>
    <x v="0"/>
    <s v="Monitor Sales"/>
  </r>
  <r>
    <n v="684"/>
    <s v="Product_88"/>
    <x v="3"/>
    <x v="3"/>
    <n v="339"/>
    <n v="335"/>
    <n v="290"/>
    <n v="3023.27"/>
    <n v="1819.55"/>
    <n v="112"/>
    <n v="13"/>
    <s v="2026-01-04"/>
    <n v="229"/>
    <n v="2"/>
    <n v="33"/>
    <s v="Yes"/>
    <x v="2"/>
    <n v="45"/>
    <n v="0.98820058997050142"/>
    <x v="0"/>
    <s v="Monitor Sales"/>
  </r>
  <r>
    <n v="685"/>
    <s v="Product_68"/>
    <x v="2"/>
    <x v="2"/>
    <n v="112"/>
    <n v="190"/>
    <n v="178"/>
    <n v="4370.78"/>
    <n v="2804.46"/>
    <n v="117"/>
    <n v="6"/>
    <s v="2026-02-16"/>
    <n v="144"/>
    <n v="5"/>
    <n v="23"/>
    <s v="No"/>
    <x v="2"/>
    <n v="12"/>
    <n v="1.6964285714285714"/>
    <x v="1"/>
    <s v="Maintain Stock"/>
  </r>
  <r>
    <n v="686"/>
    <s v="Product_60"/>
    <x v="4"/>
    <x v="2"/>
    <n v="400"/>
    <n v="299"/>
    <n v="273"/>
    <n v="4707.76"/>
    <n v="2666.73"/>
    <n v="54"/>
    <n v="10"/>
    <s v="2026-01-21"/>
    <n v="77"/>
    <n v="1"/>
    <n v="50"/>
    <s v="No"/>
    <x v="2"/>
    <n v="26"/>
    <n v="0.74750000000000005"/>
    <x v="0"/>
    <s v="Monitor Sales"/>
  </r>
  <r>
    <n v="687"/>
    <s v="Product_33"/>
    <x v="0"/>
    <x v="2"/>
    <n v="149"/>
    <n v="245"/>
    <n v="267"/>
    <n v="1626.77"/>
    <n v="1198.6199999999999"/>
    <n v="121"/>
    <n v="6"/>
    <s v="2026-03-07"/>
    <n v="130"/>
    <n v="1"/>
    <n v="49"/>
    <s v="No"/>
    <x v="1"/>
    <n v="-22"/>
    <n v="1.6442953020134228"/>
    <x v="1"/>
    <s v="Maintain Stock"/>
  </r>
  <r>
    <n v="688"/>
    <s v="Product_76"/>
    <x v="4"/>
    <x v="2"/>
    <n v="88"/>
    <n v="73"/>
    <n v="107"/>
    <n v="3565.05"/>
    <n v="2450.9299999999998"/>
    <n v="57"/>
    <n v="15"/>
    <s v="2026-03-15"/>
    <n v="196"/>
    <n v="2"/>
    <n v="24"/>
    <s v="No"/>
    <x v="1"/>
    <n v="-34"/>
    <n v="0.82954545454545459"/>
    <x v="0"/>
    <s v="Monitor Sales"/>
  </r>
  <r>
    <n v="689"/>
    <s v="Product_57"/>
    <x v="4"/>
    <x v="3"/>
    <n v="326"/>
    <n v="143"/>
    <n v="127"/>
    <n v="2093.89"/>
    <n v="1311.78"/>
    <n v="115"/>
    <n v="5"/>
    <s v="2026-01-14"/>
    <n v="216"/>
    <n v="1"/>
    <n v="7"/>
    <s v="No"/>
    <x v="2"/>
    <n v="16"/>
    <n v="0.43865030674846628"/>
    <x v="2"/>
    <s v="Apply Discount / Promotion"/>
  </r>
  <r>
    <n v="690"/>
    <s v="Product_15"/>
    <x v="0"/>
    <x v="1"/>
    <n v="92"/>
    <n v="208"/>
    <n v="255"/>
    <n v="3703.71"/>
    <n v="2080.67"/>
    <n v="46"/>
    <n v="4"/>
    <s v="2026-03-20"/>
    <n v="337"/>
    <n v="2"/>
    <n v="27"/>
    <s v="Yes"/>
    <x v="0"/>
    <n v="-47"/>
    <n v="2.2608695652173911"/>
    <x v="1"/>
    <s v="Maintain Stock"/>
  </r>
  <r>
    <n v="691"/>
    <s v="Product_12"/>
    <x v="0"/>
    <x v="1"/>
    <n v="60"/>
    <n v="174"/>
    <n v="178"/>
    <n v="2607.0300000000002"/>
    <n v="1655.32"/>
    <n v="116"/>
    <n v="1"/>
    <s v="2026-02-14"/>
    <n v="149"/>
    <n v="1"/>
    <n v="10"/>
    <s v="Yes"/>
    <x v="2"/>
    <n v="-4"/>
    <n v="2.9"/>
    <x v="1"/>
    <s v="Maintain Stock"/>
  </r>
  <r>
    <n v="692"/>
    <s v="Product_63"/>
    <x v="0"/>
    <x v="1"/>
    <n v="246"/>
    <n v="16"/>
    <n v="26"/>
    <n v="4642.42"/>
    <n v="2911.5"/>
    <n v="110"/>
    <n v="11"/>
    <s v="2026-02-17"/>
    <n v="348"/>
    <n v="3"/>
    <n v="22"/>
    <s v="No"/>
    <x v="2"/>
    <n v="-10"/>
    <n v="6.5040650406504072E-2"/>
    <x v="2"/>
    <s v="Apply Discount / Promotion"/>
  </r>
  <r>
    <n v="693"/>
    <s v="Product_28"/>
    <x v="0"/>
    <x v="3"/>
    <n v="233"/>
    <n v="295"/>
    <n v="305"/>
    <n v="2008.51"/>
    <n v="1583.85"/>
    <n v="95"/>
    <n v="6"/>
    <s v="2026-01-30"/>
    <n v="187"/>
    <n v="1"/>
    <n v="47"/>
    <s v="Yes"/>
    <x v="0"/>
    <n v="-10"/>
    <n v="1.2660944206008584"/>
    <x v="1"/>
    <s v="Maintain Stock"/>
  </r>
  <r>
    <n v="694"/>
    <s v="Product_70"/>
    <x v="3"/>
    <x v="2"/>
    <n v="98"/>
    <n v="431"/>
    <n v="384"/>
    <n v="2600.34"/>
    <n v="1856.55"/>
    <n v="146"/>
    <n v="11"/>
    <s v="2026-03-26"/>
    <n v="205"/>
    <n v="1"/>
    <n v="22"/>
    <s v="No"/>
    <x v="2"/>
    <n v="47"/>
    <n v="4.3979591836734695"/>
    <x v="1"/>
    <s v="Maintain Stock"/>
  </r>
  <r>
    <n v="695"/>
    <s v="Product_67"/>
    <x v="2"/>
    <x v="3"/>
    <n v="175"/>
    <n v="182"/>
    <n v="184"/>
    <n v="2604.42"/>
    <n v="1699.1"/>
    <n v="147"/>
    <n v="2"/>
    <s v="2026-03-18"/>
    <n v="75"/>
    <n v="4"/>
    <n v="24"/>
    <s v="Yes"/>
    <x v="2"/>
    <n v="-2"/>
    <n v="1.04"/>
    <x v="1"/>
    <s v="Maintain Stock"/>
  </r>
  <r>
    <n v="696"/>
    <s v="Product_16"/>
    <x v="4"/>
    <x v="1"/>
    <n v="386"/>
    <n v="299"/>
    <n v="349"/>
    <n v="1171.02"/>
    <n v="588.23"/>
    <n v="98"/>
    <n v="10"/>
    <s v="2026-02-07"/>
    <n v="136"/>
    <n v="5"/>
    <n v="39"/>
    <s v="No"/>
    <x v="2"/>
    <n v="-50"/>
    <n v="0.77461139896373055"/>
    <x v="0"/>
    <s v="Monitor Sales"/>
  </r>
  <r>
    <n v="697"/>
    <s v="Product_74"/>
    <x v="2"/>
    <x v="2"/>
    <n v="38"/>
    <n v="318"/>
    <n v="298"/>
    <n v="551.67999999999995"/>
    <n v="318.63"/>
    <n v="131"/>
    <n v="7"/>
    <s v="2026-01-24"/>
    <n v="114"/>
    <n v="2"/>
    <n v="23"/>
    <s v="No"/>
    <x v="2"/>
    <n v="20"/>
    <n v="8.3684210526315788"/>
    <x v="1"/>
    <s v="Maintain Stock"/>
  </r>
  <r>
    <n v="698"/>
    <s v="Product_61"/>
    <x v="2"/>
    <x v="2"/>
    <n v="123"/>
    <n v="123"/>
    <n v="125"/>
    <n v="363.58"/>
    <n v="235.6"/>
    <n v="93"/>
    <n v="7"/>
    <s v="2026-02-18"/>
    <n v="42"/>
    <n v="4"/>
    <n v="21"/>
    <s v="No"/>
    <x v="2"/>
    <n v="-2"/>
    <n v="1"/>
    <x v="1"/>
    <s v="Maintain Stock"/>
  </r>
  <r>
    <n v="699"/>
    <s v="Product_15"/>
    <x v="1"/>
    <x v="1"/>
    <n v="407"/>
    <n v="324"/>
    <n v="370"/>
    <n v="1416.1"/>
    <n v="1079.97"/>
    <n v="58"/>
    <n v="3"/>
    <s v="2026-03-25"/>
    <n v="98"/>
    <n v="5"/>
    <n v="50"/>
    <s v="Yes"/>
    <x v="1"/>
    <n v="-46"/>
    <n v="0.7960687960687961"/>
    <x v="0"/>
    <s v="Monitor Sales"/>
  </r>
  <r>
    <n v="700"/>
    <s v="Product_71"/>
    <x v="4"/>
    <x v="3"/>
    <n v="254"/>
    <n v="311"/>
    <n v="354"/>
    <n v="2581.4499999999998"/>
    <n v="1373.22"/>
    <n v="62"/>
    <n v="15"/>
    <s v="2026-01-08"/>
    <n v="166"/>
    <n v="2"/>
    <n v="24"/>
    <s v="Yes"/>
    <x v="0"/>
    <n v="-43"/>
    <n v="1.2244094488188977"/>
    <x v="1"/>
    <s v="Maintain Stock"/>
  </r>
  <r>
    <n v="701"/>
    <s v="Product_30"/>
    <x v="1"/>
    <x v="1"/>
    <n v="258"/>
    <n v="318"/>
    <n v="360"/>
    <n v="2934.47"/>
    <n v="2182.38"/>
    <n v="142"/>
    <n v="8"/>
    <s v="2026-01-18"/>
    <n v="346"/>
    <n v="3"/>
    <n v="19"/>
    <s v="Yes"/>
    <x v="2"/>
    <n v="-42"/>
    <n v="1.2325581395348837"/>
    <x v="1"/>
    <s v="Maintain Stock"/>
  </r>
  <r>
    <n v="702"/>
    <s v="Product_5"/>
    <x v="3"/>
    <x v="2"/>
    <n v="338"/>
    <n v="344"/>
    <n v="318"/>
    <n v="3313.96"/>
    <n v="2097.92"/>
    <n v="64"/>
    <n v="13"/>
    <s v="2026-02-17"/>
    <n v="279"/>
    <n v="4"/>
    <n v="29"/>
    <s v="No"/>
    <x v="2"/>
    <n v="26"/>
    <n v="1.0177514792899409"/>
    <x v="1"/>
    <s v="Maintain Stock"/>
  </r>
  <r>
    <n v="703"/>
    <s v="Product_90"/>
    <x v="3"/>
    <x v="1"/>
    <n v="277"/>
    <n v="118"/>
    <n v="150"/>
    <n v="4440.54"/>
    <n v="3037.22"/>
    <n v="31"/>
    <n v="4"/>
    <s v="2026-03-06"/>
    <n v="296"/>
    <n v="2"/>
    <n v="49"/>
    <s v="No"/>
    <x v="1"/>
    <n v="-32"/>
    <n v="0.4259927797833935"/>
    <x v="2"/>
    <s v="Apply Discount / Promotion"/>
  </r>
  <r>
    <n v="704"/>
    <s v="Product_16"/>
    <x v="3"/>
    <x v="1"/>
    <n v="217"/>
    <n v="238"/>
    <n v="268"/>
    <n v="1876.03"/>
    <n v="1330.22"/>
    <n v="107"/>
    <n v="13"/>
    <s v="2026-01-10"/>
    <n v="298"/>
    <n v="1"/>
    <n v="43"/>
    <s v="No"/>
    <x v="1"/>
    <n v="-30"/>
    <n v="1.096774193548387"/>
    <x v="1"/>
    <s v="Maintain Stock"/>
  </r>
  <r>
    <n v="705"/>
    <s v="Product_93"/>
    <x v="4"/>
    <x v="3"/>
    <n v="464"/>
    <n v="235"/>
    <n v="270"/>
    <n v="1906.98"/>
    <n v="1033.19"/>
    <n v="129"/>
    <n v="6"/>
    <s v="2026-01-08"/>
    <n v="175"/>
    <n v="1"/>
    <n v="40"/>
    <s v="No"/>
    <x v="0"/>
    <n v="-35"/>
    <n v="0.50646551724137934"/>
    <x v="0"/>
    <s v="Monitor Sales"/>
  </r>
  <r>
    <n v="706"/>
    <s v="Product_53"/>
    <x v="1"/>
    <x v="0"/>
    <n v="162"/>
    <n v="368"/>
    <n v="391"/>
    <n v="3398.33"/>
    <n v="2618.67"/>
    <n v="82"/>
    <n v="8"/>
    <s v="2026-01-29"/>
    <n v="343"/>
    <n v="3"/>
    <n v="31"/>
    <s v="No"/>
    <x v="1"/>
    <n v="-23"/>
    <n v="2.2716049382716048"/>
    <x v="1"/>
    <s v="Maintain Stock"/>
  </r>
  <r>
    <n v="707"/>
    <s v="Product_61"/>
    <x v="1"/>
    <x v="3"/>
    <n v="156"/>
    <n v="260"/>
    <n v="277"/>
    <n v="825.39"/>
    <n v="512.53"/>
    <n v="135"/>
    <n v="10"/>
    <s v="2026-02-13"/>
    <n v="91"/>
    <n v="4"/>
    <n v="13"/>
    <s v="No"/>
    <x v="1"/>
    <n v="-17"/>
    <n v="1.6666666666666667"/>
    <x v="1"/>
    <s v="Maintain Stock"/>
  </r>
  <r>
    <n v="708"/>
    <s v="Product_24"/>
    <x v="1"/>
    <x v="3"/>
    <n v="150"/>
    <n v="390"/>
    <n v="348"/>
    <n v="323.44"/>
    <n v="240.34"/>
    <n v="79"/>
    <n v="9"/>
    <s v="2026-01-24"/>
    <n v="36"/>
    <n v="3"/>
    <n v="26"/>
    <s v="No"/>
    <x v="2"/>
    <n v="42"/>
    <n v="2.6"/>
    <x v="1"/>
    <s v="Maintain Stock"/>
  </r>
  <r>
    <n v="709"/>
    <s v="Product_43"/>
    <x v="4"/>
    <x v="1"/>
    <n v="476"/>
    <n v="351"/>
    <n v="388"/>
    <n v="2131.31"/>
    <n v="1077.47"/>
    <n v="75"/>
    <n v="10"/>
    <s v="2026-03-15"/>
    <n v="134"/>
    <n v="4"/>
    <n v="43"/>
    <s v="No"/>
    <x v="0"/>
    <n v="-37"/>
    <n v="0.73739495798319332"/>
    <x v="0"/>
    <s v="Monitor Sales"/>
  </r>
  <r>
    <n v="710"/>
    <s v="Product_50"/>
    <x v="1"/>
    <x v="2"/>
    <n v="416"/>
    <n v="42"/>
    <n v="77"/>
    <n v="3097.44"/>
    <n v="2086.25"/>
    <n v="126"/>
    <n v="3"/>
    <s v="2026-01-10"/>
    <n v="191"/>
    <n v="1"/>
    <n v="15"/>
    <s v="No"/>
    <x v="1"/>
    <n v="-35"/>
    <n v="0.10096153846153846"/>
    <x v="2"/>
    <s v="Apply Discount / Promotion"/>
  </r>
  <r>
    <n v="711"/>
    <s v="Product_7"/>
    <x v="4"/>
    <x v="1"/>
    <n v="391"/>
    <n v="224"/>
    <n v="226"/>
    <n v="2453.2800000000002"/>
    <n v="1866.18"/>
    <n v="46"/>
    <n v="9"/>
    <s v="2026-01-24"/>
    <n v="162"/>
    <n v="4"/>
    <n v="5"/>
    <s v="Yes"/>
    <x v="0"/>
    <n v="-2"/>
    <n v="0.57289002557544755"/>
    <x v="0"/>
    <s v="Monitor Sales"/>
  </r>
  <r>
    <n v="712"/>
    <s v="Product_10"/>
    <x v="1"/>
    <x v="0"/>
    <n v="261"/>
    <n v="346"/>
    <n v="357"/>
    <n v="3544.67"/>
    <n v="2044.23"/>
    <n v="70"/>
    <n v="6"/>
    <s v="2026-03-20"/>
    <n v="215"/>
    <n v="2"/>
    <n v="8"/>
    <s v="Yes"/>
    <x v="1"/>
    <n v="-11"/>
    <n v="1.3256704980842913"/>
    <x v="1"/>
    <s v="Maintain Stock"/>
  </r>
  <r>
    <n v="713"/>
    <s v="Product_60"/>
    <x v="0"/>
    <x v="0"/>
    <n v="85"/>
    <n v="95"/>
    <n v="128"/>
    <n v="2529.8200000000002"/>
    <n v="1656"/>
    <n v="60"/>
    <n v="13"/>
    <s v="2026-01-19"/>
    <n v="36"/>
    <n v="4"/>
    <n v="30"/>
    <s v="No"/>
    <x v="2"/>
    <n v="-33"/>
    <n v="1.1176470588235294"/>
    <x v="1"/>
    <s v="Maintain Stock"/>
  </r>
  <r>
    <n v="714"/>
    <s v="Product_83"/>
    <x v="0"/>
    <x v="2"/>
    <n v="318"/>
    <n v="70"/>
    <n v="87"/>
    <n v="3191.28"/>
    <n v="1642.22"/>
    <n v="77"/>
    <n v="7"/>
    <s v="2026-01-11"/>
    <n v="115"/>
    <n v="5"/>
    <n v="27"/>
    <s v="No"/>
    <x v="0"/>
    <n v="-17"/>
    <n v="0.22012578616352202"/>
    <x v="2"/>
    <s v="Apply Discount / Promotion"/>
  </r>
  <r>
    <n v="715"/>
    <s v="Product_75"/>
    <x v="2"/>
    <x v="0"/>
    <n v="42"/>
    <n v="0"/>
    <n v="13"/>
    <n v="2393.8000000000002"/>
    <n v="1561.06"/>
    <n v="142"/>
    <n v="14"/>
    <s v="2026-03-03"/>
    <n v="212"/>
    <n v="3"/>
    <n v="37"/>
    <s v="No"/>
    <x v="2"/>
    <n v="-13"/>
    <n v="0"/>
    <x v="2"/>
    <s v="Apply Discount / Promotion"/>
  </r>
  <r>
    <n v="716"/>
    <s v="Product_2"/>
    <x v="0"/>
    <x v="2"/>
    <n v="99"/>
    <n v="307"/>
    <n v="356"/>
    <n v="622.53"/>
    <n v="414.87"/>
    <n v="110"/>
    <n v="15"/>
    <s v="2026-02-10"/>
    <n v="117"/>
    <n v="1"/>
    <n v="38"/>
    <s v="No"/>
    <x v="2"/>
    <n v="-49"/>
    <n v="3.1010101010101012"/>
    <x v="1"/>
    <s v="Maintain Stock"/>
  </r>
  <r>
    <n v="717"/>
    <s v="Product_44"/>
    <x v="1"/>
    <x v="0"/>
    <n v="493"/>
    <n v="296"/>
    <n v="272"/>
    <n v="4324.3500000000004"/>
    <n v="3121.87"/>
    <n v="34"/>
    <n v="2"/>
    <s v="2026-02-15"/>
    <n v="258"/>
    <n v="4"/>
    <n v="4"/>
    <s v="No"/>
    <x v="0"/>
    <n v="24"/>
    <n v="0.60040567951318458"/>
    <x v="0"/>
    <s v="Monitor Sales"/>
  </r>
  <r>
    <n v="718"/>
    <s v="Product_33"/>
    <x v="0"/>
    <x v="1"/>
    <n v="349"/>
    <n v="315"/>
    <n v="286"/>
    <n v="2122.87"/>
    <n v="1496.97"/>
    <n v="41"/>
    <n v="1"/>
    <s v="2026-02-08"/>
    <n v="293"/>
    <n v="1"/>
    <n v="30"/>
    <s v="No"/>
    <x v="2"/>
    <n v="29"/>
    <n v="0.90257879656160456"/>
    <x v="0"/>
    <s v="Monitor Sales"/>
  </r>
  <r>
    <n v="719"/>
    <s v="Product_41"/>
    <x v="2"/>
    <x v="2"/>
    <n v="81"/>
    <n v="223"/>
    <n v="220"/>
    <n v="977.86"/>
    <n v="672.82"/>
    <n v="108"/>
    <n v="3"/>
    <s v="2026-03-24"/>
    <n v="276"/>
    <n v="5"/>
    <n v="5"/>
    <s v="No"/>
    <x v="1"/>
    <n v="3"/>
    <n v="2.7530864197530862"/>
    <x v="1"/>
    <s v="Maintain Stock"/>
  </r>
  <r>
    <n v="720"/>
    <s v="Product_100"/>
    <x v="4"/>
    <x v="0"/>
    <n v="22"/>
    <n v="83"/>
    <n v="124"/>
    <n v="1053.67"/>
    <n v="555.32000000000005"/>
    <n v="103"/>
    <n v="8"/>
    <s v="2026-02-25"/>
    <n v="189"/>
    <n v="2"/>
    <n v="47"/>
    <s v="No"/>
    <x v="1"/>
    <n v="-41"/>
    <n v="3.7727272727272729"/>
    <x v="1"/>
    <s v="Maintain Stock"/>
  </r>
  <r>
    <n v="721"/>
    <s v="Product_3"/>
    <x v="2"/>
    <x v="3"/>
    <n v="377"/>
    <n v="333"/>
    <n v="317"/>
    <n v="4706.96"/>
    <n v="3238.02"/>
    <n v="32"/>
    <n v="5"/>
    <s v="2026-03-25"/>
    <n v="192"/>
    <n v="1"/>
    <n v="23"/>
    <s v="Yes"/>
    <x v="2"/>
    <n v="16"/>
    <n v="0.88328912466843501"/>
    <x v="0"/>
    <s v="Monitor Sales"/>
  </r>
  <r>
    <n v="722"/>
    <s v="Product_50"/>
    <x v="4"/>
    <x v="1"/>
    <n v="296"/>
    <n v="113"/>
    <n v="162"/>
    <n v="2659.87"/>
    <n v="2049.88"/>
    <n v="148"/>
    <n v="11"/>
    <s v="2026-02-12"/>
    <n v="92"/>
    <n v="4"/>
    <n v="9"/>
    <s v="Yes"/>
    <x v="0"/>
    <n v="-49"/>
    <n v="0.38175675675675674"/>
    <x v="2"/>
    <s v="Apply Discount / Promotion"/>
  </r>
  <r>
    <n v="723"/>
    <s v="Product_9"/>
    <x v="2"/>
    <x v="2"/>
    <n v="500"/>
    <n v="249"/>
    <n v="225"/>
    <n v="2479.2199999999998"/>
    <n v="1325.18"/>
    <n v="125"/>
    <n v="14"/>
    <s v="2026-03-14"/>
    <n v="178"/>
    <n v="1"/>
    <n v="10"/>
    <s v="Yes"/>
    <x v="1"/>
    <n v="24"/>
    <n v="0.498"/>
    <x v="2"/>
    <s v="Apply Discount / Promotion"/>
  </r>
  <r>
    <n v="724"/>
    <s v="Product_26"/>
    <x v="4"/>
    <x v="1"/>
    <n v="127"/>
    <n v="323"/>
    <n v="364"/>
    <n v="2178.38"/>
    <n v="1089.6300000000001"/>
    <n v="63"/>
    <n v="10"/>
    <s v="2026-03-09"/>
    <n v="279"/>
    <n v="5"/>
    <n v="0"/>
    <s v="Yes"/>
    <x v="1"/>
    <n v="-41"/>
    <n v="2.5433070866141732"/>
    <x v="1"/>
    <s v="Maintain Stock"/>
  </r>
  <r>
    <n v="725"/>
    <s v="Product_26"/>
    <x v="3"/>
    <x v="0"/>
    <n v="266"/>
    <n v="285"/>
    <n v="266"/>
    <n v="2799.87"/>
    <n v="2144.92"/>
    <n v="66"/>
    <n v="3"/>
    <s v="2026-02-10"/>
    <n v="355"/>
    <n v="1"/>
    <n v="8"/>
    <s v="Yes"/>
    <x v="1"/>
    <n v="19"/>
    <n v="1.0714285714285714"/>
    <x v="1"/>
    <s v="Maintain Stock"/>
  </r>
  <r>
    <n v="726"/>
    <s v="Product_84"/>
    <x v="2"/>
    <x v="3"/>
    <n v="320"/>
    <n v="379"/>
    <n v="375"/>
    <n v="207.86"/>
    <n v="120.83"/>
    <n v="104"/>
    <n v="1"/>
    <s v="2026-03-08"/>
    <n v="306"/>
    <n v="1"/>
    <n v="26"/>
    <s v="No"/>
    <x v="2"/>
    <n v="4"/>
    <n v="1.184375"/>
    <x v="1"/>
    <s v="Maintain Stock"/>
  </r>
  <r>
    <n v="727"/>
    <s v="Product_73"/>
    <x v="0"/>
    <x v="3"/>
    <n v="360"/>
    <n v="426"/>
    <n v="378"/>
    <n v="4536.41"/>
    <n v="3181.03"/>
    <n v="122"/>
    <n v="11"/>
    <s v="2026-01-27"/>
    <n v="109"/>
    <n v="1"/>
    <n v="36"/>
    <s v="Yes"/>
    <x v="1"/>
    <n v="48"/>
    <n v="1.1833333333333333"/>
    <x v="1"/>
    <s v="Maintain Stock"/>
  </r>
  <r>
    <n v="728"/>
    <s v="Product_16"/>
    <x v="1"/>
    <x v="0"/>
    <n v="333"/>
    <n v="369"/>
    <n v="387"/>
    <n v="577.91999999999996"/>
    <n v="305.69"/>
    <n v="91"/>
    <n v="15"/>
    <s v="2026-01-07"/>
    <n v="203"/>
    <n v="1"/>
    <n v="36"/>
    <s v="No"/>
    <x v="2"/>
    <n v="-18"/>
    <n v="1.1081081081081081"/>
    <x v="1"/>
    <s v="Maintain Stock"/>
  </r>
  <r>
    <n v="729"/>
    <s v="Product_45"/>
    <x v="3"/>
    <x v="1"/>
    <n v="253"/>
    <n v="136"/>
    <n v="102"/>
    <n v="3449.72"/>
    <n v="1791.08"/>
    <n v="70"/>
    <n v="9"/>
    <s v="2026-02-26"/>
    <n v="325"/>
    <n v="2"/>
    <n v="44"/>
    <s v="Yes"/>
    <x v="0"/>
    <n v="34"/>
    <n v="0.53754940711462451"/>
    <x v="0"/>
    <s v="Monitor Sales"/>
  </r>
  <r>
    <n v="730"/>
    <s v="Product_74"/>
    <x v="1"/>
    <x v="3"/>
    <n v="255"/>
    <n v="424"/>
    <n v="396"/>
    <n v="2797.29"/>
    <n v="1938.7"/>
    <n v="53"/>
    <n v="3"/>
    <s v="2026-01-02"/>
    <n v="132"/>
    <n v="4"/>
    <n v="31"/>
    <s v="Yes"/>
    <x v="0"/>
    <n v="28"/>
    <n v="1.6627450980392158"/>
    <x v="1"/>
    <s v="Maintain Stock"/>
  </r>
  <r>
    <n v="731"/>
    <s v="Product_33"/>
    <x v="3"/>
    <x v="3"/>
    <n v="487"/>
    <n v="314"/>
    <n v="356"/>
    <n v="2532.1"/>
    <n v="1826.84"/>
    <n v="139"/>
    <n v="5"/>
    <s v="2026-02-08"/>
    <n v="88"/>
    <n v="5"/>
    <n v="2"/>
    <s v="No"/>
    <x v="1"/>
    <n v="-42"/>
    <n v="0.64476386036960986"/>
    <x v="0"/>
    <s v="Monitor Sales"/>
  </r>
  <r>
    <n v="732"/>
    <s v="Product_20"/>
    <x v="2"/>
    <x v="3"/>
    <n v="259"/>
    <n v="200"/>
    <n v="216"/>
    <n v="2589.31"/>
    <n v="1699.21"/>
    <n v="97"/>
    <n v="10"/>
    <s v="2026-01-23"/>
    <n v="254"/>
    <n v="1"/>
    <n v="23"/>
    <s v="No"/>
    <x v="2"/>
    <n v="-16"/>
    <n v="0.77220077220077221"/>
    <x v="0"/>
    <s v="Monitor Sales"/>
  </r>
  <r>
    <n v="733"/>
    <s v="Product_52"/>
    <x v="2"/>
    <x v="2"/>
    <n v="48"/>
    <n v="32"/>
    <n v="22"/>
    <n v="3490.29"/>
    <n v="2087.65"/>
    <n v="65"/>
    <n v="13"/>
    <s v="2026-01-06"/>
    <n v="342"/>
    <n v="3"/>
    <n v="9"/>
    <s v="No"/>
    <x v="0"/>
    <n v="10"/>
    <n v="0.66666666666666663"/>
    <x v="0"/>
    <s v="Monitor Sales"/>
  </r>
  <r>
    <n v="734"/>
    <s v="Product_41"/>
    <x v="2"/>
    <x v="1"/>
    <n v="32"/>
    <n v="77"/>
    <n v="60"/>
    <n v="968.61"/>
    <n v="664.26"/>
    <n v="114"/>
    <n v="8"/>
    <s v="2026-02-08"/>
    <n v="310"/>
    <n v="2"/>
    <n v="41"/>
    <s v="No"/>
    <x v="2"/>
    <n v="17"/>
    <n v="2.40625"/>
    <x v="1"/>
    <s v="Maintain Stock"/>
  </r>
  <r>
    <n v="735"/>
    <s v="Product_13"/>
    <x v="4"/>
    <x v="3"/>
    <n v="370"/>
    <n v="258"/>
    <n v="292"/>
    <n v="4624.76"/>
    <n v="2760.25"/>
    <n v="57"/>
    <n v="13"/>
    <s v="2026-02-28"/>
    <n v="78"/>
    <n v="4"/>
    <n v="16"/>
    <s v="Yes"/>
    <x v="0"/>
    <n v="-34"/>
    <n v="0.69729729729729728"/>
    <x v="0"/>
    <s v="Monitor Sales"/>
  </r>
  <r>
    <n v="736"/>
    <s v="Product_50"/>
    <x v="3"/>
    <x v="1"/>
    <n v="450"/>
    <n v="236"/>
    <n v="200"/>
    <n v="4432.55"/>
    <n v="3332.71"/>
    <n v="75"/>
    <n v="3"/>
    <s v="2026-03-13"/>
    <n v="173"/>
    <n v="3"/>
    <n v="33"/>
    <s v="Yes"/>
    <x v="0"/>
    <n v="36"/>
    <n v="0.52444444444444449"/>
    <x v="0"/>
    <s v="Monitor Sales"/>
  </r>
  <r>
    <n v="737"/>
    <s v="Product_74"/>
    <x v="0"/>
    <x v="1"/>
    <n v="199"/>
    <n v="32"/>
    <n v="71"/>
    <n v="3136.39"/>
    <n v="1659.33"/>
    <n v="75"/>
    <n v="1"/>
    <s v="2026-03-01"/>
    <n v="236"/>
    <n v="3"/>
    <n v="16"/>
    <s v="Yes"/>
    <x v="2"/>
    <n v="-39"/>
    <n v="0.16080402010050251"/>
    <x v="2"/>
    <s v="Apply Discount / Promotion"/>
  </r>
  <r>
    <n v="738"/>
    <s v="Product_22"/>
    <x v="4"/>
    <x v="0"/>
    <n v="470"/>
    <n v="169"/>
    <n v="180"/>
    <n v="2370.2399999999998"/>
    <n v="1718.04"/>
    <n v="33"/>
    <n v="6"/>
    <s v="2026-02-14"/>
    <n v="170"/>
    <n v="3"/>
    <n v="48"/>
    <s v="No"/>
    <x v="2"/>
    <n v="-11"/>
    <n v="0.3595744680851064"/>
    <x v="2"/>
    <s v="Apply Discount / Promotion"/>
  </r>
  <r>
    <n v="739"/>
    <s v="Product_73"/>
    <x v="3"/>
    <x v="3"/>
    <n v="48"/>
    <n v="366"/>
    <n v="369"/>
    <n v="1184.3800000000001"/>
    <n v="693.18"/>
    <n v="92"/>
    <n v="9"/>
    <s v="2026-03-07"/>
    <n v="181"/>
    <n v="1"/>
    <n v="33"/>
    <s v="No"/>
    <x v="1"/>
    <n v="-3"/>
    <n v="7.625"/>
    <x v="1"/>
    <s v="Maintain Stock"/>
  </r>
  <r>
    <n v="740"/>
    <s v="Product_74"/>
    <x v="4"/>
    <x v="2"/>
    <n v="289"/>
    <n v="147"/>
    <n v="145"/>
    <n v="3645.17"/>
    <n v="2410.73"/>
    <n v="89"/>
    <n v="3"/>
    <s v="2026-01-08"/>
    <n v="50"/>
    <n v="4"/>
    <n v="17"/>
    <s v="Yes"/>
    <x v="0"/>
    <n v="2"/>
    <n v="0.50865051903114189"/>
    <x v="0"/>
    <s v="Monitor Sales"/>
  </r>
  <r>
    <n v="741"/>
    <s v="Product_80"/>
    <x v="0"/>
    <x v="1"/>
    <n v="480"/>
    <n v="334"/>
    <n v="324"/>
    <n v="767.16"/>
    <n v="388.21"/>
    <n v="122"/>
    <n v="11"/>
    <s v="2026-02-20"/>
    <n v="251"/>
    <n v="3"/>
    <n v="48"/>
    <s v="Yes"/>
    <x v="1"/>
    <n v="10"/>
    <n v="0.6958333333333333"/>
    <x v="0"/>
    <s v="Monitor Sales"/>
  </r>
  <r>
    <n v="742"/>
    <s v="Product_5"/>
    <x v="1"/>
    <x v="0"/>
    <n v="78"/>
    <n v="336"/>
    <n v="374"/>
    <n v="4455.17"/>
    <n v="3496.02"/>
    <n v="79"/>
    <n v="1"/>
    <s v="2026-03-05"/>
    <n v="291"/>
    <n v="4"/>
    <n v="21"/>
    <s v="Yes"/>
    <x v="0"/>
    <n v="-38"/>
    <n v="4.3076923076923075"/>
    <x v="1"/>
    <s v="Maintain Stock"/>
  </r>
  <r>
    <n v="743"/>
    <s v="Product_52"/>
    <x v="1"/>
    <x v="1"/>
    <n v="466"/>
    <n v="251"/>
    <n v="261"/>
    <n v="2539.15"/>
    <n v="1276.49"/>
    <n v="110"/>
    <n v="13"/>
    <s v="2025-12-29"/>
    <n v="248"/>
    <n v="3"/>
    <n v="21"/>
    <s v="No"/>
    <x v="1"/>
    <n v="-10"/>
    <n v="0.53862660944206009"/>
    <x v="0"/>
    <s v="Monitor Sales"/>
  </r>
  <r>
    <n v="744"/>
    <s v="Product_10"/>
    <x v="4"/>
    <x v="3"/>
    <n v="234"/>
    <n v="65"/>
    <n v="48"/>
    <n v="2281.5300000000002"/>
    <n v="1800.27"/>
    <n v="110"/>
    <n v="9"/>
    <s v="2026-01-18"/>
    <n v="272"/>
    <n v="5"/>
    <n v="43"/>
    <s v="No"/>
    <x v="0"/>
    <n v="17"/>
    <n v="0.27777777777777779"/>
    <x v="2"/>
    <s v="Apply Discount / Promotion"/>
  </r>
  <r>
    <n v="745"/>
    <s v="Product_91"/>
    <x v="2"/>
    <x v="3"/>
    <n v="93"/>
    <n v="77"/>
    <n v="64"/>
    <n v="2427.3000000000002"/>
    <n v="1886.28"/>
    <n v="49"/>
    <n v="13"/>
    <s v="2026-01-11"/>
    <n v="69"/>
    <n v="2"/>
    <n v="37"/>
    <s v="No"/>
    <x v="1"/>
    <n v="13"/>
    <n v="0.82795698924731187"/>
    <x v="0"/>
    <s v="Monitor Sales"/>
  </r>
  <r>
    <n v="746"/>
    <s v="Product_31"/>
    <x v="2"/>
    <x v="3"/>
    <n v="249"/>
    <n v="23"/>
    <n v="30"/>
    <n v="3904.52"/>
    <n v="2220.87"/>
    <n v="33"/>
    <n v="15"/>
    <s v="2026-03-22"/>
    <n v="159"/>
    <n v="5"/>
    <n v="49"/>
    <s v="No"/>
    <x v="0"/>
    <n v="-7"/>
    <n v="9.2369477911646583E-2"/>
    <x v="2"/>
    <s v="Apply Discount / Promotion"/>
  </r>
  <r>
    <n v="747"/>
    <s v="Product_22"/>
    <x v="1"/>
    <x v="3"/>
    <n v="356"/>
    <n v="44"/>
    <n v="12"/>
    <n v="857.48"/>
    <n v="520.08000000000004"/>
    <n v="141"/>
    <n v="14"/>
    <s v="2026-03-03"/>
    <n v="70"/>
    <n v="1"/>
    <n v="34"/>
    <s v="No"/>
    <x v="0"/>
    <n v="32"/>
    <n v="0.12359550561797752"/>
    <x v="2"/>
    <s v="Apply Discount / Promotion"/>
  </r>
  <r>
    <n v="748"/>
    <s v="Product_41"/>
    <x v="0"/>
    <x v="2"/>
    <n v="326"/>
    <n v="342"/>
    <n v="390"/>
    <n v="311.88"/>
    <n v="237.35"/>
    <n v="82"/>
    <n v="1"/>
    <s v="2026-03-01"/>
    <n v="179"/>
    <n v="2"/>
    <n v="47"/>
    <s v="Yes"/>
    <x v="1"/>
    <n v="-48"/>
    <n v="1.0490797546012269"/>
    <x v="1"/>
    <s v="Maintain Stock"/>
  </r>
  <r>
    <n v="749"/>
    <s v="Product_91"/>
    <x v="1"/>
    <x v="0"/>
    <n v="460"/>
    <n v="113"/>
    <n v="98"/>
    <n v="4309.1000000000004"/>
    <n v="2797.26"/>
    <n v="50"/>
    <n v="8"/>
    <s v="2026-01-21"/>
    <n v="338"/>
    <n v="4"/>
    <n v="44"/>
    <s v="Yes"/>
    <x v="1"/>
    <n v="15"/>
    <n v="0.24565217391304348"/>
    <x v="2"/>
    <s v="Apply Discount / Promotion"/>
  </r>
  <r>
    <n v="750"/>
    <s v="Product_79"/>
    <x v="2"/>
    <x v="0"/>
    <n v="317"/>
    <n v="189"/>
    <n v="164"/>
    <n v="1024.1500000000001"/>
    <n v="649.48"/>
    <n v="54"/>
    <n v="10"/>
    <s v="2026-03-26"/>
    <n v="196"/>
    <n v="1"/>
    <n v="36"/>
    <s v="No"/>
    <x v="1"/>
    <n v="25"/>
    <n v="0.59621451104100942"/>
    <x v="0"/>
    <s v="Monitor Sales"/>
  </r>
  <r>
    <n v="751"/>
    <s v="Product_83"/>
    <x v="4"/>
    <x v="2"/>
    <n v="205"/>
    <n v="78"/>
    <n v="40"/>
    <n v="4547.18"/>
    <n v="3107.22"/>
    <n v="146"/>
    <n v="13"/>
    <s v="2026-02-02"/>
    <n v="124"/>
    <n v="2"/>
    <n v="35"/>
    <s v="Yes"/>
    <x v="2"/>
    <n v="38"/>
    <n v="0.38048780487804879"/>
    <x v="2"/>
    <s v="Apply Discount / Promotion"/>
  </r>
  <r>
    <n v="752"/>
    <s v="Product_82"/>
    <x v="1"/>
    <x v="0"/>
    <n v="183"/>
    <n v="167"/>
    <n v="198"/>
    <n v="4175.8599999999997"/>
    <n v="2283.66"/>
    <n v="81"/>
    <n v="6"/>
    <s v="2026-03-20"/>
    <n v="273"/>
    <n v="3"/>
    <n v="33"/>
    <s v="Yes"/>
    <x v="1"/>
    <n v="-31"/>
    <n v="0.91256830601092898"/>
    <x v="0"/>
    <s v="Monitor Sales"/>
  </r>
  <r>
    <n v="753"/>
    <s v="Product_26"/>
    <x v="1"/>
    <x v="2"/>
    <n v="328"/>
    <n v="389"/>
    <n v="387"/>
    <n v="3485.2"/>
    <n v="2466.15"/>
    <n v="139"/>
    <n v="12"/>
    <s v="2026-03-24"/>
    <n v="309"/>
    <n v="3"/>
    <n v="36"/>
    <s v="Yes"/>
    <x v="1"/>
    <n v="2"/>
    <n v="1.1859756097560976"/>
    <x v="1"/>
    <s v="Maintain Stock"/>
  </r>
  <r>
    <n v="754"/>
    <s v="Product_93"/>
    <x v="2"/>
    <x v="2"/>
    <n v="359"/>
    <n v="146"/>
    <n v="192"/>
    <n v="3831.87"/>
    <n v="2318.46"/>
    <n v="74"/>
    <n v="6"/>
    <s v="2026-02-19"/>
    <n v="325"/>
    <n v="3"/>
    <n v="49"/>
    <s v="No"/>
    <x v="0"/>
    <n v="-46"/>
    <n v="0.40668523676880225"/>
    <x v="2"/>
    <s v="Apply Discount / Promotion"/>
  </r>
  <r>
    <n v="755"/>
    <s v="Product_65"/>
    <x v="2"/>
    <x v="1"/>
    <n v="166"/>
    <n v="254"/>
    <n v="267"/>
    <n v="2531.91"/>
    <n v="1642.46"/>
    <n v="86"/>
    <n v="9"/>
    <s v="2026-02-17"/>
    <n v="135"/>
    <n v="3"/>
    <n v="34"/>
    <s v="Yes"/>
    <x v="1"/>
    <n v="-13"/>
    <n v="1.5301204819277108"/>
    <x v="1"/>
    <s v="Maintain Stock"/>
  </r>
  <r>
    <n v="756"/>
    <s v="Product_33"/>
    <x v="3"/>
    <x v="3"/>
    <n v="238"/>
    <n v="359"/>
    <n v="383"/>
    <n v="4381.92"/>
    <n v="3237.02"/>
    <n v="53"/>
    <n v="1"/>
    <s v="2026-03-23"/>
    <n v="112"/>
    <n v="3"/>
    <n v="5"/>
    <s v="Yes"/>
    <x v="0"/>
    <n v="-24"/>
    <n v="1.5084033613445378"/>
    <x v="1"/>
    <s v="Maintain Stock"/>
  </r>
  <r>
    <n v="757"/>
    <s v="Product_20"/>
    <x v="3"/>
    <x v="2"/>
    <n v="334"/>
    <n v="168"/>
    <n v="213"/>
    <n v="530.26"/>
    <n v="287.87"/>
    <n v="52"/>
    <n v="9"/>
    <s v="2026-03-09"/>
    <n v="162"/>
    <n v="2"/>
    <n v="20"/>
    <s v="Yes"/>
    <x v="1"/>
    <n v="-45"/>
    <n v="0.50299401197604787"/>
    <x v="0"/>
    <s v="Monitor Sales"/>
  </r>
  <r>
    <n v="758"/>
    <s v="Product_44"/>
    <x v="3"/>
    <x v="2"/>
    <n v="165"/>
    <n v="75"/>
    <n v="95"/>
    <n v="976.94"/>
    <n v="704.95"/>
    <n v="58"/>
    <n v="10"/>
    <s v="2026-01-03"/>
    <n v="265"/>
    <n v="1"/>
    <n v="30"/>
    <s v="Yes"/>
    <x v="0"/>
    <n v="-20"/>
    <n v="0.45454545454545453"/>
    <x v="2"/>
    <s v="Apply Discount / Promotion"/>
  </r>
  <r>
    <n v="759"/>
    <s v="Product_26"/>
    <x v="0"/>
    <x v="0"/>
    <n v="374"/>
    <n v="131"/>
    <n v="168"/>
    <n v="4466.8900000000003"/>
    <n v="2885.87"/>
    <n v="80"/>
    <n v="2"/>
    <s v="2026-03-19"/>
    <n v="56"/>
    <n v="1"/>
    <n v="49"/>
    <s v="Yes"/>
    <x v="0"/>
    <n v="-37"/>
    <n v="0.3502673796791444"/>
    <x v="2"/>
    <s v="Apply Discount / Promotion"/>
  </r>
  <r>
    <n v="760"/>
    <s v="Product_41"/>
    <x v="3"/>
    <x v="2"/>
    <n v="223"/>
    <n v="409"/>
    <n v="380"/>
    <n v="4107.17"/>
    <n v="3045.57"/>
    <n v="74"/>
    <n v="5"/>
    <s v="2026-03-10"/>
    <n v="348"/>
    <n v="3"/>
    <n v="30"/>
    <s v="No"/>
    <x v="0"/>
    <n v="29"/>
    <n v="1.8340807174887892"/>
    <x v="1"/>
    <s v="Maintain Stock"/>
  </r>
  <r>
    <n v="761"/>
    <s v="Product_65"/>
    <x v="2"/>
    <x v="0"/>
    <n v="495"/>
    <n v="219"/>
    <n v="248"/>
    <n v="1203.94"/>
    <n v="896.49"/>
    <n v="59"/>
    <n v="3"/>
    <s v="2026-03-26"/>
    <n v="176"/>
    <n v="3"/>
    <n v="43"/>
    <s v="Yes"/>
    <x v="1"/>
    <n v="-29"/>
    <n v="0.44242424242424244"/>
    <x v="2"/>
    <s v="Apply Discount / Promotion"/>
  </r>
  <r>
    <n v="762"/>
    <s v="Product_85"/>
    <x v="3"/>
    <x v="3"/>
    <n v="468"/>
    <n v="284"/>
    <n v="244"/>
    <n v="3319.51"/>
    <n v="1844.94"/>
    <n v="126"/>
    <n v="15"/>
    <s v="2026-02-15"/>
    <n v="306"/>
    <n v="1"/>
    <n v="7"/>
    <s v="Yes"/>
    <x v="0"/>
    <n v="40"/>
    <n v="0.60683760683760679"/>
    <x v="0"/>
    <s v="Monitor Sales"/>
  </r>
  <r>
    <n v="763"/>
    <s v="Product_73"/>
    <x v="4"/>
    <x v="0"/>
    <n v="384"/>
    <n v="170"/>
    <n v="144"/>
    <n v="182.22"/>
    <n v="108.68"/>
    <n v="116"/>
    <n v="13"/>
    <s v="2026-02-04"/>
    <n v="309"/>
    <n v="4"/>
    <n v="17"/>
    <s v="No"/>
    <x v="1"/>
    <n v="26"/>
    <n v="0.44270833333333331"/>
    <x v="2"/>
    <s v="Apply Discount / Promotion"/>
  </r>
  <r>
    <n v="764"/>
    <s v="Product_43"/>
    <x v="1"/>
    <x v="1"/>
    <n v="122"/>
    <n v="429"/>
    <n v="388"/>
    <n v="265.38"/>
    <n v="166.57"/>
    <n v="119"/>
    <n v="9"/>
    <s v="2025-12-29"/>
    <n v="151"/>
    <n v="5"/>
    <n v="30"/>
    <s v="No"/>
    <x v="1"/>
    <n v="41"/>
    <n v="3.5163934426229506"/>
    <x v="1"/>
    <s v="Maintain Stock"/>
  </r>
  <r>
    <n v="765"/>
    <s v="Product_14"/>
    <x v="4"/>
    <x v="0"/>
    <n v="335"/>
    <n v="313"/>
    <n v="320"/>
    <n v="3600.36"/>
    <n v="2271.3000000000002"/>
    <n v="149"/>
    <n v="9"/>
    <s v="2026-01-03"/>
    <n v="157"/>
    <n v="4"/>
    <n v="4"/>
    <s v="No"/>
    <x v="1"/>
    <n v="-7"/>
    <n v="0.93432835820895521"/>
    <x v="0"/>
    <s v="Monitor Sales"/>
  </r>
  <r>
    <n v="766"/>
    <s v="Product_48"/>
    <x v="1"/>
    <x v="0"/>
    <n v="141"/>
    <n v="386"/>
    <n v="356"/>
    <n v="2365.11"/>
    <n v="1671.14"/>
    <n v="114"/>
    <n v="12"/>
    <s v="2026-01-13"/>
    <n v="348"/>
    <n v="5"/>
    <n v="14"/>
    <s v="Yes"/>
    <x v="2"/>
    <n v="30"/>
    <n v="2.7375886524822697"/>
    <x v="1"/>
    <s v="Maintain Stock"/>
  </r>
  <r>
    <n v="767"/>
    <s v="Product_21"/>
    <x v="3"/>
    <x v="0"/>
    <n v="119"/>
    <n v="127"/>
    <n v="119"/>
    <n v="3138.06"/>
    <n v="2106.2399999999998"/>
    <n v="101"/>
    <n v="15"/>
    <s v="2026-01-25"/>
    <n v="183"/>
    <n v="2"/>
    <n v="7"/>
    <s v="No"/>
    <x v="1"/>
    <n v="8"/>
    <n v="1.0672268907563025"/>
    <x v="1"/>
    <s v="Maintain Stock"/>
  </r>
  <r>
    <n v="768"/>
    <s v="Product_54"/>
    <x v="4"/>
    <x v="0"/>
    <n v="369"/>
    <n v="305"/>
    <n v="352"/>
    <n v="4479.16"/>
    <n v="2685.6"/>
    <n v="119"/>
    <n v="2"/>
    <s v="2026-01-20"/>
    <n v="235"/>
    <n v="3"/>
    <n v="5"/>
    <s v="No"/>
    <x v="0"/>
    <n v="-47"/>
    <n v="0.82655826558265577"/>
    <x v="0"/>
    <s v="Monitor Sales"/>
  </r>
  <r>
    <n v="769"/>
    <s v="Product_3"/>
    <x v="0"/>
    <x v="2"/>
    <n v="411"/>
    <n v="349"/>
    <n v="361"/>
    <n v="2731.59"/>
    <n v="1592.79"/>
    <n v="119"/>
    <n v="15"/>
    <s v="2026-02-12"/>
    <n v="90"/>
    <n v="2"/>
    <n v="16"/>
    <s v="Yes"/>
    <x v="1"/>
    <n v="-12"/>
    <n v="0.84914841849148415"/>
    <x v="0"/>
    <s v="Monitor Sales"/>
  </r>
  <r>
    <n v="770"/>
    <s v="Product_19"/>
    <x v="2"/>
    <x v="0"/>
    <n v="439"/>
    <n v="319"/>
    <n v="367"/>
    <n v="1037.8499999999999"/>
    <n v="795.06"/>
    <n v="63"/>
    <n v="3"/>
    <s v="2026-01-29"/>
    <n v="206"/>
    <n v="1"/>
    <n v="12"/>
    <s v="No"/>
    <x v="2"/>
    <n v="-48"/>
    <n v="0.72665148063781326"/>
    <x v="0"/>
    <s v="Monitor Sales"/>
  </r>
  <r>
    <n v="771"/>
    <s v="Product_11"/>
    <x v="1"/>
    <x v="1"/>
    <n v="465"/>
    <n v="281"/>
    <n v="280"/>
    <n v="1651.09"/>
    <n v="1284.55"/>
    <n v="62"/>
    <n v="13"/>
    <s v="2026-01-16"/>
    <n v="308"/>
    <n v="4"/>
    <n v="4"/>
    <s v="Yes"/>
    <x v="2"/>
    <n v="1"/>
    <n v="0.60430107526881716"/>
    <x v="0"/>
    <s v="Monitor Sales"/>
  </r>
  <r>
    <n v="772"/>
    <s v="Product_93"/>
    <x v="3"/>
    <x v="1"/>
    <n v="293"/>
    <n v="204"/>
    <n v="184"/>
    <n v="504.3"/>
    <n v="354.28"/>
    <n v="74"/>
    <n v="13"/>
    <s v="2026-01-14"/>
    <n v="359"/>
    <n v="5"/>
    <n v="32"/>
    <s v="No"/>
    <x v="1"/>
    <n v="20"/>
    <n v="0.69624573378839594"/>
    <x v="0"/>
    <s v="Monitor Sales"/>
  </r>
  <r>
    <n v="773"/>
    <s v="Product_24"/>
    <x v="1"/>
    <x v="2"/>
    <n v="137"/>
    <n v="37"/>
    <n v="56"/>
    <n v="2884.43"/>
    <n v="2087.87"/>
    <n v="33"/>
    <n v="10"/>
    <s v="2026-01-03"/>
    <n v="332"/>
    <n v="3"/>
    <n v="2"/>
    <s v="Yes"/>
    <x v="1"/>
    <n v="-19"/>
    <n v="0.27007299270072993"/>
    <x v="2"/>
    <s v="Apply Discount / Promotion"/>
  </r>
  <r>
    <n v="774"/>
    <s v="Product_28"/>
    <x v="0"/>
    <x v="1"/>
    <n v="249"/>
    <n v="361"/>
    <n v="363"/>
    <n v="248.57"/>
    <n v="128.47"/>
    <n v="150"/>
    <n v="8"/>
    <s v="2026-02-24"/>
    <n v="192"/>
    <n v="5"/>
    <n v="17"/>
    <s v="Yes"/>
    <x v="1"/>
    <n v="-2"/>
    <n v="1.4497991967871486"/>
    <x v="1"/>
    <s v="Maintain Stock"/>
  </r>
  <r>
    <n v="775"/>
    <s v="Product_64"/>
    <x v="3"/>
    <x v="3"/>
    <n v="489"/>
    <n v="135"/>
    <n v="170"/>
    <n v="492.97"/>
    <n v="285.24"/>
    <n v="139"/>
    <n v="1"/>
    <s v="2026-02-02"/>
    <n v="152"/>
    <n v="5"/>
    <n v="4"/>
    <s v="No"/>
    <x v="1"/>
    <n v="-35"/>
    <n v="0.27607361963190186"/>
    <x v="2"/>
    <s v="Apply Discount / Promotion"/>
  </r>
  <r>
    <n v="776"/>
    <s v="Product_70"/>
    <x v="3"/>
    <x v="1"/>
    <n v="189"/>
    <n v="69"/>
    <n v="49"/>
    <n v="4313.47"/>
    <n v="3124.8"/>
    <n v="72"/>
    <n v="9"/>
    <s v="2026-02-11"/>
    <n v="263"/>
    <n v="5"/>
    <n v="43"/>
    <s v="No"/>
    <x v="1"/>
    <n v="20"/>
    <n v="0.36507936507936506"/>
    <x v="2"/>
    <s v="Apply Discount / Promotion"/>
  </r>
  <r>
    <n v="777"/>
    <s v="Product_93"/>
    <x v="2"/>
    <x v="3"/>
    <n v="262"/>
    <n v="306"/>
    <n v="260"/>
    <n v="4886.13"/>
    <n v="3165.63"/>
    <n v="56"/>
    <n v="2"/>
    <s v="2026-02-24"/>
    <n v="298"/>
    <n v="1"/>
    <n v="41"/>
    <s v="Yes"/>
    <x v="1"/>
    <n v="46"/>
    <n v="1.16793893129771"/>
    <x v="1"/>
    <s v="Maintain Stock"/>
  </r>
  <r>
    <n v="778"/>
    <s v="Product_75"/>
    <x v="3"/>
    <x v="1"/>
    <n v="127"/>
    <n v="289"/>
    <n v="246"/>
    <n v="391.43"/>
    <n v="211.82"/>
    <n v="91"/>
    <n v="15"/>
    <s v="2026-02-11"/>
    <n v="268"/>
    <n v="3"/>
    <n v="11"/>
    <s v="Yes"/>
    <x v="1"/>
    <n v="43"/>
    <n v="2.2755905511811023"/>
    <x v="1"/>
    <s v="Maintain Stock"/>
  </r>
  <r>
    <n v="779"/>
    <s v="Product_39"/>
    <x v="4"/>
    <x v="0"/>
    <n v="438"/>
    <n v="247"/>
    <n v="198"/>
    <n v="3449.43"/>
    <n v="1785.2"/>
    <n v="98"/>
    <n v="7"/>
    <s v="2026-01-01"/>
    <n v="120"/>
    <n v="3"/>
    <n v="42"/>
    <s v="No"/>
    <x v="1"/>
    <n v="49"/>
    <n v="0.5639269406392694"/>
    <x v="0"/>
    <s v="Monitor Sales"/>
  </r>
  <r>
    <n v="780"/>
    <s v="Product_10"/>
    <x v="2"/>
    <x v="3"/>
    <n v="422"/>
    <n v="97"/>
    <n v="48"/>
    <n v="4706.75"/>
    <n v="2534.61"/>
    <n v="36"/>
    <n v="1"/>
    <s v="2026-02-15"/>
    <n v="44"/>
    <n v="4"/>
    <n v="31"/>
    <s v="Yes"/>
    <x v="2"/>
    <n v="49"/>
    <n v="0.22985781990521326"/>
    <x v="2"/>
    <s v="Apply Discount / Promotion"/>
  </r>
  <r>
    <n v="781"/>
    <s v="Product_57"/>
    <x v="3"/>
    <x v="1"/>
    <n v="342"/>
    <n v="128"/>
    <n v="178"/>
    <n v="4135.88"/>
    <n v="3242.75"/>
    <n v="111"/>
    <n v="15"/>
    <s v="2026-02-23"/>
    <n v="182"/>
    <n v="5"/>
    <n v="33"/>
    <s v="Yes"/>
    <x v="1"/>
    <n v="-50"/>
    <n v="0.3742690058479532"/>
    <x v="2"/>
    <s v="Apply Discount / Promotion"/>
  </r>
  <r>
    <n v="782"/>
    <s v="Product_49"/>
    <x v="4"/>
    <x v="0"/>
    <n v="188"/>
    <n v="212"/>
    <n v="198"/>
    <n v="314.64"/>
    <n v="213.03"/>
    <n v="65"/>
    <n v="12"/>
    <s v="2026-03-10"/>
    <n v="132"/>
    <n v="4"/>
    <n v="44"/>
    <s v="No"/>
    <x v="1"/>
    <n v="14"/>
    <n v="1.1276595744680851"/>
    <x v="1"/>
    <s v="Maintain Stock"/>
  </r>
  <r>
    <n v="783"/>
    <s v="Product_12"/>
    <x v="0"/>
    <x v="2"/>
    <n v="218"/>
    <n v="132"/>
    <n v="123"/>
    <n v="2076.9899999999998"/>
    <n v="1274.47"/>
    <n v="45"/>
    <n v="6"/>
    <s v="2026-02-27"/>
    <n v="221"/>
    <n v="5"/>
    <n v="2"/>
    <s v="Yes"/>
    <x v="2"/>
    <n v="9"/>
    <n v="0.60550458715596334"/>
    <x v="0"/>
    <s v="Monitor Sales"/>
  </r>
  <r>
    <n v="784"/>
    <s v="Product_95"/>
    <x v="3"/>
    <x v="0"/>
    <n v="112"/>
    <n v="138"/>
    <n v="135"/>
    <n v="1409.55"/>
    <n v="920.83"/>
    <n v="106"/>
    <n v="14"/>
    <s v="2026-02-13"/>
    <n v="120"/>
    <n v="2"/>
    <n v="5"/>
    <s v="Yes"/>
    <x v="0"/>
    <n v="3"/>
    <n v="1.2321428571428572"/>
    <x v="1"/>
    <s v="Maintain Stock"/>
  </r>
  <r>
    <n v="785"/>
    <s v="Product_6"/>
    <x v="4"/>
    <x v="1"/>
    <n v="257"/>
    <n v="314"/>
    <n v="288"/>
    <n v="2123.83"/>
    <n v="1462.89"/>
    <n v="67"/>
    <n v="11"/>
    <s v="2026-02-10"/>
    <n v="234"/>
    <n v="2"/>
    <n v="30"/>
    <s v="Yes"/>
    <x v="0"/>
    <n v="26"/>
    <n v="1.2217898832684826"/>
    <x v="1"/>
    <s v="Maintain Stock"/>
  </r>
  <r>
    <n v="786"/>
    <s v="Product_26"/>
    <x v="0"/>
    <x v="0"/>
    <n v="417"/>
    <n v="351"/>
    <n v="320"/>
    <n v="2185.89"/>
    <n v="1322.32"/>
    <n v="66"/>
    <n v="6"/>
    <s v="2026-01-03"/>
    <n v="138"/>
    <n v="3"/>
    <n v="48"/>
    <s v="Yes"/>
    <x v="0"/>
    <n v="31"/>
    <n v="0.84172661870503596"/>
    <x v="0"/>
    <s v="Monitor Sales"/>
  </r>
  <r>
    <n v="787"/>
    <s v="Product_22"/>
    <x v="4"/>
    <x v="3"/>
    <n v="165"/>
    <n v="78"/>
    <n v="103"/>
    <n v="2377.13"/>
    <n v="1805.94"/>
    <n v="106"/>
    <n v="3"/>
    <s v="2026-02-26"/>
    <n v="196"/>
    <n v="2"/>
    <n v="49"/>
    <s v="Yes"/>
    <x v="2"/>
    <n v="-25"/>
    <n v="0.47272727272727272"/>
    <x v="2"/>
    <s v="Apply Discount / Promotion"/>
  </r>
  <r>
    <n v="788"/>
    <s v="Product_42"/>
    <x v="4"/>
    <x v="2"/>
    <n v="350"/>
    <n v="365"/>
    <n v="397"/>
    <n v="1713.55"/>
    <n v="1111.3"/>
    <n v="30"/>
    <n v="6"/>
    <s v="2026-01-18"/>
    <n v="37"/>
    <n v="4"/>
    <n v="38"/>
    <s v="No"/>
    <x v="0"/>
    <n v="-32"/>
    <n v="1.0428571428571429"/>
    <x v="1"/>
    <s v="Maintain Stock"/>
  </r>
  <r>
    <n v="789"/>
    <s v="Product_27"/>
    <x v="1"/>
    <x v="0"/>
    <n v="307"/>
    <n v="139"/>
    <n v="187"/>
    <n v="1473.66"/>
    <n v="881.3"/>
    <n v="100"/>
    <n v="7"/>
    <s v="2026-01-07"/>
    <n v="183"/>
    <n v="4"/>
    <n v="27"/>
    <s v="Yes"/>
    <x v="2"/>
    <n v="-48"/>
    <n v="0.45276872964169379"/>
    <x v="2"/>
    <s v="Apply Discount / Promotion"/>
  </r>
  <r>
    <n v="790"/>
    <s v="Product_58"/>
    <x v="1"/>
    <x v="1"/>
    <n v="328"/>
    <n v="18"/>
    <n v="24"/>
    <n v="4891.01"/>
    <n v="3258.89"/>
    <n v="52"/>
    <n v="8"/>
    <s v="2026-03-06"/>
    <n v="56"/>
    <n v="2"/>
    <n v="18"/>
    <s v="No"/>
    <x v="0"/>
    <n v="-6"/>
    <n v="5.4878048780487805E-2"/>
    <x v="2"/>
    <s v="Apply Discount / Promotion"/>
  </r>
  <r>
    <n v="791"/>
    <s v="Product_6"/>
    <x v="3"/>
    <x v="1"/>
    <n v="118"/>
    <n v="355"/>
    <n v="316"/>
    <n v="2171.9299999999998"/>
    <n v="1718.19"/>
    <n v="105"/>
    <n v="1"/>
    <s v="2026-01-15"/>
    <n v="234"/>
    <n v="1"/>
    <n v="22"/>
    <s v="Yes"/>
    <x v="1"/>
    <n v="39"/>
    <n v="3.0084745762711864"/>
    <x v="1"/>
    <s v="Maintain Stock"/>
  </r>
  <r>
    <n v="792"/>
    <s v="Product_35"/>
    <x v="4"/>
    <x v="3"/>
    <n v="480"/>
    <n v="274"/>
    <n v="253"/>
    <n v="3958.44"/>
    <n v="2838.97"/>
    <n v="51"/>
    <n v="7"/>
    <s v="2026-03-16"/>
    <n v="251"/>
    <n v="1"/>
    <n v="20"/>
    <s v="No"/>
    <x v="0"/>
    <n v="21"/>
    <n v="0.5708333333333333"/>
    <x v="0"/>
    <s v="Monitor Sales"/>
  </r>
  <r>
    <n v="793"/>
    <s v="Product_55"/>
    <x v="1"/>
    <x v="3"/>
    <n v="269"/>
    <n v="123"/>
    <n v="147"/>
    <n v="3945.66"/>
    <n v="2913.65"/>
    <n v="102"/>
    <n v="2"/>
    <s v="2026-03-24"/>
    <n v="239"/>
    <n v="5"/>
    <n v="24"/>
    <s v="No"/>
    <x v="1"/>
    <n v="-24"/>
    <n v="0.45724907063197023"/>
    <x v="2"/>
    <s v="Apply Discount / Promotion"/>
  </r>
  <r>
    <n v="794"/>
    <s v="Product_10"/>
    <x v="0"/>
    <x v="1"/>
    <n v="497"/>
    <n v="126"/>
    <n v="151"/>
    <n v="2170.6799999999998"/>
    <n v="1149.28"/>
    <n v="121"/>
    <n v="13"/>
    <s v="2026-03-05"/>
    <n v="155"/>
    <n v="1"/>
    <n v="49"/>
    <s v="Yes"/>
    <x v="2"/>
    <n v="-25"/>
    <n v="0.25352112676056338"/>
    <x v="2"/>
    <s v="Apply Discount / Promotion"/>
  </r>
  <r>
    <n v="795"/>
    <s v="Product_39"/>
    <x v="0"/>
    <x v="0"/>
    <n v="113"/>
    <n v="65"/>
    <n v="37"/>
    <n v="1590.68"/>
    <n v="1242.25"/>
    <n v="142"/>
    <n v="6"/>
    <s v="2026-02-26"/>
    <n v="155"/>
    <n v="1"/>
    <n v="50"/>
    <s v="No"/>
    <x v="1"/>
    <n v="28"/>
    <n v="0.5752212389380531"/>
    <x v="0"/>
    <s v="Monitor Sales"/>
  </r>
  <r>
    <n v="796"/>
    <s v="Product_68"/>
    <x v="2"/>
    <x v="3"/>
    <n v="433"/>
    <n v="330"/>
    <n v="312"/>
    <n v="1145.3599999999999"/>
    <n v="580.33000000000004"/>
    <n v="144"/>
    <n v="4"/>
    <s v="2026-01-06"/>
    <n v="89"/>
    <n v="1"/>
    <n v="16"/>
    <s v="Yes"/>
    <x v="0"/>
    <n v="18"/>
    <n v="0.76212471131639725"/>
    <x v="0"/>
    <s v="Monitor Sales"/>
  </r>
  <r>
    <n v="797"/>
    <s v="Product_46"/>
    <x v="2"/>
    <x v="1"/>
    <n v="425"/>
    <n v="6"/>
    <n v="46"/>
    <n v="3773.99"/>
    <n v="2891.7"/>
    <n v="129"/>
    <n v="3"/>
    <s v="2026-01-27"/>
    <n v="266"/>
    <n v="4"/>
    <n v="2"/>
    <s v="Yes"/>
    <x v="1"/>
    <n v="-40"/>
    <n v="1.411764705882353E-2"/>
    <x v="2"/>
    <s v="Apply Discount / Promotion"/>
  </r>
  <r>
    <n v="798"/>
    <s v="Product_23"/>
    <x v="0"/>
    <x v="1"/>
    <n v="152"/>
    <n v="354"/>
    <n v="371"/>
    <n v="1512.06"/>
    <n v="1164.54"/>
    <n v="107"/>
    <n v="7"/>
    <s v="2026-01-31"/>
    <n v="153"/>
    <n v="1"/>
    <n v="39"/>
    <s v="No"/>
    <x v="2"/>
    <n v="-17"/>
    <n v="2.3289473684210527"/>
    <x v="1"/>
    <s v="Maintain Stock"/>
  </r>
  <r>
    <n v="799"/>
    <s v="Product_77"/>
    <x v="1"/>
    <x v="0"/>
    <n v="25"/>
    <n v="140"/>
    <n v="125"/>
    <n v="4146.93"/>
    <n v="2611.6"/>
    <n v="34"/>
    <n v="10"/>
    <s v="2026-03-19"/>
    <n v="175"/>
    <n v="4"/>
    <n v="28"/>
    <s v="Yes"/>
    <x v="2"/>
    <n v="15"/>
    <n v="5.6"/>
    <x v="1"/>
    <s v="Maintain Stock"/>
  </r>
  <r>
    <n v="800"/>
    <s v="Product_67"/>
    <x v="4"/>
    <x v="1"/>
    <n v="44"/>
    <n v="253"/>
    <n v="267"/>
    <n v="119.8"/>
    <n v="69.91"/>
    <n v="85"/>
    <n v="14"/>
    <s v="2026-01-28"/>
    <n v="167"/>
    <n v="5"/>
    <n v="39"/>
    <s v="No"/>
    <x v="2"/>
    <n v="-14"/>
    <n v="5.75"/>
    <x v="1"/>
    <s v="Maintain Stock"/>
  </r>
  <r>
    <n v="801"/>
    <s v="Product_23"/>
    <x v="4"/>
    <x v="3"/>
    <n v="489"/>
    <n v="26"/>
    <n v="25"/>
    <n v="760.11"/>
    <n v="501.6"/>
    <n v="128"/>
    <n v="12"/>
    <s v="2026-01-04"/>
    <n v="248"/>
    <n v="5"/>
    <n v="16"/>
    <s v="No"/>
    <x v="2"/>
    <n v="1"/>
    <n v="5.3169734151329244E-2"/>
    <x v="2"/>
    <s v="Apply Discount / Promotion"/>
  </r>
  <r>
    <n v="802"/>
    <s v="Product_45"/>
    <x v="0"/>
    <x v="3"/>
    <n v="288"/>
    <n v="141"/>
    <n v="103"/>
    <n v="1925.14"/>
    <n v="1006.24"/>
    <n v="79"/>
    <n v="8"/>
    <s v="2026-01-05"/>
    <n v="308"/>
    <n v="3"/>
    <n v="39"/>
    <s v="Yes"/>
    <x v="2"/>
    <n v="38"/>
    <n v="0.48958333333333331"/>
    <x v="2"/>
    <s v="Apply Discount / Promotion"/>
  </r>
  <r>
    <n v="803"/>
    <s v="Product_83"/>
    <x v="0"/>
    <x v="1"/>
    <n v="433"/>
    <n v="135"/>
    <n v="184"/>
    <n v="277.95"/>
    <n v="161.91"/>
    <n v="62"/>
    <n v="9"/>
    <s v="2026-01-15"/>
    <n v="322"/>
    <n v="2"/>
    <n v="40"/>
    <s v="No"/>
    <x v="2"/>
    <n v="-49"/>
    <n v="0.31177829099307158"/>
    <x v="2"/>
    <s v="Apply Discount / Promotion"/>
  </r>
  <r>
    <n v="804"/>
    <s v="Product_23"/>
    <x v="3"/>
    <x v="2"/>
    <n v="416"/>
    <n v="155"/>
    <n v="126"/>
    <n v="4401.08"/>
    <n v="2588.17"/>
    <n v="84"/>
    <n v="13"/>
    <s v="2026-02-24"/>
    <n v="258"/>
    <n v="1"/>
    <n v="26"/>
    <s v="No"/>
    <x v="0"/>
    <n v="29"/>
    <n v="0.37259615384615385"/>
    <x v="2"/>
    <s v="Apply Discount / Promotion"/>
  </r>
  <r>
    <n v="805"/>
    <s v="Product_57"/>
    <x v="2"/>
    <x v="0"/>
    <n v="312"/>
    <n v="242"/>
    <n v="226"/>
    <n v="4327.04"/>
    <n v="2755.14"/>
    <n v="83"/>
    <n v="14"/>
    <s v="2026-03-06"/>
    <n v="217"/>
    <n v="3"/>
    <n v="17"/>
    <s v="No"/>
    <x v="1"/>
    <n v="16"/>
    <n v="0.77564102564102566"/>
    <x v="0"/>
    <s v="Monitor Sales"/>
  </r>
  <r>
    <n v="806"/>
    <s v="Product_89"/>
    <x v="4"/>
    <x v="1"/>
    <n v="298"/>
    <n v="385"/>
    <n v="352"/>
    <n v="1395.21"/>
    <n v="853.33"/>
    <n v="70"/>
    <n v="3"/>
    <s v="2026-03-15"/>
    <n v="365"/>
    <n v="3"/>
    <n v="23"/>
    <s v="Yes"/>
    <x v="2"/>
    <n v="33"/>
    <n v="1.2919463087248322"/>
    <x v="1"/>
    <s v="Maintain Stock"/>
  </r>
  <r>
    <n v="807"/>
    <s v="Product_90"/>
    <x v="1"/>
    <x v="2"/>
    <n v="124"/>
    <n v="359"/>
    <n v="368"/>
    <n v="1248.57"/>
    <n v="846"/>
    <n v="120"/>
    <n v="5"/>
    <s v="2026-03-11"/>
    <n v="155"/>
    <n v="2"/>
    <n v="34"/>
    <s v="No"/>
    <x v="0"/>
    <n v="-9"/>
    <n v="2.8951612903225805"/>
    <x v="1"/>
    <s v="Maintain Stock"/>
  </r>
  <r>
    <n v="808"/>
    <s v="Product_50"/>
    <x v="2"/>
    <x v="0"/>
    <n v="186"/>
    <n v="270"/>
    <n v="225"/>
    <n v="4424.79"/>
    <n v="2841.72"/>
    <n v="95"/>
    <n v="10"/>
    <s v="2026-03-10"/>
    <n v="216"/>
    <n v="4"/>
    <n v="48"/>
    <s v="No"/>
    <x v="2"/>
    <n v="45"/>
    <n v="1.4516129032258065"/>
    <x v="1"/>
    <s v="Maintain Stock"/>
  </r>
  <r>
    <n v="809"/>
    <s v="Product_39"/>
    <x v="0"/>
    <x v="1"/>
    <n v="152"/>
    <n v="265"/>
    <n v="296"/>
    <n v="1564.01"/>
    <n v="1100.3800000000001"/>
    <n v="79"/>
    <n v="5"/>
    <s v="2026-01-16"/>
    <n v="179"/>
    <n v="2"/>
    <n v="8"/>
    <s v="No"/>
    <x v="0"/>
    <n v="-31"/>
    <n v="1.743421052631579"/>
    <x v="1"/>
    <s v="Maintain Stock"/>
  </r>
  <r>
    <n v="810"/>
    <s v="Product_3"/>
    <x v="2"/>
    <x v="1"/>
    <n v="480"/>
    <n v="10"/>
    <n v="13"/>
    <n v="178.41"/>
    <n v="100.65"/>
    <n v="50"/>
    <n v="6"/>
    <s v="2026-03-15"/>
    <n v="189"/>
    <n v="2"/>
    <n v="0"/>
    <s v="No"/>
    <x v="1"/>
    <n v="-3"/>
    <n v="2.0833333333333332E-2"/>
    <x v="2"/>
    <s v="Apply Discount / Promotion"/>
  </r>
  <r>
    <n v="811"/>
    <s v="Product_91"/>
    <x v="3"/>
    <x v="1"/>
    <n v="26"/>
    <n v="157"/>
    <n v="176"/>
    <n v="3955.93"/>
    <n v="2960.55"/>
    <n v="136"/>
    <n v="12"/>
    <s v="2026-02-11"/>
    <n v="328"/>
    <n v="2"/>
    <n v="17"/>
    <s v="Yes"/>
    <x v="1"/>
    <n v="-19"/>
    <n v="6.0384615384615383"/>
    <x v="1"/>
    <s v="Maintain Stock"/>
  </r>
  <r>
    <n v="812"/>
    <s v="Product_35"/>
    <x v="3"/>
    <x v="1"/>
    <n v="50"/>
    <n v="158"/>
    <n v="115"/>
    <n v="1433.7"/>
    <n v="901.7"/>
    <n v="41"/>
    <n v="6"/>
    <s v="2026-03-25"/>
    <n v="236"/>
    <n v="3"/>
    <n v="37"/>
    <s v="Yes"/>
    <x v="2"/>
    <n v="43"/>
    <n v="3.16"/>
    <x v="1"/>
    <s v="Maintain Stock"/>
  </r>
  <r>
    <n v="813"/>
    <s v="Product_35"/>
    <x v="1"/>
    <x v="2"/>
    <n v="60"/>
    <n v="13"/>
    <n v="25"/>
    <n v="783.68"/>
    <n v="497.68"/>
    <n v="124"/>
    <n v="9"/>
    <s v="2026-02-08"/>
    <n v="137"/>
    <n v="3"/>
    <n v="16"/>
    <s v="No"/>
    <x v="1"/>
    <n v="-12"/>
    <n v="0.21666666666666667"/>
    <x v="2"/>
    <s v="Apply Discount / Promotion"/>
  </r>
  <r>
    <n v="814"/>
    <s v="Product_97"/>
    <x v="3"/>
    <x v="3"/>
    <n v="465"/>
    <n v="367"/>
    <n v="385"/>
    <n v="4376.0600000000004"/>
    <n v="3316.34"/>
    <n v="125"/>
    <n v="3"/>
    <s v="2026-01-10"/>
    <n v="312"/>
    <n v="4"/>
    <n v="28"/>
    <s v="No"/>
    <x v="2"/>
    <n v="-18"/>
    <n v="0.78924731182795704"/>
    <x v="0"/>
    <s v="Monitor Sales"/>
  </r>
  <r>
    <n v="815"/>
    <s v="Product_67"/>
    <x v="1"/>
    <x v="2"/>
    <n v="216"/>
    <n v="228"/>
    <n v="270"/>
    <n v="4887.72"/>
    <n v="3598.02"/>
    <n v="38"/>
    <n v="2"/>
    <s v="2026-03-06"/>
    <n v="230"/>
    <n v="2"/>
    <n v="27"/>
    <s v="Yes"/>
    <x v="1"/>
    <n v="-42"/>
    <n v="1.0555555555555556"/>
    <x v="1"/>
    <s v="Maintain Stock"/>
  </r>
  <r>
    <n v="816"/>
    <s v="Product_4"/>
    <x v="3"/>
    <x v="3"/>
    <n v="384"/>
    <n v="195"/>
    <n v="244"/>
    <n v="4397.5"/>
    <n v="2257.06"/>
    <n v="150"/>
    <n v="5"/>
    <s v="2026-02-04"/>
    <n v="216"/>
    <n v="3"/>
    <n v="24"/>
    <s v="No"/>
    <x v="1"/>
    <n v="-49"/>
    <n v="0.5078125"/>
    <x v="0"/>
    <s v="Monitor Sales"/>
  </r>
  <r>
    <n v="817"/>
    <s v="Product_11"/>
    <x v="2"/>
    <x v="3"/>
    <n v="264"/>
    <n v="24"/>
    <n v="57"/>
    <n v="1732.06"/>
    <n v="1325.18"/>
    <n v="149"/>
    <n v="2"/>
    <s v="2026-01-06"/>
    <n v="281"/>
    <n v="5"/>
    <n v="1"/>
    <s v="Yes"/>
    <x v="2"/>
    <n v="-33"/>
    <n v="9.0909090909090912E-2"/>
    <x v="2"/>
    <s v="Apply Discount / Promotion"/>
  </r>
  <r>
    <n v="818"/>
    <s v="Product_84"/>
    <x v="4"/>
    <x v="3"/>
    <n v="150"/>
    <n v="90"/>
    <n v="99"/>
    <n v="2279.14"/>
    <n v="1463.57"/>
    <n v="94"/>
    <n v="3"/>
    <s v="2026-02-11"/>
    <n v="35"/>
    <n v="1"/>
    <n v="19"/>
    <s v="No"/>
    <x v="1"/>
    <n v="-9"/>
    <n v="0.6"/>
    <x v="0"/>
    <s v="Monitor Sales"/>
  </r>
  <r>
    <n v="819"/>
    <s v="Product_63"/>
    <x v="3"/>
    <x v="0"/>
    <n v="418"/>
    <n v="157"/>
    <n v="156"/>
    <n v="2598.0100000000002"/>
    <n v="1420.28"/>
    <n v="43"/>
    <n v="14"/>
    <s v="2026-01-17"/>
    <n v="160"/>
    <n v="3"/>
    <n v="31"/>
    <s v="Yes"/>
    <x v="2"/>
    <n v="1"/>
    <n v="0.37559808612440193"/>
    <x v="2"/>
    <s v="Apply Discount / Promotion"/>
  </r>
  <r>
    <n v="820"/>
    <s v="Product_24"/>
    <x v="2"/>
    <x v="1"/>
    <n v="321"/>
    <n v="351"/>
    <n v="304"/>
    <n v="3785.04"/>
    <n v="2523.21"/>
    <n v="130"/>
    <n v="11"/>
    <s v="2026-02-28"/>
    <n v="163"/>
    <n v="2"/>
    <n v="26"/>
    <s v="No"/>
    <x v="1"/>
    <n v="47"/>
    <n v="1.0934579439252337"/>
    <x v="1"/>
    <s v="Maintain Stock"/>
  </r>
  <r>
    <n v="821"/>
    <s v="Product_10"/>
    <x v="1"/>
    <x v="2"/>
    <n v="162"/>
    <n v="95"/>
    <n v="138"/>
    <n v="63.94"/>
    <n v="44.33"/>
    <n v="34"/>
    <n v="2"/>
    <s v="2026-01-14"/>
    <n v="141"/>
    <n v="4"/>
    <n v="44"/>
    <s v="Yes"/>
    <x v="0"/>
    <n v="-43"/>
    <n v="0.5864197530864198"/>
    <x v="0"/>
    <s v="Monitor Sales"/>
  </r>
  <r>
    <n v="822"/>
    <s v="Product_11"/>
    <x v="2"/>
    <x v="0"/>
    <n v="329"/>
    <n v="130"/>
    <n v="113"/>
    <n v="3164.25"/>
    <n v="1932.79"/>
    <n v="131"/>
    <n v="7"/>
    <s v="2026-01-26"/>
    <n v="67"/>
    <n v="4"/>
    <n v="14"/>
    <s v="No"/>
    <x v="1"/>
    <n v="17"/>
    <n v="0.39513677811550152"/>
    <x v="2"/>
    <s v="Apply Discount / Promotion"/>
  </r>
  <r>
    <n v="823"/>
    <s v="Product_97"/>
    <x v="0"/>
    <x v="0"/>
    <n v="466"/>
    <n v="191"/>
    <n v="153"/>
    <n v="2962.86"/>
    <n v="1637.3"/>
    <n v="47"/>
    <n v="1"/>
    <s v="2026-02-23"/>
    <n v="150"/>
    <n v="4"/>
    <n v="17"/>
    <s v="No"/>
    <x v="0"/>
    <n v="38"/>
    <n v="0.40987124463519314"/>
    <x v="2"/>
    <s v="Apply Discount / Promotion"/>
  </r>
  <r>
    <n v="824"/>
    <s v="Product_43"/>
    <x v="0"/>
    <x v="2"/>
    <n v="236"/>
    <n v="104"/>
    <n v="78"/>
    <n v="3702.66"/>
    <n v="2417.0500000000002"/>
    <n v="131"/>
    <n v="6"/>
    <s v="2026-02-17"/>
    <n v="113"/>
    <n v="1"/>
    <n v="37"/>
    <s v="No"/>
    <x v="0"/>
    <n v="26"/>
    <n v="0.44067796610169491"/>
    <x v="2"/>
    <s v="Apply Discount / Promotion"/>
  </r>
  <r>
    <n v="825"/>
    <s v="Product_86"/>
    <x v="3"/>
    <x v="3"/>
    <n v="293"/>
    <n v="341"/>
    <n v="352"/>
    <n v="3398.67"/>
    <n v="2192"/>
    <n v="103"/>
    <n v="10"/>
    <s v="2026-01-23"/>
    <n v="215"/>
    <n v="3"/>
    <n v="33"/>
    <s v="No"/>
    <x v="0"/>
    <n v="-11"/>
    <n v="1.1638225255972696"/>
    <x v="1"/>
    <s v="Maintain Stock"/>
  </r>
  <r>
    <n v="826"/>
    <s v="Product_84"/>
    <x v="1"/>
    <x v="0"/>
    <n v="405"/>
    <n v="39"/>
    <n v="87"/>
    <n v="2404.6999999999998"/>
    <n v="1245.75"/>
    <n v="139"/>
    <n v="8"/>
    <s v="2026-03-03"/>
    <n v="101"/>
    <n v="5"/>
    <n v="35"/>
    <s v="No"/>
    <x v="0"/>
    <n v="-48"/>
    <n v="9.6296296296296297E-2"/>
    <x v="2"/>
    <s v="Apply Discount / Promotion"/>
  </r>
  <r>
    <n v="827"/>
    <s v="Product_93"/>
    <x v="0"/>
    <x v="2"/>
    <n v="61"/>
    <n v="110"/>
    <n v="135"/>
    <n v="1426.77"/>
    <n v="1095.0899999999999"/>
    <n v="97"/>
    <n v="5"/>
    <s v="2026-02-05"/>
    <n v="175"/>
    <n v="1"/>
    <n v="26"/>
    <s v="Yes"/>
    <x v="1"/>
    <n v="-25"/>
    <n v="1.8032786885245902"/>
    <x v="1"/>
    <s v="Maintain Stock"/>
  </r>
  <r>
    <n v="828"/>
    <s v="Product_8"/>
    <x v="3"/>
    <x v="1"/>
    <n v="470"/>
    <n v="246"/>
    <n v="220"/>
    <n v="3881.92"/>
    <n v="2462.86"/>
    <n v="133"/>
    <n v="8"/>
    <s v="2026-01-12"/>
    <n v="232"/>
    <n v="5"/>
    <n v="12"/>
    <s v="Yes"/>
    <x v="1"/>
    <n v="26"/>
    <n v="0.52340425531914891"/>
    <x v="0"/>
    <s v="Monitor Sales"/>
  </r>
  <r>
    <n v="829"/>
    <s v="Product_35"/>
    <x v="4"/>
    <x v="0"/>
    <n v="432"/>
    <n v="142"/>
    <n v="105"/>
    <n v="1389.81"/>
    <n v="1046.57"/>
    <n v="75"/>
    <n v="4"/>
    <s v="2026-02-17"/>
    <n v="313"/>
    <n v="2"/>
    <n v="37"/>
    <s v="Yes"/>
    <x v="1"/>
    <n v="37"/>
    <n v="0.32870370370370372"/>
    <x v="2"/>
    <s v="Apply Discount / Promotion"/>
  </r>
  <r>
    <n v="830"/>
    <s v="Product_15"/>
    <x v="3"/>
    <x v="0"/>
    <n v="218"/>
    <n v="139"/>
    <n v="143"/>
    <n v="1539.48"/>
    <n v="1084.22"/>
    <n v="87"/>
    <n v="5"/>
    <s v="2026-01-07"/>
    <n v="190"/>
    <n v="2"/>
    <n v="13"/>
    <s v="No"/>
    <x v="2"/>
    <n v="-4"/>
    <n v="0.63761467889908252"/>
    <x v="0"/>
    <s v="Monitor Sales"/>
  </r>
  <r>
    <n v="831"/>
    <s v="Product_43"/>
    <x v="3"/>
    <x v="1"/>
    <n v="471"/>
    <n v="348"/>
    <n v="336"/>
    <n v="1648.51"/>
    <n v="1039.8900000000001"/>
    <n v="46"/>
    <n v="1"/>
    <s v="2026-01-23"/>
    <n v="80"/>
    <n v="4"/>
    <n v="33"/>
    <s v="Yes"/>
    <x v="1"/>
    <n v="12"/>
    <n v="0.73885350318471332"/>
    <x v="0"/>
    <s v="Monitor Sales"/>
  </r>
  <r>
    <n v="832"/>
    <s v="Product_38"/>
    <x v="1"/>
    <x v="1"/>
    <n v="247"/>
    <n v="24"/>
    <n v="60"/>
    <n v="1231.2"/>
    <n v="888.28"/>
    <n v="120"/>
    <n v="6"/>
    <s v="2026-01-17"/>
    <n v="184"/>
    <n v="1"/>
    <n v="5"/>
    <s v="Yes"/>
    <x v="2"/>
    <n v="-36"/>
    <n v="9.7165991902834009E-2"/>
    <x v="2"/>
    <s v="Apply Discount / Promotion"/>
  </r>
  <r>
    <n v="833"/>
    <s v="Product_91"/>
    <x v="4"/>
    <x v="0"/>
    <n v="270"/>
    <n v="372"/>
    <n v="330"/>
    <n v="4099.05"/>
    <n v="2381.14"/>
    <n v="97"/>
    <n v="1"/>
    <s v="2026-02-19"/>
    <n v="280"/>
    <n v="5"/>
    <n v="31"/>
    <s v="No"/>
    <x v="1"/>
    <n v="42"/>
    <n v="1.3777777777777778"/>
    <x v="1"/>
    <s v="Maintain Stock"/>
  </r>
  <r>
    <n v="834"/>
    <s v="Product_81"/>
    <x v="2"/>
    <x v="3"/>
    <n v="294"/>
    <n v="165"/>
    <n v="124"/>
    <n v="161.63999999999999"/>
    <n v="90.93"/>
    <n v="30"/>
    <n v="14"/>
    <s v="2026-01-23"/>
    <n v="338"/>
    <n v="1"/>
    <n v="10"/>
    <s v="Yes"/>
    <x v="1"/>
    <n v="41"/>
    <n v="0.56122448979591832"/>
    <x v="0"/>
    <s v="Monitor Sales"/>
  </r>
  <r>
    <n v="835"/>
    <s v="Product_24"/>
    <x v="0"/>
    <x v="3"/>
    <n v="389"/>
    <n v="0"/>
    <n v="12"/>
    <n v="1484.04"/>
    <n v="1023.38"/>
    <n v="80"/>
    <n v="12"/>
    <s v="2026-01-02"/>
    <n v="357"/>
    <n v="2"/>
    <n v="22"/>
    <s v="Yes"/>
    <x v="1"/>
    <n v="-12"/>
    <n v="0"/>
    <x v="2"/>
    <s v="Apply Discount / Promotion"/>
  </r>
  <r>
    <n v="836"/>
    <s v="Product_36"/>
    <x v="0"/>
    <x v="2"/>
    <n v="481"/>
    <n v="262"/>
    <n v="268"/>
    <n v="2046.54"/>
    <n v="1583.34"/>
    <n v="30"/>
    <n v="6"/>
    <s v="2026-03-14"/>
    <n v="91"/>
    <n v="5"/>
    <n v="14"/>
    <s v="No"/>
    <x v="1"/>
    <n v="-6"/>
    <n v="0.54469854469854473"/>
    <x v="0"/>
    <s v="Monitor Sales"/>
  </r>
  <r>
    <n v="837"/>
    <s v="Product_72"/>
    <x v="4"/>
    <x v="2"/>
    <n v="270"/>
    <n v="87"/>
    <n v="53"/>
    <n v="784"/>
    <n v="532.09"/>
    <n v="75"/>
    <n v="11"/>
    <s v="2026-03-05"/>
    <n v="307"/>
    <n v="2"/>
    <n v="3"/>
    <s v="Yes"/>
    <x v="2"/>
    <n v="34"/>
    <n v="0.32222222222222224"/>
    <x v="2"/>
    <s v="Apply Discount / Promotion"/>
  </r>
  <r>
    <n v="838"/>
    <s v="Product_99"/>
    <x v="4"/>
    <x v="2"/>
    <n v="450"/>
    <n v="168"/>
    <n v="162"/>
    <n v="514.69000000000005"/>
    <n v="401.28"/>
    <n v="58"/>
    <n v="15"/>
    <s v="2026-02-16"/>
    <n v="248"/>
    <n v="1"/>
    <n v="0"/>
    <s v="No"/>
    <x v="0"/>
    <n v="6"/>
    <n v="0.37333333333333335"/>
    <x v="2"/>
    <s v="Apply Discount / Promotion"/>
  </r>
  <r>
    <n v="839"/>
    <s v="Product_65"/>
    <x v="3"/>
    <x v="1"/>
    <n v="210"/>
    <n v="312"/>
    <n v="274"/>
    <n v="4638.93"/>
    <n v="3169.28"/>
    <n v="71"/>
    <n v="14"/>
    <s v="2026-02-19"/>
    <n v="104"/>
    <n v="5"/>
    <n v="28"/>
    <s v="No"/>
    <x v="0"/>
    <n v="38"/>
    <n v="1.4857142857142858"/>
    <x v="1"/>
    <s v="Maintain Stock"/>
  </r>
  <r>
    <n v="840"/>
    <s v="Product_88"/>
    <x v="0"/>
    <x v="2"/>
    <n v="88"/>
    <n v="53"/>
    <n v="77"/>
    <n v="4586.7700000000004"/>
    <n v="2323.9299999999998"/>
    <n v="50"/>
    <n v="9"/>
    <s v="2026-02-27"/>
    <n v="318"/>
    <n v="2"/>
    <n v="40"/>
    <s v="Yes"/>
    <x v="1"/>
    <n v="-24"/>
    <n v="0.60227272727272729"/>
    <x v="0"/>
    <s v="Monitor Sales"/>
  </r>
  <r>
    <n v="841"/>
    <s v="Product_33"/>
    <x v="1"/>
    <x v="1"/>
    <n v="151"/>
    <n v="141"/>
    <n v="171"/>
    <n v="1354.39"/>
    <n v="926.66"/>
    <n v="148"/>
    <n v="5"/>
    <s v="2026-01-08"/>
    <n v="131"/>
    <n v="4"/>
    <n v="23"/>
    <s v="No"/>
    <x v="0"/>
    <n v="-30"/>
    <n v="0.93377483443708609"/>
    <x v="0"/>
    <s v="Monitor Sales"/>
  </r>
  <r>
    <n v="842"/>
    <s v="Product_40"/>
    <x v="2"/>
    <x v="1"/>
    <n v="230"/>
    <n v="142"/>
    <n v="180"/>
    <n v="3627.16"/>
    <n v="2853.45"/>
    <n v="38"/>
    <n v="4"/>
    <s v="2026-03-01"/>
    <n v="35"/>
    <n v="3"/>
    <n v="43"/>
    <s v="No"/>
    <x v="2"/>
    <n v="-38"/>
    <n v="0.61739130434782608"/>
    <x v="0"/>
    <s v="Monitor Sales"/>
  </r>
  <r>
    <n v="843"/>
    <s v="Product_53"/>
    <x v="0"/>
    <x v="0"/>
    <n v="243"/>
    <n v="192"/>
    <n v="170"/>
    <n v="4061.71"/>
    <n v="2244.1"/>
    <n v="34"/>
    <n v="3"/>
    <s v="2026-02-22"/>
    <n v="268"/>
    <n v="5"/>
    <n v="35"/>
    <s v="No"/>
    <x v="0"/>
    <n v="22"/>
    <n v="0.79012345679012341"/>
    <x v="0"/>
    <s v="Monitor Sales"/>
  </r>
  <r>
    <n v="844"/>
    <s v="Product_64"/>
    <x v="3"/>
    <x v="2"/>
    <n v="482"/>
    <n v="109"/>
    <n v="146"/>
    <n v="653.02"/>
    <n v="452.36"/>
    <n v="93"/>
    <n v="2"/>
    <s v="2026-03-21"/>
    <n v="98"/>
    <n v="1"/>
    <n v="14"/>
    <s v="Yes"/>
    <x v="0"/>
    <n v="-37"/>
    <n v="0.22614107883817428"/>
    <x v="2"/>
    <s v="Apply Discount / Promotion"/>
  </r>
  <r>
    <n v="845"/>
    <s v="Product_27"/>
    <x v="2"/>
    <x v="3"/>
    <n v="427"/>
    <n v="101"/>
    <n v="141"/>
    <n v="1759.44"/>
    <n v="888.8"/>
    <n v="53"/>
    <n v="9"/>
    <s v="2026-02-25"/>
    <n v="339"/>
    <n v="3"/>
    <n v="19"/>
    <s v="Yes"/>
    <x v="1"/>
    <n v="-40"/>
    <n v="0.23653395784543327"/>
    <x v="2"/>
    <s v="Apply Discount / Promotion"/>
  </r>
  <r>
    <n v="846"/>
    <s v="Product_87"/>
    <x v="2"/>
    <x v="0"/>
    <n v="478"/>
    <n v="10"/>
    <n v="47"/>
    <n v="4861.8500000000004"/>
    <n v="3642.15"/>
    <n v="73"/>
    <n v="8"/>
    <s v="2026-03-10"/>
    <n v="80"/>
    <n v="2"/>
    <n v="11"/>
    <s v="Yes"/>
    <x v="0"/>
    <n v="-37"/>
    <n v="2.0920502092050208E-2"/>
    <x v="2"/>
    <s v="Apply Discount / Promotion"/>
  </r>
  <r>
    <n v="847"/>
    <s v="Product_17"/>
    <x v="4"/>
    <x v="3"/>
    <n v="191"/>
    <n v="257"/>
    <n v="216"/>
    <n v="4835.95"/>
    <n v="3812.62"/>
    <n v="146"/>
    <n v="2"/>
    <s v="2026-01-22"/>
    <n v="197"/>
    <n v="1"/>
    <n v="43"/>
    <s v="No"/>
    <x v="2"/>
    <n v="41"/>
    <n v="1.3455497382198953"/>
    <x v="1"/>
    <s v="Maintain Stock"/>
  </r>
  <r>
    <n v="848"/>
    <s v="Product_84"/>
    <x v="1"/>
    <x v="2"/>
    <n v="270"/>
    <n v="251"/>
    <n v="219"/>
    <n v="1678.67"/>
    <n v="1054.52"/>
    <n v="41"/>
    <n v="6"/>
    <s v="2026-03-01"/>
    <n v="50"/>
    <n v="4"/>
    <n v="17"/>
    <s v="Yes"/>
    <x v="1"/>
    <n v="32"/>
    <n v="0.92962962962962958"/>
    <x v="0"/>
    <s v="Monitor Sales"/>
  </r>
  <r>
    <n v="849"/>
    <s v="Product_95"/>
    <x v="0"/>
    <x v="0"/>
    <n v="36"/>
    <n v="146"/>
    <n v="162"/>
    <n v="123.85"/>
    <n v="87.43"/>
    <n v="31"/>
    <n v="13"/>
    <s v="2026-01-28"/>
    <n v="120"/>
    <n v="5"/>
    <n v="29"/>
    <s v="No"/>
    <x v="1"/>
    <n v="-16"/>
    <n v="4.0555555555555554"/>
    <x v="1"/>
    <s v="Maintain Stock"/>
  </r>
  <r>
    <n v="850"/>
    <s v="Product_74"/>
    <x v="1"/>
    <x v="1"/>
    <n v="295"/>
    <n v="185"/>
    <n v="211"/>
    <n v="2145.9499999999998"/>
    <n v="1654.24"/>
    <n v="105"/>
    <n v="7"/>
    <s v="2026-03-21"/>
    <n v="128"/>
    <n v="4"/>
    <n v="19"/>
    <s v="No"/>
    <x v="1"/>
    <n v="-26"/>
    <n v="0.6271186440677966"/>
    <x v="0"/>
    <s v="Monitor Sales"/>
  </r>
  <r>
    <n v="851"/>
    <s v="Product_57"/>
    <x v="3"/>
    <x v="1"/>
    <n v="293"/>
    <n v="2"/>
    <n v="19"/>
    <n v="3337.3"/>
    <n v="2257.0700000000002"/>
    <n v="111"/>
    <n v="12"/>
    <s v="2026-02-16"/>
    <n v="322"/>
    <n v="4"/>
    <n v="13"/>
    <s v="Yes"/>
    <x v="0"/>
    <n v="-17"/>
    <n v="6.8259385665529011E-3"/>
    <x v="2"/>
    <s v="Apply Discount / Promotion"/>
  </r>
  <r>
    <n v="852"/>
    <s v="Product_25"/>
    <x v="2"/>
    <x v="1"/>
    <n v="308"/>
    <n v="340"/>
    <n v="334"/>
    <n v="2912.9"/>
    <n v="1744.28"/>
    <n v="72"/>
    <n v="8"/>
    <s v="2026-01-03"/>
    <n v="205"/>
    <n v="4"/>
    <n v="9"/>
    <s v="No"/>
    <x v="0"/>
    <n v="6"/>
    <n v="1.1038961038961039"/>
    <x v="1"/>
    <s v="Maintain Stock"/>
  </r>
  <r>
    <n v="853"/>
    <s v="Product_14"/>
    <x v="2"/>
    <x v="3"/>
    <n v="412"/>
    <n v="354"/>
    <n v="312"/>
    <n v="1216.93"/>
    <n v="894.9"/>
    <n v="93"/>
    <n v="3"/>
    <s v="2026-02-04"/>
    <n v="203"/>
    <n v="4"/>
    <n v="22"/>
    <s v="No"/>
    <x v="2"/>
    <n v="42"/>
    <n v="0.85922330097087374"/>
    <x v="0"/>
    <s v="Monitor Sales"/>
  </r>
  <r>
    <n v="854"/>
    <s v="Product_16"/>
    <x v="1"/>
    <x v="1"/>
    <n v="250"/>
    <n v="249"/>
    <n v="258"/>
    <n v="419.27"/>
    <n v="285.20999999999998"/>
    <n v="118"/>
    <n v="13"/>
    <s v="2026-03-24"/>
    <n v="294"/>
    <n v="4"/>
    <n v="43"/>
    <s v="No"/>
    <x v="0"/>
    <n v="-9"/>
    <n v="0.996"/>
    <x v="0"/>
    <s v="Monitor Sales"/>
  </r>
  <r>
    <n v="855"/>
    <s v="Product_14"/>
    <x v="3"/>
    <x v="1"/>
    <n v="21"/>
    <n v="149"/>
    <n v="125"/>
    <n v="2984.01"/>
    <n v="1680.3"/>
    <n v="134"/>
    <n v="12"/>
    <s v="2026-01-13"/>
    <n v="244"/>
    <n v="4"/>
    <n v="10"/>
    <s v="No"/>
    <x v="1"/>
    <n v="24"/>
    <n v="7.0952380952380949"/>
    <x v="1"/>
    <s v="Maintain Stock"/>
  </r>
  <r>
    <n v="856"/>
    <s v="Product_41"/>
    <x v="0"/>
    <x v="2"/>
    <n v="196"/>
    <n v="276"/>
    <n v="226"/>
    <n v="3557.97"/>
    <n v="1840.24"/>
    <n v="108"/>
    <n v="1"/>
    <s v="2026-01-16"/>
    <n v="56"/>
    <n v="4"/>
    <n v="23"/>
    <s v="Yes"/>
    <x v="2"/>
    <n v="50"/>
    <n v="1.4081632653061225"/>
    <x v="1"/>
    <s v="Maintain Stock"/>
  </r>
  <r>
    <n v="857"/>
    <s v="Product_87"/>
    <x v="3"/>
    <x v="2"/>
    <n v="455"/>
    <n v="153"/>
    <n v="145"/>
    <n v="4733.41"/>
    <n v="3420.06"/>
    <n v="48"/>
    <n v="1"/>
    <s v="2026-02-26"/>
    <n v="66"/>
    <n v="2"/>
    <n v="15"/>
    <s v="No"/>
    <x v="2"/>
    <n v="8"/>
    <n v="0.33626373626373629"/>
    <x v="2"/>
    <s v="Apply Discount / Promotion"/>
  </r>
  <r>
    <n v="858"/>
    <s v="Product_67"/>
    <x v="0"/>
    <x v="1"/>
    <n v="114"/>
    <n v="113"/>
    <n v="131"/>
    <n v="864.45"/>
    <n v="564.47"/>
    <n v="109"/>
    <n v="13"/>
    <s v="2026-03-26"/>
    <n v="180"/>
    <n v="4"/>
    <n v="42"/>
    <s v="No"/>
    <x v="1"/>
    <n v="-18"/>
    <n v="0.99122807017543857"/>
    <x v="0"/>
    <s v="Monitor Sales"/>
  </r>
  <r>
    <n v="859"/>
    <s v="Product_68"/>
    <x v="1"/>
    <x v="2"/>
    <n v="214"/>
    <n v="191"/>
    <n v="178"/>
    <n v="520.08000000000004"/>
    <n v="329.79"/>
    <n v="94"/>
    <n v="2"/>
    <s v="2026-03-10"/>
    <n v="220"/>
    <n v="1"/>
    <n v="5"/>
    <s v="No"/>
    <x v="0"/>
    <n v="13"/>
    <n v="0.89252336448598135"/>
    <x v="0"/>
    <s v="Monitor Sales"/>
  </r>
  <r>
    <n v="860"/>
    <s v="Product_11"/>
    <x v="0"/>
    <x v="2"/>
    <n v="298"/>
    <n v="322"/>
    <n v="300"/>
    <n v="2374.64"/>
    <n v="1522.98"/>
    <n v="133"/>
    <n v="7"/>
    <s v="2026-02-08"/>
    <n v="60"/>
    <n v="5"/>
    <n v="33"/>
    <s v="No"/>
    <x v="2"/>
    <n v="22"/>
    <n v="1.080536912751678"/>
    <x v="1"/>
    <s v="Maintain Stock"/>
  </r>
  <r>
    <n v="861"/>
    <s v="Product_6"/>
    <x v="0"/>
    <x v="0"/>
    <n v="165"/>
    <n v="148"/>
    <n v="152"/>
    <n v="4562.53"/>
    <n v="2707.71"/>
    <n v="133"/>
    <n v="4"/>
    <s v="2026-03-04"/>
    <n v="106"/>
    <n v="2"/>
    <n v="27"/>
    <s v="No"/>
    <x v="1"/>
    <n v="-4"/>
    <n v="0.89696969696969697"/>
    <x v="0"/>
    <s v="Monitor Sales"/>
  </r>
  <r>
    <n v="862"/>
    <s v="Product_63"/>
    <x v="1"/>
    <x v="2"/>
    <n v="52"/>
    <n v="417"/>
    <n v="374"/>
    <n v="399.12"/>
    <n v="200.12"/>
    <n v="115"/>
    <n v="2"/>
    <s v="2026-02-20"/>
    <n v="212"/>
    <n v="1"/>
    <n v="49"/>
    <s v="Yes"/>
    <x v="1"/>
    <n v="43"/>
    <n v="8.0192307692307701"/>
    <x v="1"/>
    <s v="Maintain Stock"/>
  </r>
  <r>
    <n v="863"/>
    <s v="Product_1"/>
    <x v="0"/>
    <x v="2"/>
    <n v="87"/>
    <n v="370"/>
    <n v="338"/>
    <n v="1163.43"/>
    <n v="691.92"/>
    <n v="147"/>
    <n v="11"/>
    <s v="2026-02-05"/>
    <n v="112"/>
    <n v="2"/>
    <n v="43"/>
    <s v="No"/>
    <x v="1"/>
    <n v="32"/>
    <n v="4.2528735632183912"/>
    <x v="1"/>
    <s v="Maintain Stock"/>
  </r>
  <r>
    <n v="864"/>
    <s v="Product_41"/>
    <x v="3"/>
    <x v="3"/>
    <n v="347"/>
    <n v="152"/>
    <n v="148"/>
    <n v="3121.73"/>
    <n v="2005.18"/>
    <n v="51"/>
    <n v="4"/>
    <s v="2026-02-01"/>
    <n v="104"/>
    <n v="1"/>
    <n v="3"/>
    <s v="Yes"/>
    <x v="2"/>
    <n v="4"/>
    <n v="0.43804034582132567"/>
    <x v="2"/>
    <s v="Apply Discount / Promotion"/>
  </r>
  <r>
    <n v="865"/>
    <s v="Product_1"/>
    <x v="4"/>
    <x v="2"/>
    <n v="312"/>
    <n v="131"/>
    <n v="90"/>
    <n v="2568.0100000000002"/>
    <n v="1303.76"/>
    <n v="31"/>
    <n v="11"/>
    <s v="2026-02-15"/>
    <n v="66"/>
    <n v="2"/>
    <n v="10"/>
    <s v="Yes"/>
    <x v="2"/>
    <n v="41"/>
    <n v="0.41987179487179488"/>
    <x v="2"/>
    <s v="Apply Discount / Promotion"/>
  </r>
  <r>
    <n v="866"/>
    <s v="Product_81"/>
    <x v="3"/>
    <x v="0"/>
    <n v="338"/>
    <n v="298"/>
    <n v="317"/>
    <n v="4133.87"/>
    <n v="2145.86"/>
    <n v="50"/>
    <n v="15"/>
    <s v="2026-02-16"/>
    <n v="93"/>
    <n v="2"/>
    <n v="27"/>
    <s v="No"/>
    <x v="1"/>
    <n v="-19"/>
    <n v="0.88165680473372776"/>
    <x v="0"/>
    <s v="Monitor Sales"/>
  </r>
  <r>
    <n v="867"/>
    <s v="Product_76"/>
    <x v="1"/>
    <x v="1"/>
    <n v="372"/>
    <n v="378"/>
    <n v="378"/>
    <n v="2462.77"/>
    <n v="1838.82"/>
    <n v="126"/>
    <n v="1"/>
    <s v="2026-02-12"/>
    <n v="144"/>
    <n v="3"/>
    <n v="2"/>
    <s v="No"/>
    <x v="2"/>
    <n v="0"/>
    <n v="1.0161290322580645"/>
    <x v="1"/>
    <s v="Maintain Stock"/>
  </r>
  <r>
    <n v="868"/>
    <s v="Product_59"/>
    <x v="2"/>
    <x v="2"/>
    <n v="283"/>
    <n v="118"/>
    <n v="74"/>
    <n v="2894.61"/>
    <n v="2309.9699999999998"/>
    <n v="112"/>
    <n v="9"/>
    <s v="2026-02-09"/>
    <n v="333"/>
    <n v="3"/>
    <n v="0"/>
    <s v="No"/>
    <x v="0"/>
    <n v="44"/>
    <n v="0.41696113074204949"/>
    <x v="2"/>
    <s v="Apply Discount / Promotion"/>
  </r>
  <r>
    <n v="869"/>
    <s v="Product_53"/>
    <x v="0"/>
    <x v="3"/>
    <n v="95"/>
    <n v="354"/>
    <n v="356"/>
    <n v="4497.62"/>
    <n v="3343.43"/>
    <n v="62"/>
    <n v="14"/>
    <s v="2026-01-01"/>
    <n v="330"/>
    <n v="1"/>
    <n v="47"/>
    <s v="No"/>
    <x v="2"/>
    <n v="-2"/>
    <n v="3.7263157894736842"/>
    <x v="1"/>
    <s v="Maintain Stock"/>
  </r>
  <r>
    <n v="870"/>
    <s v="Product_29"/>
    <x v="3"/>
    <x v="1"/>
    <n v="199"/>
    <n v="292"/>
    <n v="315"/>
    <n v="4436.3599999999997"/>
    <n v="3141.9"/>
    <n v="115"/>
    <n v="13"/>
    <s v="2026-01-13"/>
    <n v="291"/>
    <n v="4"/>
    <n v="24"/>
    <s v="Yes"/>
    <x v="2"/>
    <n v="-23"/>
    <n v="1.4673366834170853"/>
    <x v="1"/>
    <s v="Maintain Stock"/>
  </r>
  <r>
    <n v="871"/>
    <s v="Product_20"/>
    <x v="3"/>
    <x v="2"/>
    <n v="105"/>
    <n v="297"/>
    <n v="286"/>
    <n v="1501.27"/>
    <n v="1009.48"/>
    <n v="68"/>
    <n v="9"/>
    <s v="2026-01-18"/>
    <n v="85"/>
    <n v="2"/>
    <n v="31"/>
    <s v="No"/>
    <x v="0"/>
    <n v="11"/>
    <n v="2.8285714285714287"/>
    <x v="1"/>
    <s v="Maintain Stock"/>
  </r>
  <r>
    <n v="872"/>
    <s v="Product_13"/>
    <x v="3"/>
    <x v="0"/>
    <n v="149"/>
    <n v="296"/>
    <n v="276"/>
    <n v="1577.99"/>
    <n v="1135.7"/>
    <n v="140"/>
    <n v="1"/>
    <s v="2026-01-12"/>
    <n v="150"/>
    <n v="4"/>
    <n v="17"/>
    <s v="No"/>
    <x v="2"/>
    <n v="20"/>
    <n v="1.9865771812080537"/>
    <x v="1"/>
    <s v="Maintain Stock"/>
  </r>
  <r>
    <n v="873"/>
    <s v="Product_66"/>
    <x v="4"/>
    <x v="2"/>
    <n v="256"/>
    <n v="347"/>
    <n v="356"/>
    <n v="4067.74"/>
    <n v="2817.57"/>
    <n v="148"/>
    <n v="12"/>
    <s v="2026-02-18"/>
    <n v="301"/>
    <n v="4"/>
    <n v="48"/>
    <s v="Yes"/>
    <x v="1"/>
    <n v="-9"/>
    <n v="1.35546875"/>
    <x v="1"/>
    <s v="Maintain Stock"/>
  </r>
  <r>
    <n v="874"/>
    <s v="Product_9"/>
    <x v="3"/>
    <x v="0"/>
    <n v="452"/>
    <n v="7"/>
    <n v="10"/>
    <n v="508.95"/>
    <n v="357.25"/>
    <n v="129"/>
    <n v="9"/>
    <s v="2026-03-14"/>
    <n v="306"/>
    <n v="5"/>
    <n v="9"/>
    <s v="No"/>
    <x v="2"/>
    <n v="-3"/>
    <n v="1.5486725663716814E-2"/>
    <x v="2"/>
    <s v="Apply Discount / Promotion"/>
  </r>
  <r>
    <n v="875"/>
    <s v="Product_94"/>
    <x v="2"/>
    <x v="1"/>
    <n v="265"/>
    <n v="245"/>
    <n v="283"/>
    <n v="2929.63"/>
    <n v="2006.22"/>
    <n v="137"/>
    <n v="14"/>
    <s v="2026-03-06"/>
    <n v="184"/>
    <n v="4"/>
    <n v="0"/>
    <s v="No"/>
    <x v="1"/>
    <n v="-38"/>
    <n v="0.92452830188679247"/>
    <x v="0"/>
    <s v="Monitor Sales"/>
  </r>
  <r>
    <n v="876"/>
    <s v="Product_1"/>
    <x v="0"/>
    <x v="0"/>
    <n v="193"/>
    <n v="22"/>
    <n v="12"/>
    <n v="268"/>
    <n v="168.47"/>
    <n v="103"/>
    <n v="3"/>
    <s v="2026-01-01"/>
    <n v="266"/>
    <n v="3"/>
    <n v="13"/>
    <s v="Yes"/>
    <x v="0"/>
    <n v="10"/>
    <n v="0.11398963730569948"/>
    <x v="2"/>
    <s v="Apply Discount / Promotion"/>
  </r>
  <r>
    <n v="877"/>
    <s v="Product_6"/>
    <x v="1"/>
    <x v="2"/>
    <n v="294"/>
    <n v="177"/>
    <n v="138"/>
    <n v="903.72"/>
    <n v="472.49"/>
    <n v="113"/>
    <n v="11"/>
    <s v="2026-03-04"/>
    <n v="143"/>
    <n v="3"/>
    <n v="11"/>
    <s v="Yes"/>
    <x v="2"/>
    <n v="39"/>
    <n v="0.60204081632653061"/>
    <x v="0"/>
    <s v="Monitor Sales"/>
  </r>
  <r>
    <n v="878"/>
    <s v="Product_20"/>
    <x v="2"/>
    <x v="2"/>
    <n v="453"/>
    <n v="75"/>
    <n v="55"/>
    <n v="4932.41"/>
    <n v="3297.23"/>
    <n v="96"/>
    <n v="11"/>
    <s v="2026-01-22"/>
    <n v="173"/>
    <n v="1"/>
    <n v="45"/>
    <s v="No"/>
    <x v="0"/>
    <n v="20"/>
    <n v="0.16556291390728478"/>
    <x v="2"/>
    <s v="Apply Discount / Promotion"/>
  </r>
  <r>
    <n v="879"/>
    <s v="Product_93"/>
    <x v="3"/>
    <x v="2"/>
    <n v="62"/>
    <n v="347"/>
    <n v="298"/>
    <n v="200.2"/>
    <n v="126.87"/>
    <n v="44"/>
    <n v="15"/>
    <s v="2026-01-17"/>
    <n v="315"/>
    <n v="2"/>
    <n v="6"/>
    <s v="Yes"/>
    <x v="0"/>
    <n v="49"/>
    <n v="5.596774193548387"/>
    <x v="1"/>
    <s v="Maintain Stock"/>
  </r>
  <r>
    <n v="880"/>
    <s v="Product_4"/>
    <x v="2"/>
    <x v="0"/>
    <n v="355"/>
    <n v="377"/>
    <n v="395"/>
    <n v="4611.28"/>
    <n v="3247.91"/>
    <n v="141"/>
    <n v="2"/>
    <s v="2026-01-04"/>
    <n v="165"/>
    <n v="2"/>
    <n v="9"/>
    <s v="No"/>
    <x v="2"/>
    <n v="-18"/>
    <n v="1.0619718309859154"/>
    <x v="1"/>
    <s v="Maintain Stock"/>
  </r>
  <r>
    <n v="881"/>
    <s v="Product_18"/>
    <x v="2"/>
    <x v="0"/>
    <n v="272"/>
    <n v="21"/>
    <n v="46"/>
    <n v="4929.1400000000003"/>
    <n v="3117.44"/>
    <n v="49"/>
    <n v="11"/>
    <s v="2026-02-08"/>
    <n v="148"/>
    <n v="1"/>
    <n v="24"/>
    <s v="No"/>
    <x v="1"/>
    <n v="-25"/>
    <n v="7.720588235294118E-2"/>
    <x v="2"/>
    <s v="Apply Discount / Promotion"/>
  </r>
  <r>
    <n v="882"/>
    <s v="Product_75"/>
    <x v="0"/>
    <x v="2"/>
    <n v="365"/>
    <n v="154"/>
    <n v="176"/>
    <n v="4874.3900000000003"/>
    <n v="3438"/>
    <n v="112"/>
    <n v="14"/>
    <s v="2026-02-11"/>
    <n v="193"/>
    <n v="1"/>
    <n v="10"/>
    <s v="No"/>
    <x v="0"/>
    <n v="-22"/>
    <n v="0.42191780821917807"/>
    <x v="2"/>
    <s v="Apply Discount / Promotion"/>
  </r>
  <r>
    <n v="883"/>
    <s v="Product_32"/>
    <x v="3"/>
    <x v="2"/>
    <n v="190"/>
    <n v="258"/>
    <n v="239"/>
    <n v="2995.32"/>
    <n v="1506.44"/>
    <n v="85"/>
    <n v="7"/>
    <s v="2025-12-29"/>
    <n v="147"/>
    <n v="5"/>
    <n v="37"/>
    <s v="No"/>
    <x v="2"/>
    <n v="19"/>
    <n v="1.3578947368421053"/>
    <x v="1"/>
    <s v="Maintain Stock"/>
  </r>
  <r>
    <n v="884"/>
    <s v="Product_39"/>
    <x v="1"/>
    <x v="3"/>
    <n v="97"/>
    <n v="73"/>
    <n v="77"/>
    <n v="3308.43"/>
    <n v="2062.44"/>
    <n v="141"/>
    <n v="9"/>
    <s v="2025-12-30"/>
    <n v="332"/>
    <n v="1"/>
    <n v="7"/>
    <s v="Yes"/>
    <x v="1"/>
    <n v="-4"/>
    <n v="0.75257731958762886"/>
    <x v="0"/>
    <s v="Monitor Sales"/>
  </r>
  <r>
    <n v="885"/>
    <s v="Product_5"/>
    <x v="4"/>
    <x v="1"/>
    <n v="63"/>
    <n v="350"/>
    <n v="316"/>
    <n v="4313.87"/>
    <n v="2233.25"/>
    <n v="121"/>
    <n v="13"/>
    <s v="2026-01-10"/>
    <n v="258"/>
    <n v="2"/>
    <n v="20"/>
    <s v="No"/>
    <x v="0"/>
    <n v="34"/>
    <n v="5.5555555555555554"/>
    <x v="1"/>
    <s v="Maintain Stock"/>
  </r>
  <r>
    <n v="886"/>
    <s v="Product_98"/>
    <x v="4"/>
    <x v="0"/>
    <n v="139"/>
    <n v="316"/>
    <n v="339"/>
    <n v="2512.2600000000002"/>
    <n v="1567.03"/>
    <n v="37"/>
    <n v="4"/>
    <s v="2026-02-06"/>
    <n v="299"/>
    <n v="3"/>
    <n v="44"/>
    <s v="No"/>
    <x v="2"/>
    <n v="-23"/>
    <n v="2.2733812949640289"/>
    <x v="1"/>
    <s v="Maintain Stock"/>
  </r>
  <r>
    <n v="887"/>
    <s v="Product_12"/>
    <x v="2"/>
    <x v="1"/>
    <n v="342"/>
    <n v="346"/>
    <n v="366"/>
    <n v="3529.69"/>
    <n v="2212.9"/>
    <n v="150"/>
    <n v="14"/>
    <s v="2026-03-06"/>
    <n v="244"/>
    <n v="1"/>
    <n v="11"/>
    <s v="Yes"/>
    <x v="1"/>
    <n v="-20"/>
    <n v="1.0116959064327486"/>
    <x v="1"/>
    <s v="Maintain Stock"/>
  </r>
  <r>
    <n v="888"/>
    <s v="Product_92"/>
    <x v="2"/>
    <x v="2"/>
    <n v="377"/>
    <n v="254"/>
    <n v="244"/>
    <n v="3926.69"/>
    <n v="2821.57"/>
    <n v="59"/>
    <n v="7"/>
    <s v="2026-02-09"/>
    <n v="115"/>
    <n v="1"/>
    <n v="30"/>
    <s v="No"/>
    <x v="2"/>
    <n v="10"/>
    <n v="0.67374005305039786"/>
    <x v="0"/>
    <s v="Monitor Sales"/>
  </r>
  <r>
    <n v="889"/>
    <s v="Product_67"/>
    <x v="4"/>
    <x v="2"/>
    <n v="375"/>
    <n v="162"/>
    <n v="130"/>
    <n v="126.68"/>
    <n v="64.59"/>
    <n v="106"/>
    <n v="12"/>
    <s v="2026-03-25"/>
    <n v="62"/>
    <n v="3"/>
    <n v="0"/>
    <s v="No"/>
    <x v="1"/>
    <n v="32"/>
    <n v="0.432"/>
    <x v="2"/>
    <s v="Apply Discount / Promotion"/>
  </r>
  <r>
    <n v="890"/>
    <s v="Product_67"/>
    <x v="3"/>
    <x v="2"/>
    <n v="365"/>
    <n v="292"/>
    <n v="268"/>
    <n v="3935.22"/>
    <n v="2898.14"/>
    <n v="40"/>
    <n v="5"/>
    <s v="2026-02-04"/>
    <n v="58"/>
    <n v="2"/>
    <n v="31"/>
    <s v="No"/>
    <x v="0"/>
    <n v="24"/>
    <n v="0.8"/>
    <x v="0"/>
    <s v="Monitor Sales"/>
  </r>
  <r>
    <n v="891"/>
    <s v="Product_19"/>
    <x v="4"/>
    <x v="3"/>
    <n v="489"/>
    <n v="349"/>
    <n v="387"/>
    <n v="1424.55"/>
    <n v="1099.24"/>
    <n v="89"/>
    <n v="12"/>
    <s v="2026-03-02"/>
    <n v="262"/>
    <n v="1"/>
    <n v="42"/>
    <s v="No"/>
    <x v="1"/>
    <n v="-38"/>
    <n v="0.71370143149284249"/>
    <x v="0"/>
    <s v="Monitor Sales"/>
  </r>
  <r>
    <n v="892"/>
    <s v="Product_25"/>
    <x v="4"/>
    <x v="3"/>
    <n v="301"/>
    <n v="149"/>
    <n v="149"/>
    <n v="4351.2299999999996"/>
    <n v="2271.84"/>
    <n v="148"/>
    <n v="5"/>
    <s v="2026-03-22"/>
    <n v="131"/>
    <n v="3"/>
    <n v="4"/>
    <s v="Yes"/>
    <x v="1"/>
    <n v="0"/>
    <n v="0.49501661129568109"/>
    <x v="2"/>
    <s v="Apply Discount / Promotion"/>
  </r>
  <r>
    <n v="893"/>
    <s v="Product_11"/>
    <x v="0"/>
    <x v="1"/>
    <n v="490"/>
    <n v="88"/>
    <n v="119"/>
    <n v="4255.34"/>
    <n v="2610.86"/>
    <n v="44"/>
    <n v="10"/>
    <s v="2026-01-26"/>
    <n v="178"/>
    <n v="4"/>
    <n v="29"/>
    <s v="No"/>
    <x v="0"/>
    <n v="-31"/>
    <n v="0.17959183673469387"/>
    <x v="2"/>
    <s v="Apply Discount / Promotion"/>
  </r>
  <r>
    <n v="894"/>
    <s v="Product_28"/>
    <x v="1"/>
    <x v="3"/>
    <n v="319"/>
    <n v="174"/>
    <n v="167"/>
    <n v="4263.4399999999996"/>
    <n v="2226.6999999999998"/>
    <n v="115"/>
    <n v="6"/>
    <s v="2026-01-24"/>
    <n v="67"/>
    <n v="1"/>
    <n v="10"/>
    <s v="Yes"/>
    <x v="1"/>
    <n v="7"/>
    <n v="0.54545454545454541"/>
    <x v="0"/>
    <s v="Monitor Sales"/>
  </r>
  <r>
    <n v="895"/>
    <s v="Product_1"/>
    <x v="2"/>
    <x v="3"/>
    <n v="314"/>
    <n v="235"/>
    <n v="277"/>
    <n v="2886.02"/>
    <n v="2059.5300000000002"/>
    <n v="114"/>
    <n v="13"/>
    <s v="2026-02-03"/>
    <n v="87"/>
    <n v="2"/>
    <n v="35"/>
    <s v="Yes"/>
    <x v="2"/>
    <n v="-42"/>
    <n v="0.74840764331210186"/>
    <x v="0"/>
    <s v="Monitor Sales"/>
  </r>
  <r>
    <n v="896"/>
    <s v="Product_60"/>
    <x v="1"/>
    <x v="0"/>
    <n v="412"/>
    <n v="197"/>
    <n v="163"/>
    <n v="2615.7800000000002"/>
    <n v="1569.33"/>
    <n v="129"/>
    <n v="4"/>
    <s v="2026-02-18"/>
    <n v="68"/>
    <n v="2"/>
    <n v="8"/>
    <s v="Yes"/>
    <x v="1"/>
    <n v="34"/>
    <n v="0.47815533980582525"/>
    <x v="2"/>
    <s v="Apply Discount / Promotion"/>
  </r>
  <r>
    <n v="897"/>
    <s v="Product_5"/>
    <x v="1"/>
    <x v="3"/>
    <n v="314"/>
    <n v="247"/>
    <n v="218"/>
    <n v="3716.09"/>
    <n v="1941.12"/>
    <n v="119"/>
    <n v="1"/>
    <s v="2026-03-08"/>
    <n v="336"/>
    <n v="1"/>
    <n v="14"/>
    <s v="No"/>
    <x v="1"/>
    <n v="29"/>
    <n v="0.7866242038216561"/>
    <x v="0"/>
    <s v="Monitor Sales"/>
  </r>
  <r>
    <n v="898"/>
    <s v="Product_98"/>
    <x v="1"/>
    <x v="0"/>
    <n v="234"/>
    <n v="421"/>
    <n v="398"/>
    <n v="4497.62"/>
    <n v="3065.13"/>
    <n v="88"/>
    <n v="8"/>
    <s v="2026-02-09"/>
    <n v="357"/>
    <n v="3"/>
    <n v="18"/>
    <s v="No"/>
    <x v="1"/>
    <n v="23"/>
    <n v="1.7991452991452992"/>
    <x v="1"/>
    <s v="Maintain Stock"/>
  </r>
  <r>
    <n v="899"/>
    <s v="Product_44"/>
    <x v="4"/>
    <x v="3"/>
    <n v="161"/>
    <n v="52"/>
    <n v="79"/>
    <n v="3444.41"/>
    <n v="2390.2199999999998"/>
    <n v="60"/>
    <n v="9"/>
    <s v="2026-01-09"/>
    <n v="200"/>
    <n v="1"/>
    <n v="16"/>
    <s v="Yes"/>
    <x v="1"/>
    <n v="-27"/>
    <n v="0.32298136645962733"/>
    <x v="2"/>
    <s v="Apply Discount / Promotion"/>
  </r>
  <r>
    <n v="900"/>
    <s v="Product_1"/>
    <x v="1"/>
    <x v="3"/>
    <n v="310"/>
    <n v="171"/>
    <n v="215"/>
    <n v="1364.22"/>
    <n v="926.74"/>
    <n v="51"/>
    <n v="1"/>
    <s v="2026-03-07"/>
    <n v="246"/>
    <n v="1"/>
    <n v="25"/>
    <s v="No"/>
    <x v="0"/>
    <n v="-44"/>
    <n v="0.55161290322580647"/>
    <x v="0"/>
    <s v="Monitor Sales"/>
  </r>
  <r>
    <n v="901"/>
    <s v="Product_44"/>
    <x v="3"/>
    <x v="2"/>
    <n v="249"/>
    <n v="214"/>
    <n v="203"/>
    <n v="1160.82"/>
    <n v="864.38"/>
    <n v="113"/>
    <n v="6"/>
    <s v="2026-03-21"/>
    <n v="347"/>
    <n v="3"/>
    <n v="1"/>
    <s v="Yes"/>
    <x v="0"/>
    <n v="11"/>
    <n v="0.85943775100401609"/>
    <x v="0"/>
    <s v="Monitor Sales"/>
  </r>
  <r>
    <n v="902"/>
    <s v="Product_81"/>
    <x v="2"/>
    <x v="2"/>
    <n v="162"/>
    <n v="152"/>
    <n v="142"/>
    <n v="4519.3999999999996"/>
    <n v="3081.81"/>
    <n v="66"/>
    <n v="9"/>
    <s v="2026-01-27"/>
    <n v="239"/>
    <n v="5"/>
    <n v="12"/>
    <s v="Yes"/>
    <x v="0"/>
    <n v="10"/>
    <n v="0.93827160493827155"/>
    <x v="0"/>
    <s v="Monitor Sales"/>
  </r>
  <r>
    <n v="903"/>
    <s v="Product_74"/>
    <x v="3"/>
    <x v="3"/>
    <n v="235"/>
    <n v="377"/>
    <n v="385"/>
    <n v="51.12"/>
    <n v="28.87"/>
    <n v="119"/>
    <n v="12"/>
    <s v="2026-01-17"/>
    <n v="161"/>
    <n v="5"/>
    <n v="14"/>
    <s v="No"/>
    <x v="0"/>
    <n v="-8"/>
    <n v="1.6042553191489362"/>
    <x v="1"/>
    <s v="Maintain Stock"/>
  </r>
  <r>
    <n v="904"/>
    <s v="Product_26"/>
    <x v="4"/>
    <x v="2"/>
    <n v="211"/>
    <n v="38"/>
    <n v="81"/>
    <n v="912.4"/>
    <n v="579.46"/>
    <n v="104"/>
    <n v="4"/>
    <s v="2026-01-04"/>
    <n v="32"/>
    <n v="3"/>
    <n v="32"/>
    <s v="Yes"/>
    <x v="0"/>
    <n v="-43"/>
    <n v="0.18009478672985782"/>
    <x v="2"/>
    <s v="Apply Discount / Promotion"/>
  </r>
  <r>
    <n v="905"/>
    <s v="Product_62"/>
    <x v="3"/>
    <x v="2"/>
    <n v="207"/>
    <n v="10"/>
    <n v="14"/>
    <n v="4417.76"/>
    <n v="3080.53"/>
    <n v="90"/>
    <n v="14"/>
    <s v="2026-01-28"/>
    <n v="251"/>
    <n v="2"/>
    <n v="3"/>
    <s v="Yes"/>
    <x v="1"/>
    <n v="-4"/>
    <n v="4.8309178743961352E-2"/>
    <x v="2"/>
    <s v="Apply Discount / Promotion"/>
  </r>
  <r>
    <n v="906"/>
    <s v="Product_73"/>
    <x v="1"/>
    <x v="2"/>
    <n v="216"/>
    <n v="88"/>
    <n v="41"/>
    <n v="1894.81"/>
    <n v="1076.27"/>
    <n v="106"/>
    <n v="4"/>
    <s v="2026-03-01"/>
    <n v="173"/>
    <n v="1"/>
    <n v="30"/>
    <s v="Yes"/>
    <x v="0"/>
    <n v="47"/>
    <n v="0.40740740740740738"/>
    <x v="2"/>
    <s v="Apply Discount / Promotion"/>
  </r>
  <r>
    <n v="907"/>
    <s v="Product_85"/>
    <x v="0"/>
    <x v="1"/>
    <n v="418"/>
    <n v="112"/>
    <n v="104"/>
    <n v="1064.52"/>
    <n v="728.99"/>
    <n v="124"/>
    <n v="3"/>
    <s v="2026-03-22"/>
    <n v="142"/>
    <n v="2"/>
    <n v="3"/>
    <s v="Yes"/>
    <x v="2"/>
    <n v="8"/>
    <n v="0.26794258373205743"/>
    <x v="2"/>
    <s v="Apply Discount / Promotion"/>
  </r>
  <r>
    <n v="908"/>
    <s v="Product_28"/>
    <x v="0"/>
    <x v="2"/>
    <n v="421"/>
    <n v="83"/>
    <n v="66"/>
    <n v="3397.63"/>
    <n v="1746.66"/>
    <n v="80"/>
    <n v="5"/>
    <s v="2026-02-04"/>
    <n v="55"/>
    <n v="5"/>
    <n v="34"/>
    <s v="No"/>
    <x v="1"/>
    <n v="17"/>
    <n v="0.19714964370546317"/>
    <x v="2"/>
    <s v="Apply Discount / Promotion"/>
  </r>
  <r>
    <n v="909"/>
    <s v="Product_30"/>
    <x v="2"/>
    <x v="2"/>
    <n v="341"/>
    <n v="366"/>
    <n v="392"/>
    <n v="1383.53"/>
    <n v="952.66"/>
    <n v="105"/>
    <n v="2"/>
    <s v="2026-03-06"/>
    <n v="348"/>
    <n v="5"/>
    <n v="32"/>
    <s v="No"/>
    <x v="1"/>
    <n v="-26"/>
    <n v="1.0733137829912023"/>
    <x v="1"/>
    <s v="Maintain Stock"/>
  </r>
  <r>
    <n v="910"/>
    <s v="Product_29"/>
    <x v="4"/>
    <x v="2"/>
    <n v="91"/>
    <n v="83"/>
    <n v="60"/>
    <n v="2346.14"/>
    <n v="1245.96"/>
    <n v="113"/>
    <n v="13"/>
    <s v="2026-01-15"/>
    <n v="203"/>
    <n v="5"/>
    <n v="24"/>
    <s v="No"/>
    <x v="2"/>
    <n v="23"/>
    <n v="0.91208791208791207"/>
    <x v="0"/>
    <s v="Monitor Sales"/>
  </r>
  <r>
    <n v="911"/>
    <s v="Product_32"/>
    <x v="3"/>
    <x v="0"/>
    <n v="454"/>
    <n v="372"/>
    <n v="363"/>
    <n v="1461.79"/>
    <n v="1105.96"/>
    <n v="35"/>
    <n v="4"/>
    <s v="2026-01-16"/>
    <n v="169"/>
    <n v="1"/>
    <n v="35"/>
    <s v="No"/>
    <x v="0"/>
    <n v="9"/>
    <n v="0.81938325991189431"/>
    <x v="0"/>
    <s v="Monitor Sales"/>
  </r>
  <r>
    <n v="912"/>
    <s v="Product_82"/>
    <x v="0"/>
    <x v="3"/>
    <n v="478"/>
    <n v="280"/>
    <n v="280"/>
    <n v="311.17"/>
    <n v="207.63"/>
    <n v="124"/>
    <n v="6"/>
    <s v="2026-01-18"/>
    <n v="202"/>
    <n v="2"/>
    <n v="1"/>
    <s v="Yes"/>
    <x v="1"/>
    <n v="0"/>
    <n v="0.58577405857740583"/>
    <x v="0"/>
    <s v="Monitor Sales"/>
  </r>
  <r>
    <n v="913"/>
    <s v="Product_12"/>
    <x v="4"/>
    <x v="0"/>
    <n v="225"/>
    <n v="261"/>
    <n v="253"/>
    <n v="2253.65"/>
    <n v="1621.91"/>
    <n v="55"/>
    <n v="14"/>
    <s v="2026-01-14"/>
    <n v="180"/>
    <n v="1"/>
    <n v="31"/>
    <s v="Yes"/>
    <x v="0"/>
    <n v="8"/>
    <n v="1.1599999999999999"/>
    <x v="1"/>
    <s v="Maintain Stock"/>
  </r>
  <r>
    <n v="914"/>
    <s v="Product_68"/>
    <x v="0"/>
    <x v="2"/>
    <n v="222"/>
    <n v="44"/>
    <n v="90"/>
    <n v="2034.46"/>
    <n v="1551.32"/>
    <n v="132"/>
    <n v="13"/>
    <s v="2026-03-20"/>
    <n v="145"/>
    <n v="5"/>
    <n v="38"/>
    <s v="No"/>
    <x v="2"/>
    <n v="-46"/>
    <n v="0.1981981981981982"/>
    <x v="2"/>
    <s v="Apply Discount / Promotion"/>
  </r>
  <r>
    <n v="915"/>
    <s v="Product_30"/>
    <x v="2"/>
    <x v="0"/>
    <n v="205"/>
    <n v="134"/>
    <n v="180"/>
    <n v="4007.76"/>
    <n v="2198.44"/>
    <n v="88"/>
    <n v="15"/>
    <s v="2026-02-09"/>
    <n v="93"/>
    <n v="1"/>
    <n v="37"/>
    <s v="No"/>
    <x v="0"/>
    <n v="-46"/>
    <n v="0.65365853658536588"/>
    <x v="0"/>
    <s v="Monitor Sales"/>
  </r>
  <r>
    <n v="916"/>
    <s v="Product_35"/>
    <x v="3"/>
    <x v="1"/>
    <n v="437"/>
    <n v="78"/>
    <n v="84"/>
    <n v="576.25"/>
    <n v="347.52"/>
    <n v="36"/>
    <n v="8"/>
    <s v="2026-03-04"/>
    <n v="157"/>
    <n v="4"/>
    <n v="36"/>
    <s v="No"/>
    <x v="1"/>
    <n v="-6"/>
    <n v="0.17848970251716248"/>
    <x v="2"/>
    <s v="Apply Discount / Promotion"/>
  </r>
  <r>
    <n v="917"/>
    <s v="Product_71"/>
    <x v="1"/>
    <x v="0"/>
    <n v="245"/>
    <n v="215"/>
    <n v="167"/>
    <n v="3402.26"/>
    <n v="2514.6"/>
    <n v="99"/>
    <n v="8"/>
    <s v="2026-01-28"/>
    <n v="352"/>
    <n v="1"/>
    <n v="31"/>
    <s v="Yes"/>
    <x v="0"/>
    <n v="48"/>
    <n v="0.87755102040816324"/>
    <x v="0"/>
    <s v="Monitor Sales"/>
  </r>
  <r>
    <n v="918"/>
    <s v="Product_75"/>
    <x v="1"/>
    <x v="3"/>
    <n v="360"/>
    <n v="178"/>
    <n v="141"/>
    <n v="4429.96"/>
    <n v="3376.53"/>
    <n v="50"/>
    <n v="15"/>
    <s v="2026-01-30"/>
    <n v="245"/>
    <n v="1"/>
    <n v="23"/>
    <s v="Yes"/>
    <x v="1"/>
    <n v="37"/>
    <n v="0.49444444444444446"/>
    <x v="2"/>
    <s v="Apply Discount / Promotion"/>
  </r>
  <r>
    <n v="919"/>
    <s v="Product_20"/>
    <x v="3"/>
    <x v="2"/>
    <n v="395"/>
    <n v="311"/>
    <n v="294"/>
    <n v="562.86"/>
    <n v="301.52999999999997"/>
    <n v="61"/>
    <n v="7"/>
    <s v="2026-02-10"/>
    <n v="156"/>
    <n v="3"/>
    <n v="43"/>
    <s v="Yes"/>
    <x v="1"/>
    <n v="17"/>
    <n v="0.78734177215189871"/>
    <x v="0"/>
    <s v="Monitor Sales"/>
  </r>
  <r>
    <n v="920"/>
    <s v="Product_51"/>
    <x v="2"/>
    <x v="0"/>
    <n v="89"/>
    <n v="84"/>
    <n v="115"/>
    <n v="1514.08"/>
    <n v="992.41"/>
    <n v="128"/>
    <n v="10"/>
    <s v="2026-01-23"/>
    <n v="70"/>
    <n v="2"/>
    <n v="39"/>
    <s v="No"/>
    <x v="2"/>
    <n v="-31"/>
    <n v="0.9438202247191011"/>
    <x v="0"/>
    <s v="Monitor Sales"/>
  </r>
  <r>
    <n v="921"/>
    <s v="Product_59"/>
    <x v="2"/>
    <x v="1"/>
    <n v="238"/>
    <n v="105"/>
    <n v="86"/>
    <n v="4343.2700000000004"/>
    <n v="2785.48"/>
    <n v="137"/>
    <n v="5"/>
    <s v="2026-03-07"/>
    <n v="63"/>
    <n v="5"/>
    <n v="26"/>
    <s v="No"/>
    <x v="1"/>
    <n v="19"/>
    <n v="0.44117647058823528"/>
    <x v="2"/>
    <s v="Apply Discount / Promotion"/>
  </r>
  <r>
    <n v="922"/>
    <s v="Product_66"/>
    <x v="1"/>
    <x v="0"/>
    <n v="407"/>
    <n v="152"/>
    <n v="163"/>
    <n v="564.80999999999995"/>
    <n v="336.86"/>
    <n v="145"/>
    <n v="14"/>
    <s v="2026-01-16"/>
    <n v="303"/>
    <n v="3"/>
    <n v="47"/>
    <s v="Yes"/>
    <x v="1"/>
    <n v="-11"/>
    <n v="0.37346437346437344"/>
    <x v="2"/>
    <s v="Apply Discount / Promotion"/>
  </r>
  <r>
    <n v="923"/>
    <s v="Product_73"/>
    <x v="2"/>
    <x v="3"/>
    <n v="157"/>
    <n v="143"/>
    <n v="113"/>
    <n v="1615.66"/>
    <n v="933.23"/>
    <n v="125"/>
    <n v="14"/>
    <s v="2026-02-12"/>
    <n v="309"/>
    <n v="5"/>
    <n v="6"/>
    <s v="Yes"/>
    <x v="0"/>
    <n v="30"/>
    <n v="0.91082802547770703"/>
    <x v="0"/>
    <s v="Monitor Sales"/>
  </r>
  <r>
    <n v="924"/>
    <s v="Product_81"/>
    <x v="1"/>
    <x v="3"/>
    <n v="207"/>
    <n v="140"/>
    <n v="135"/>
    <n v="1083.6300000000001"/>
    <n v="714.52"/>
    <n v="37"/>
    <n v="5"/>
    <s v="2026-02-27"/>
    <n v="238"/>
    <n v="5"/>
    <n v="19"/>
    <s v="Yes"/>
    <x v="2"/>
    <n v="5"/>
    <n v="0.67632850241545894"/>
    <x v="0"/>
    <s v="Monitor Sales"/>
  </r>
  <r>
    <n v="925"/>
    <s v="Product_84"/>
    <x v="1"/>
    <x v="1"/>
    <n v="414"/>
    <n v="324"/>
    <n v="365"/>
    <n v="4154.42"/>
    <n v="2630.29"/>
    <n v="77"/>
    <n v="3"/>
    <s v="2026-03-25"/>
    <n v="146"/>
    <n v="3"/>
    <n v="31"/>
    <s v="No"/>
    <x v="1"/>
    <n v="-41"/>
    <n v="0.78260869565217395"/>
    <x v="0"/>
    <s v="Monitor Sales"/>
  </r>
  <r>
    <n v="926"/>
    <s v="Product_51"/>
    <x v="3"/>
    <x v="2"/>
    <n v="103"/>
    <n v="21"/>
    <n v="53"/>
    <n v="2622.77"/>
    <n v="1517.71"/>
    <n v="149"/>
    <n v="7"/>
    <s v="2026-01-09"/>
    <n v="97"/>
    <n v="4"/>
    <n v="26"/>
    <s v="Yes"/>
    <x v="1"/>
    <n v="-32"/>
    <n v="0.20388349514563106"/>
    <x v="2"/>
    <s v="Apply Discount / Promotion"/>
  </r>
  <r>
    <n v="927"/>
    <s v="Product_86"/>
    <x v="3"/>
    <x v="0"/>
    <n v="333"/>
    <n v="200"/>
    <n v="222"/>
    <n v="2275.85"/>
    <n v="1481.08"/>
    <n v="133"/>
    <n v="11"/>
    <s v="2026-02-15"/>
    <n v="325"/>
    <n v="1"/>
    <n v="6"/>
    <s v="No"/>
    <x v="1"/>
    <n v="-22"/>
    <n v="0.60060060060060061"/>
    <x v="0"/>
    <s v="Monitor Sales"/>
  </r>
  <r>
    <n v="928"/>
    <s v="Product_27"/>
    <x v="1"/>
    <x v="0"/>
    <n v="133"/>
    <n v="75"/>
    <n v="92"/>
    <n v="1195.5"/>
    <n v="742.28"/>
    <n v="102"/>
    <n v="3"/>
    <s v="2026-02-27"/>
    <n v="207"/>
    <n v="5"/>
    <n v="32"/>
    <s v="No"/>
    <x v="0"/>
    <n v="-17"/>
    <n v="0.56390977443609025"/>
    <x v="0"/>
    <s v="Monitor Sales"/>
  </r>
  <r>
    <n v="929"/>
    <s v="Product_12"/>
    <x v="3"/>
    <x v="2"/>
    <n v="112"/>
    <n v="240"/>
    <n v="280"/>
    <n v="1656.4"/>
    <n v="894.88"/>
    <n v="124"/>
    <n v="11"/>
    <s v="2026-01-23"/>
    <n v="86"/>
    <n v="1"/>
    <n v="8"/>
    <s v="Yes"/>
    <x v="1"/>
    <n v="-40"/>
    <n v="2.1428571428571428"/>
    <x v="1"/>
    <s v="Maintain Stock"/>
  </r>
  <r>
    <n v="930"/>
    <s v="Product_17"/>
    <x v="2"/>
    <x v="3"/>
    <n v="278"/>
    <n v="156"/>
    <n v="132"/>
    <n v="378.42"/>
    <n v="190.96"/>
    <n v="79"/>
    <n v="1"/>
    <s v="2026-03-11"/>
    <n v="43"/>
    <n v="2"/>
    <n v="19"/>
    <s v="Yes"/>
    <x v="0"/>
    <n v="24"/>
    <n v="0.5611510791366906"/>
    <x v="0"/>
    <s v="Monitor Sales"/>
  </r>
  <r>
    <n v="931"/>
    <s v="Product_85"/>
    <x v="3"/>
    <x v="2"/>
    <n v="29"/>
    <n v="0"/>
    <n v="34"/>
    <n v="765.61"/>
    <n v="481.15"/>
    <n v="102"/>
    <n v="13"/>
    <s v="2026-03-17"/>
    <n v="287"/>
    <n v="4"/>
    <n v="29"/>
    <s v="No"/>
    <x v="0"/>
    <n v="-34"/>
    <n v="0"/>
    <x v="2"/>
    <s v="Apply Discount / Promotion"/>
  </r>
  <r>
    <n v="932"/>
    <s v="Product_30"/>
    <x v="0"/>
    <x v="1"/>
    <n v="168"/>
    <n v="91"/>
    <n v="65"/>
    <n v="1851.42"/>
    <n v="1381.11"/>
    <n v="130"/>
    <n v="15"/>
    <s v="2025-12-31"/>
    <n v="222"/>
    <n v="3"/>
    <n v="38"/>
    <s v="No"/>
    <x v="1"/>
    <n v="26"/>
    <n v="0.54166666666666663"/>
    <x v="0"/>
    <s v="Monitor Sales"/>
  </r>
  <r>
    <n v="933"/>
    <s v="Product_76"/>
    <x v="2"/>
    <x v="3"/>
    <n v="315"/>
    <n v="14"/>
    <n v="35"/>
    <n v="2019.92"/>
    <n v="1355.6"/>
    <n v="33"/>
    <n v="7"/>
    <s v="2026-02-04"/>
    <n v="131"/>
    <n v="1"/>
    <n v="46"/>
    <s v="No"/>
    <x v="2"/>
    <n v="-21"/>
    <n v="4.4444444444444446E-2"/>
    <x v="2"/>
    <s v="Apply Discount / Promotion"/>
  </r>
  <r>
    <n v="934"/>
    <s v="Product_14"/>
    <x v="3"/>
    <x v="2"/>
    <n v="272"/>
    <n v="412"/>
    <n v="395"/>
    <n v="277.63"/>
    <n v="149.25"/>
    <n v="113"/>
    <n v="10"/>
    <s v="2026-01-06"/>
    <n v="95"/>
    <n v="1"/>
    <n v="38"/>
    <s v="Yes"/>
    <x v="1"/>
    <n v="17"/>
    <n v="1.5147058823529411"/>
    <x v="1"/>
    <s v="Maintain Stock"/>
  </r>
  <r>
    <n v="935"/>
    <s v="Product_77"/>
    <x v="2"/>
    <x v="0"/>
    <n v="183"/>
    <n v="18"/>
    <n v="53"/>
    <n v="2789.61"/>
    <n v="1495.02"/>
    <n v="96"/>
    <n v="10"/>
    <s v="2026-02-10"/>
    <n v="152"/>
    <n v="3"/>
    <n v="15"/>
    <s v="No"/>
    <x v="2"/>
    <n v="-35"/>
    <n v="9.8360655737704916E-2"/>
    <x v="2"/>
    <s v="Apply Discount / Promotion"/>
  </r>
  <r>
    <n v="936"/>
    <s v="Product_18"/>
    <x v="2"/>
    <x v="0"/>
    <n v="206"/>
    <n v="398"/>
    <n v="369"/>
    <n v="2661.82"/>
    <n v="1733.51"/>
    <n v="140"/>
    <n v="10"/>
    <s v="2026-01-18"/>
    <n v="175"/>
    <n v="1"/>
    <n v="0"/>
    <s v="No"/>
    <x v="2"/>
    <n v="29"/>
    <n v="1.9320388349514563"/>
    <x v="1"/>
    <s v="Maintain Stock"/>
  </r>
  <r>
    <n v="937"/>
    <s v="Product_90"/>
    <x v="0"/>
    <x v="0"/>
    <n v="275"/>
    <n v="300"/>
    <n v="267"/>
    <n v="3183.06"/>
    <n v="2467.4299999999998"/>
    <n v="34"/>
    <n v="3"/>
    <s v="2026-01-19"/>
    <n v="106"/>
    <n v="2"/>
    <n v="29"/>
    <s v="Yes"/>
    <x v="0"/>
    <n v="33"/>
    <n v="1.0909090909090908"/>
    <x v="1"/>
    <s v="Maintain Stock"/>
  </r>
  <r>
    <n v="938"/>
    <s v="Product_92"/>
    <x v="4"/>
    <x v="3"/>
    <n v="111"/>
    <n v="288"/>
    <n v="322"/>
    <n v="584.29"/>
    <n v="392.4"/>
    <n v="118"/>
    <n v="8"/>
    <s v="2026-02-23"/>
    <n v="266"/>
    <n v="2"/>
    <n v="33"/>
    <s v="Yes"/>
    <x v="2"/>
    <n v="-34"/>
    <n v="2.5945945945945947"/>
    <x v="1"/>
    <s v="Maintain Stock"/>
  </r>
  <r>
    <n v="939"/>
    <s v="Product_98"/>
    <x v="4"/>
    <x v="0"/>
    <n v="97"/>
    <n v="0"/>
    <n v="33"/>
    <n v="2746.2"/>
    <n v="2056.92"/>
    <n v="122"/>
    <n v="14"/>
    <s v="2026-02-16"/>
    <n v="126"/>
    <n v="3"/>
    <n v="8"/>
    <s v="Yes"/>
    <x v="0"/>
    <n v="-33"/>
    <n v="0"/>
    <x v="2"/>
    <s v="Apply Discount / Promotion"/>
  </r>
  <r>
    <n v="940"/>
    <s v="Product_5"/>
    <x v="0"/>
    <x v="2"/>
    <n v="172"/>
    <n v="226"/>
    <n v="243"/>
    <n v="939.49"/>
    <n v="510.5"/>
    <n v="59"/>
    <n v="8"/>
    <s v="2026-02-11"/>
    <n v="275"/>
    <n v="4"/>
    <n v="39"/>
    <s v="No"/>
    <x v="1"/>
    <n v="-17"/>
    <n v="1.3139534883720929"/>
    <x v="1"/>
    <s v="Maintain Stock"/>
  </r>
  <r>
    <n v="941"/>
    <s v="Product_57"/>
    <x v="4"/>
    <x v="0"/>
    <n v="496"/>
    <n v="171"/>
    <n v="157"/>
    <n v="3822.09"/>
    <n v="2106.4299999999998"/>
    <n v="111"/>
    <n v="8"/>
    <s v="2026-01-27"/>
    <n v="32"/>
    <n v="2"/>
    <n v="4"/>
    <s v="Yes"/>
    <x v="1"/>
    <n v="14"/>
    <n v="0.34475806451612906"/>
    <x v="2"/>
    <s v="Apply Discount / Promotion"/>
  </r>
  <r>
    <n v="942"/>
    <s v="Product_84"/>
    <x v="2"/>
    <x v="1"/>
    <n v="474"/>
    <n v="101"/>
    <n v="126"/>
    <n v="277.3"/>
    <n v="145.29"/>
    <n v="39"/>
    <n v="4"/>
    <s v="2026-03-01"/>
    <n v="136"/>
    <n v="3"/>
    <n v="0"/>
    <s v="Yes"/>
    <x v="2"/>
    <n v="-25"/>
    <n v="0.21308016877637131"/>
    <x v="2"/>
    <s v="Apply Discount / Promotion"/>
  </r>
  <r>
    <n v="943"/>
    <s v="Product_6"/>
    <x v="3"/>
    <x v="1"/>
    <n v="284"/>
    <n v="150"/>
    <n v="181"/>
    <n v="4409.8500000000004"/>
    <n v="2363.84"/>
    <n v="120"/>
    <n v="4"/>
    <s v="2026-01-02"/>
    <n v="160"/>
    <n v="2"/>
    <n v="0"/>
    <s v="No"/>
    <x v="0"/>
    <n v="-31"/>
    <n v="0.528169014084507"/>
    <x v="0"/>
    <s v="Monitor Sales"/>
  </r>
  <r>
    <n v="944"/>
    <s v="Product_16"/>
    <x v="2"/>
    <x v="3"/>
    <n v="248"/>
    <n v="252"/>
    <n v="270"/>
    <n v="4197.1000000000004"/>
    <n v="2986.77"/>
    <n v="150"/>
    <n v="2"/>
    <s v="2026-01-08"/>
    <n v="202"/>
    <n v="5"/>
    <n v="8"/>
    <s v="No"/>
    <x v="0"/>
    <n v="-18"/>
    <n v="1.0161290322580645"/>
    <x v="1"/>
    <s v="Maintain Stock"/>
  </r>
  <r>
    <n v="945"/>
    <s v="Product_89"/>
    <x v="4"/>
    <x v="1"/>
    <n v="63"/>
    <n v="280"/>
    <n v="250"/>
    <n v="478.37"/>
    <n v="360.18"/>
    <n v="76"/>
    <n v="8"/>
    <s v="2026-03-14"/>
    <n v="212"/>
    <n v="4"/>
    <n v="4"/>
    <s v="No"/>
    <x v="0"/>
    <n v="30"/>
    <n v="4.4444444444444446"/>
    <x v="1"/>
    <s v="Maintain Stock"/>
  </r>
  <r>
    <n v="946"/>
    <s v="Product_66"/>
    <x v="2"/>
    <x v="0"/>
    <n v="294"/>
    <n v="0"/>
    <n v="37"/>
    <n v="733.7"/>
    <n v="403.24"/>
    <n v="44"/>
    <n v="7"/>
    <s v="2026-01-22"/>
    <n v="219"/>
    <n v="3"/>
    <n v="39"/>
    <s v="Yes"/>
    <x v="1"/>
    <n v="-37"/>
    <n v="0"/>
    <x v="2"/>
    <s v="Apply Discount / Promotion"/>
  </r>
  <r>
    <n v="947"/>
    <s v="Product_61"/>
    <x v="1"/>
    <x v="0"/>
    <n v="251"/>
    <n v="281"/>
    <n v="322"/>
    <n v="1139.42"/>
    <n v="836.5"/>
    <n v="118"/>
    <n v="11"/>
    <s v="2026-01-07"/>
    <n v="160"/>
    <n v="3"/>
    <n v="44"/>
    <s v="Yes"/>
    <x v="0"/>
    <n v="-41"/>
    <n v="1.1195219123505975"/>
    <x v="1"/>
    <s v="Maintain Stock"/>
  </r>
  <r>
    <n v="948"/>
    <s v="Product_69"/>
    <x v="4"/>
    <x v="1"/>
    <n v="92"/>
    <n v="71"/>
    <n v="84"/>
    <n v="4145.78"/>
    <n v="3152.48"/>
    <n v="145"/>
    <n v="8"/>
    <s v="2026-03-12"/>
    <n v="108"/>
    <n v="2"/>
    <n v="18"/>
    <s v="No"/>
    <x v="2"/>
    <n v="-13"/>
    <n v="0.77173913043478259"/>
    <x v="0"/>
    <s v="Monitor Sales"/>
  </r>
  <r>
    <n v="949"/>
    <s v="Product_35"/>
    <x v="0"/>
    <x v="0"/>
    <n v="467"/>
    <n v="341"/>
    <n v="350"/>
    <n v="3252.84"/>
    <n v="2293.79"/>
    <n v="94"/>
    <n v="13"/>
    <s v="2026-03-21"/>
    <n v="334"/>
    <n v="4"/>
    <n v="3"/>
    <s v="No"/>
    <x v="1"/>
    <n v="-9"/>
    <n v="0.73019271948608133"/>
    <x v="0"/>
    <s v="Monitor Sales"/>
  </r>
  <r>
    <n v="950"/>
    <s v="Product_78"/>
    <x v="0"/>
    <x v="0"/>
    <n v="91"/>
    <n v="75"/>
    <n v="69"/>
    <n v="4264.33"/>
    <n v="2823.22"/>
    <n v="126"/>
    <n v="15"/>
    <s v="2026-01-18"/>
    <n v="302"/>
    <n v="5"/>
    <n v="42"/>
    <s v="No"/>
    <x v="2"/>
    <n v="6"/>
    <n v="0.82417582417582413"/>
    <x v="0"/>
    <s v="Monitor Sales"/>
  </r>
  <r>
    <n v="951"/>
    <s v="Product_66"/>
    <x v="1"/>
    <x v="3"/>
    <n v="305"/>
    <n v="263"/>
    <n v="292"/>
    <n v="4219.62"/>
    <n v="2618.19"/>
    <n v="121"/>
    <n v="4"/>
    <s v="2026-01-26"/>
    <n v="174"/>
    <n v="4"/>
    <n v="6"/>
    <s v="Yes"/>
    <x v="1"/>
    <n v="-29"/>
    <n v="0.86229508196721316"/>
    <x v="0"/>
    <s v="Monitor Sales"/>
  </r>
  <r>
    <n v="952"/>
    <s v="Product_37"/>
    <x v="3"/>
    <x v="3"/>
    <n v="490"/>
    <n v="419"/>
    <n v="393"/>
    <n v="467.34"/>
    <n v="277.63"/>
    <n v="75"/>
    <n v="3"/>
    <s v="2026-02-16"/>
    <n v="255"/>
    <n v="5"/>
    <n v="49"/>
    <s v="Yes"/>
    <x v="1"/>
    <n v="26"/>
    <n v="0.85510204081632657"/>
    <x v="0"/>
    <s v="Monitor Sales"/>
  </r>
  <r>
    <n v="953"/>
    <s v="Product_48"/>
    <x v="1"/>
    <x v="1"/>
    <n v="267"/>
    <n v="255"/>
    <n v="225"/>
    <n v="1151.5999999999999"/>
    <n v="646.22"/>
    <n v="46"/>
    <n v="14"/>
    <s v="2026-02-08"/>
    <n v="323"/>
    <n v="5"/>
    <n v="15"/>
    <s v="Yes"/>
    <x v="2"/>
    <n v="30"/>
    <n v="0.9550561797752809"/>
    <x v="0"/>
    <s v="Monitor Sales"/>
  </r>
  <r>
    <n v="954"/>
    <s v="Product_99"/>
    <x v="0"/>
    <x v="1"/>
    <n v="461"/>
    <n v="282"/>
    <n v="307"/>
    <n v="3549.58"/>
    <n v="2147.0700000000002"/>
    <n v="56"/>
    <n v="9"/>
    <s v="2026-03-07"/>
    <n v="124"/>
    <n v="2"/>
    <n v="48"/>
    <s v="Yes"/>
    <x v="1"/>
    <n v="-25"/>
    <n v="0.61171366594360088"/>
    <x v="0"/>
    <s v="Monitor Sales"/>
  </r>
  <r>
    <n v="955"/>
    <s v="Product_9"/>
    <x v="1"/>
    <x v="2"/>
    <n v="150"/>
    <n v="195"/>
    <n v="176"/>
    <n v="2421.94"/>
    <n v="1514.61"/>
    <n v="76"/>
    <n v="7"/>
    <s v="2026-01-08"/>
    <n v="319"/>
    <n v="2"/>
    <n v="7"/>
    <s v="Yes"/>
    <x v="2"/>
    <n v="19"/>
    <n v="1.3"/>
    <x v="1"/>
    <s v="Maintain Stock"/>
  </r>
  <r>
    <n v="956"/>
    <s v="Product_3"/>
    <x v="4"/>
    <x v="1"/>
    <n v="231"/>
    <n v="350"/>
    <n v="342"/>
    <n v="4835.58"/>
    <n v="3721.18"/>
    <n v="102"/>
    <n v="13"/>
    <s v="2026-01-12"/>
    <n v="177"/>
    <n v="1"/>
    <n v="6"/>
    <s v="No"/>
    <x v="1"/>
    <n v="8"/>
    <n v="1.5151515151515151"/>
    <x v="1"/>
    <s v="Maintain Stock"/>
  </r>
  <r>
    <n v="957"/>
    <s v="Product_66"/>
    <x v="0"/>
    <x v="3"/>
    <n v="404"/>
    <n v="352"/>
    <n v="304"/>
    <n v="739.91"/>
    <n v="512.34"/>
    <n v="38"/>
    <n v="3"/>
    <s v="2026-02-24"/>
    <n v="146"/>
    <n v="1"/>
    <n v="48"/>
    <s v="No"/>
    <x v="2"/>
    <n v="48"/>
    <n v="0.87128712871287128"/>
    <x v="0"/>
    <s v="Monitor Sales"/>
  </r>
  <r>
    <n v="958"/>
    <s v="Product_35"/>
    <x v="1"/>
    <x v="1"/>
    <n v="261"/>
    <n v="81"/>
    <n v="46"/>
    <n v="3961.11"/>
    <n v="2679.98"/>
    <n v="70"/>
    <n v="7"/>
    <s v="2026-03-12"/>
    <n v="87"/>
    <n v="3"/>
    <n v="43"/>
    <s v="Yes"/>
    <x v="1"/>
    <n v="35"/>
    <n v="0.31034482758620691"/>
    <x v="2"/>
    <s v="Apply Discount / Promotion"/>
  </r>
  <r>
    <n v="959"/>
    <s v="Product_50"/>
    <x v="1"/>
    <x v="2"/>
    <n v="149"/>
    <n v="241"/>
    <n v="216"/>
    <n v="1984.4"/>
    <n v="1252.27"/>
    <n v="121"/>
    <n v="8"/>
    <s v="2026-02-21"/>
    <n v="59"/>
    <n v="5"/>
    <n v="27"/>
    <s v="Yes"/>
    <x v="2"/>
    <n v="25"/>
    <n v="1.6174496644295302"/>
    <x v="1"/>
    <s v="Maintain Stock"/>
  </r>
  <r>
    <n v="960"/>
    <s v="Product_41"/>
    <x v="2"/>
    <x v="0"/>
    <n v="107"/>
    <n v="271"/>
    <n v="249"/>
    <n v="2618.09"/>
    <n v="1689.73"/>
    <n v="109"/>
    <n v="13"/>
    <s v="2026-01-14"/>
    <n v="356"/>
    <n v="5"/>
    <n v="14"/>
    <s v="Yes"/>
    <x v="1"/>
    <n v="22"/>
    <n v="2.5327102803738319"/>
    <x v="1"/>
    <s v="Maintain Stock"/>
  </r>
  <r>
    <n v="961"/>
    <s v="Product_61"/>
    <x v="1"/>
    <x v="1"/>
    <n v="417"/>
    <n v="145"/>
    <n v="142"/>
    <n v="3148.65"/>
    <n v="1757.33"/>
    <n v="62"/>
    <n v="6"/>
    <s v="2026-01-09"/>
    <n v="126"/>
    <n v="4"/>
    <n v="32"/>
    <s v="No"/>
    <x v="2"/>
    <n v="3"/>
    <n v="0.34772182254196643"/>
    <x v="2"/>
    <s v="Apply Discount / Promotion"/>
  </r>
  <r>
    <n v="962"/>
    <s v="Product_35"/>
    <x v="3"/>
    <x v="3"/>
    <n v="481"/>
    <n v="73"/>
    <n v="47"/>
    <n v="1655.22"/>
    <n v="1026.98"/>
    <n v="127"/>
    <n v="7"/>
    <s v="2026-02-18"/>
    <n v="325"/>
    <n v="2"/>
    <n v="15"/>
    <s v="No"/>
    <x v="1"/>
    <n v="26"/>
    <n v="0.15176715176715178"/>
    <x v="2"/>
    <s v="Apply Discount / Promotion"/>
  </r>
  <r>
    <n v="963"/>
    <s v="Product_78"/>
    <x v="2"/>
    <x v="2"/>
    <n v="176"/>
    <n v="361"/>
    <n v="377"/>
    <n v="1462.06"/>
    <n v="857.73"/>
    <n v="94"/>
    <n v="5"/>
    <s v="2026-02-22"/>
    <n v="282"/>
    <n v="5"/>
    <n v="7"/>
    <s v="No"/>
    <x v="2"/>
    <n v="-16"/>
    <n v="2.0511363636363638"/>
    <x v="1"/>
    <s v="Maintain Stock"/>
  </r>
  <r>
    <n v="964"/>
    <s v="Product_91"/>
    <x v="0"/>
    <x v="1"/>
    <n v="310"/>
    <n v="388"/>
    <n v="349"/>
    <n v="4188.17"/>
    <n v="2182.64"/>
    <n v="124"/>
    <n v="9"/>
    <s v="2026-03-03"/>
    <n v="157"/>
    <n v="4"/>
    <n v="48"/>
    <s v="No"/>
    <x v="2"/>
    <n v="39"/>
    <n v="1.2516129032258065"/>
    <x v="1"/>
    <s v="Maintain Stock"/>
  </r>
  <r>
    <n v="965"/>
    <s v="Product_74"/>
    <x v="4"/>
    <x v="1"/>
    <n v="81"/>
    <n v="170"/>
    <n v="151"/>
    <n v="1183.18"/>
    <n v="781.99"/>
    <n v="118"/>
    <n v="12"/>
    <s v="2026-01-09"/>
    <n v="172"/>
    <n v="3"/>
    <n v="3"/>
    <s v="No"/>
    <x v="1"/>
    <n v="19"/>
    <n v="2.0987654320987654"/>
    <x v="1"/>
    <s v="Maintain Stock"/>
  </r>
  <r>
    <n v="966"/>
    <s v="Product_86"/>
    <x v="4"/>
    <x v="3"/>
    <n v="482"/>
    <n v="160"/>
    <n v="180"/>
    <n v="607.25"/>
    <n v="475.8"/>
    <n v="88"/>
    <n v="3"/>
    <s v="2026-03-10"/>
    <n v="58"/>
    <n v="3"/>
    <n v="4"/>
    <s v="No"/>
    <x v="2"/>
    <n v="-20"/>
    <n v="0.33195020746887965"/>
    <x v="2"/>
    <s v="Apply Discount / Promotion"/>
  </r>
  <r>
    <n v="967"/>
    <s v="Product_79"/>
    <x v="2"/>
    <x v="3"/>
    <n v="420"/>
    <n v="91"/>
    <n v="120"/>
    <n v="2390.86"/>
    <n v="1839.56"/>
    <n v="64"/>
    <n v="9"/>
    <s v="2026-03-22"/>
    <n v="117"/>
    <n v="3"/>
    <n v="48"/>
    <s v="Yes"/>
    <x v="2"/>
    <n v="-29"/>
    <n v="0.21666666666666667"/>
    <x v="2"/>
    <s v="Apply Discount / Promotion"/>
  </r>
  <r>
    <n v="968"/>
    <s v="Product_86"/>
    <x v="4"/>
    <x v="3"/>
    <n v="487"/>
    <n v="58"/>
    <n v="30"/>
    <n v="2698.29"/>
    <n v="1704.67"/>
    <n v="116"/>
    <n v="15"/>
    <s v="2026-02-17"/>
    <n v="292"/>
    <n v="5"/>
    <n v="11"/>
    <s v="Yes"/>
    <x v="2"/>
    <n v="28"/>
    <n v="0.11909650924024641"/>
    <x v="2"/>
    <s v="Apply Discount / Promotion"/>
  </r>
  <r>
    <n v="969"/>
    <s v="Product_11"/>
    <x v="3"/>
    <x v="2"/>
    <n v="22"/>
    <n v="0"/>
    <n v="37"/>
    <n v="1971.51"/>
    <n v="1030.6300000000001"/>
    <n v="116"/>
    <n v="13"/>
    <s v="2026-01-14"/>
    <n v="243"/>
    <n v="2"/>
    <n v="6"/>
    <s v="Yes"/>
    <x v="0"/>
    <n v="-37"/>
    <n v="0"/>
    <x v="2"/>
    <s v="Apply Discount / Promotion"/>
  </r>
  <r>
    <n v="970"/>
    <s v="Product_87"/>
    <x v="3"/>
    <x v="1"/>
    <n v="37"/>
    <n v="230"/>
    <n v="213"/>
    <n v="1601.13"/>
    <n v="946.21"/>
    <n v="71"/>
    <n v="9"/>
    <s v="2026-02-13"/>
    <n v="342"/>
    <n v="3"/>
    <n v="36"/>
    <s v="No"/>
    <x v="0"/>
    <n v="17"/>
    <n v="6.2162162162162158"/>
    <x v="1"/>
    <s v="Maintain Stock"/>
  </r>
  <r>
    <n v="971"/>
    <s v="Product_28"/>
    <x v="2"/>
    <x v="2"/>
    <n v="495"/>
    <n v="170"/>
    <n v="205"/>
    <n v="991.92"/>
    <n v="518.39"/>
    <n v="139"/>
    <n v="9"/>
    <s v="2026-01-06"/>
    <n v="49"/>
    <n v="4"/>
    <n v="50"/>
    <s v="Yes"/>
    <x v="2"/>
    <n v="-35"/>
    <n v="0.34343434343434343"/>
    <x v="2"/>
    <s v="Apply Discount / Promotion"/>
  </r>
  <r>
    <n v="972"/>
    <s v="Product_4"/>
    <x v="2"/>
    <x v="1"/>
    <n v="496"/>
    <n v="98"/>
    <n v="77"/>
    <n v="2986.05"/>
    <n v="1667.78"/>
    <n v="144"/>
    <n v="10"/>
    <s v="2026-03-07"/>
    <n v="267"/>
    <n v="1"/>
    <n v="20"/>
    <s v="No"/>
    <x v="1"/>
    <n v="21"/>
    <n v="0.19758064516129031"/>
    <x v="2"/>
    <s v="Apply Discount / Promotion"/>
  </r>
  <r>
    <n v="973"/>
    <s v="Product_80"/>
    <x v="2"/>
    <x v="2"/>
    <n v="362"/>
    <n v="303"/>
    <n v="341"/>
    <n v="1203.6199999999999"/>
    <n v="771.98"/>
    <n v="34"/>
    <n v="5"/>
    <s v="2026-02-02"/>
    <n v="175"/>
    <n v="4"/>
    <n v="2"/>
    <s v="Yes"/>
    <x v="0"/>
    <n v="-38"/>
    <n v="0.83701657458563539"/>
    <x v="0"/>
    <s v="Monitor Sales"/>
  </r>
  <r>
    <n v="974"/>
    <s v="Product_53"/>
    <x v="1"/>
    <x v="0"/>
    <n v="483"/>
    <n v="262"/>
    <n v="250"/>
    <n v="3967.43"/>
    <n v="2170.35"/>
    <n v="124"/>
    <n v="9"/>
    <s v="2026-02-24"/>
    <n v="334"/>
    <n v="3"/>
    <n v="23"/>
    <s v="Yes"/>
    <x v="1"/>
    <n v="12"/>
    <n v="0.54244306418219457"/>
    <x v="0"/>
    <s v="Monitor Sales"/>
  </r>
  <r>
    <n v="975"/>
    <s v="Product_91"/>
    <x v="1"/>
    <x v="1"/>
    <n v="271"/>
    <n v="189"/>
    <n v="193"/>
    <n v="1674.13"/>
    <n v="939.51"/>
    <n v="131"/>
    <n v="7"/>
    <s v="2026-02-01"/>
    <n v="219"/>
    <n v="2"/>
    <n v="22"/>
    <s v="Yes"/>
    <x v="0"/>
    <n v="-4"/>
    <n v="0.69741697416974169"/>
    <x v="0"/>
    <s v="Monitor Sales"/>
  </r>
  <r>
    <n v="976"/>
    <s v="Product_29"/>
    <x v="4"/>
    <x v="2"/>
    <n v="320"/>
    <n v="404"/>
    <n v="375"/>
    <n v="3890.79"/>
    <n v="2785.54"/>
    <n v="83"/>
    <n v="1"/>
    <s v="2026-03-13"/>
    <n v="299"/>
    <n v="2"/>
    <n v="18"/>
    <s v="Yes"/>
    <x v="1"/>
    <n v="29"/>
    <n v="1.2625"/>
    <x v="1"/>
    <s v="Maintain Stock"/>
  </r>
  <r>
    <n v="977"/>
    <s v="Product_50"/>
    <x v="4"/>
    <x v="1"/>
    <n v="94"/>
    <n v="296"/>
    <n v="291"/>
    <n v="3275.89"/>
    <n v="2337.7600000000002"/>
    <n v="121"/>
    <n v="11"/>
    <s v="2026-02-10"/>
    <n v="297"/>
    <n v="1"/>
    <n v="11"/>
    <s v="Yes"/>
    <x v="2"/>
    <n v="5"/>
    <n v="3.1489361702127661"/>
    <x v="1"/>
    <s v="Maintain Stock"/>
  </r>
  <r>
    <n v="978"/>
    <s v="Product_23"/>
    <x v="2"/>
    <x v="2"/>
    <n v="332"/>
    <n v="146"/>
    <n v="178"/>
    <n v="398.34"/>
    <n v="235.78"/>
    <n v="143"/>
    <n v="9"/>
    <s v="2026-01-27"/>
    <n v="117"/>
    <n v="1"/>
    <n v="22"/>
    <s v="No"/>
    <x v="0"/>
    <n v="-32"/>
    <n v="0.43975903614457829"/>
    <x v="2"/>
    <s v="Apply Discount / Promotion"/>
  </r>
  <r>
    <n v="979"/>
    <s v="Product_4"/>
    <x v="3"/>
    <x v="2"/>
    <n v="467"/>
    <n v="82"/>
    <n v="63"/>
    <n v="3735.8"/>
    <n v="2660.44"/>
    <n v="64"/>
    <n v="12"/>
    <s v="2026-02-13"/>
    <n v="358"/>
    <n v="3"/>
    <n v="30"/>
    <s v="Yes"/>
    <x v="2"/>
    <n v="19"/>
    <n v="0.17558886509635974"/>
    <x v="2"/>
    <s v="Apply Discount / Promotion"/>
  </r>
  <r>
    <n v="980"/>
    <s v="Product_53"/>
    <x v="3"/>
    <x v="2"/>
    <n v="300"/>
    <n v="183"/>
    <n v="194"/>
    <n v="4886.2700000000004"/>
    <n v="3344.42"/>
    <n v="55"/>
    <n v="9"/>
    <s v="2026-02-24"/>
    <n v="59"/>
    <n v="1"/>
    <n v="26"/>
    <s v="Yes"/>
    <x v="2"/>
    <n v="-11"/>
    <n v="0.61"/>
    <x v="0"/>
    <s v="Monitor Sales"/>
  </r>
  <r>
    <n v="981"/>
    <s v="Product_56"/>
    <x v="3"/>
    <x v="1"/>
    <n v="341"/>
    <n v="132"/>
    <n v="138"/>
    <n v="2468.0500000000002"/>
    <n v="1677.85"/>
    <n v="102"/>
    <n v="9"/>
    <s v="2026-01-11"/>
    <n v="176"/>
    <n v="2"/>
    <n v="16"/>
    <s v="No"/>
    <x v="1"/>
    <n v="-6"/>
    <n v="0.38709677419354838"/>
    <x v="2"/>
    <s v="Apply Discount / Promotion"/>
  </r>
  <r>
    <n v="982"/>
    <s v="Product_19"/>
    <x v="3"/>
    <x v="3"/>
    <n v="419"/>
    <n v="249"/>
    <n v="213"/>
    <n v="4887.43"/>
    <n v="3821.44"/>
    <n v="120"/>
    <n v="2"/>
    <s v="2026-01-07"/>
    <n v="363"/>
    <n v="2"/>
    <n v="38"/>
    <s v="Yes"/>
    <x v="1"/>
    <n v="36"/>
    <n v="0.59427207637231505"/>
    <x v="0"/>
    <s v="Monitor Sales"/>
  </r>
  <r>
    <n v="983"/>
    <s v="Product_30"/>
    <x v="4"/>
    <x v="1"/>
    <n v="112"/>
    <n v="192"/>
    <n v="166"/>
    <n v="3915.4"/>
    <n v="2453.13"/>
    <n v="96"/>
    <n v="12"/>
    <s v="2026-01-17"/>
    <n v="35"/>
    <n v="4"/>
    <n v="26"/>
    <s v="Yes"/>
    <x v="0"/>
    <n v="26"/>
    <n v="1.7142857142857142"/>
    <x v="1"/>
    <s v="Maintain Stock"/>
  </r>
  <r>
    <n v="984"/>
    <s v="Product_2"/>
    <x v="4"/>
    <x v="1"/>
    <n v="201"/>
    <n v="241"/>
    <n v="237"/>
    <n v="2570.02"/>
    <n v="1844.46"/>
    <n v="109"/>
    <n v="13"/>
    <s v="2026-02-20"/>
    <n v="305"/>
    <n v="1"/>
    <n v="24"/>
    <s v="Yes"/>
    <x v="1"/>
    <n v="4"/>
    <n v="1.1990049751243781"/>
    <x v="1"/>
    <s v="Maintain Stock"/>
  </r>
  <r>
    <n v="985"/>
    <s v="Product_3"/>
    <x v="0"/>
    <x v="2"/>
    <n v="461"/>
    <n v="214"/>
    <n v="233"/>
    <n v="991.89"/>
    <n v="510.88"/>
    <n v="75"/>
    <n v="4"/>
    <s v="2026-01-12"/>
    <n v="123"/>
    <n v="1"/>
    <n v="6"/>
    <s v="Yes"/>
    <x v="0"/>
    <n v="-19"/>
    <n v="0.46420824295010849"/>
    <x v="2"/>
    <s v="Apply Discount / Promotion"/>
  </r>
  <r>
    <n v="986"/>
    <s v="Product_51"/>
    <x v="0"/>
    <x v="0"/>
    <n v="349"/>
    <n v="308"/>
    <n v="287"/>
    <n v="2652.85"/>
    <n v="1784.54"/>
    <n v="69"/>
    <n v="4"/>
    <s v="2026-01-28"/>
    <n v="175"/>
    <n v="5"/>
    <n v="35"/>
    <s v="Yes"/>
    <x v="0"/>
    <n v="21"/>
    <n v="0.88252148997134672"/>
    <x v="0"/>
    <s v="Monitor Sales"/>
  </r>
  <r>
    <n v="987"/>
    <s v="Product_14"/>
    <x v="4"/>
    <x v="1"/>
    <n v="73"/>
    <n v="188"/>
    <n v="179"/>
    <n v="4456.41"/>
    <n v="3553.43"/>
    <n v="30"/>
    <n v="10"/>
    <s v="2026-01-16"/>
    <n v="356"/>
    <n v="2"/>
    <n v="14"/>
    <s v="No"/>
    <x v="2"/>
    <n v="9"/>
    <n v="2.5753424657534247"/>
    <x v="1"/>
    <s v="Maintain Stock"/>
  </r>
  <r>
    <n v="988"/>
    <s v="Product_63"/>
    <x v="4"/>
    <x v="3"/>
    <n v="410"/>
    <n v="272"/>
    <n v="237"/>
    <n v="3363.79"/>
    <n v="1963.44"/>
    <n v="149"/>
    <n v="8"/>
    <s v="2026-01-18"/>
    <n v="315"/>
    <n v="2"/>
    <n v="23"/>
    <s v="Yes"/>
    <x v="2"/>
    <n v="35"/>
    <n v="0.6634146341463415"/>
    <x v="0"/>
    <s v="Monitor Sales"/>
  </r>
  <r>
    <n v="989"/>
    <s v="Product_59"/>
    <x v="0"/>
    <x v="3"/>
    <n v="137"/>
    <n v="167"/>
    <n v="139"/>
    <n v="1341.17"/>
    <n v="1021.87"/>
    <n v="96"/>
    <n v="8"/>
    <s v="2026-02-22"/>
    <n v="237"/>
    <n v="1"/>
    <n v="23"/>
    <s v="Yes"/>
    <x v="0"/>
    <n v="28"/>
    <n v="1.218978102189781"/>
    <x v="1"/>
    <s v="Maintain Stock"/>
  </r>
  <r>
    <n v="990"/>
    <s v="Product_30"/>
    <x v="0"/>
    <x v="2"/>
    <n v="443"/>
    <n v="299"/>
    <n v="328"/>
    <n v="3332.8"/>
    <n v="1727.2"/>
    <n v="143"/>
    <n v="5"/>
    <s v="2026-03-19"/>
    <n v="269"/>
    <n v="1"/>
    <n v="47"/>
    <s v="No"/>
    <x v="0"/>
    <n v="-29"/>
    <n v="0.67494356659142207"/>
    <x v="0"/>
    <s v="Monitor Sales"/>
  </r>
  <r>
    <n v="991"/>
    <s v="Product_9"/>
    <x v="0"/>
    <x v="1"/>
    <n v="264"/>
    <n v="119"/>
    <n v="76"/>
    <n v="113.49"/>
    <n v="82.84"/>
    <n v="125"/>
    <n v="9"/>
    <s v="2026-03-01"/>
    <n v="345"/>
    <n v="2"/>
    <n v="38"/>
    <s v="Yes"/>
    <x v="0"/>
    <n v="43"/>
    <n v="0.45075757575757575"/>
    <x v="2"/>
    <s v="Apply Discount / Promotion"/>
  </r>
  <r>
    <n v="992"/>
    <s v="Product_89"/>
    <x v="0"/>
    <x v="2"/>
    <n v="339"/>
    <n v="275"/>
    <n v="280"/>
    <n v="719.67"/>
    <n v="373.17"/>
    <n v="149"/>
    <n v="2"/>
    <s v="2026-03-02"/>
    <n v="281"/>
    <n v="5"/>
    <n v="50"/>
    <s v="No"/>
    <x v="1"/>
    <n v="-5"/>
    <n v="0.8112094395280236"/>
    <x v="0"/>
    <s v="Monitor Sales"/>
  </r>
  <r>
    <n v="993"/>
    <s v="Product_97"/>
    <x v="3"/>
    <x v="2"/>
    <n v="115"/>
    <n v="91"/>
    <n v="64"/>
    <n v="1933.4"/>
    <n v="1382.5"/>
    <n v="52"/>
    <n v="13"/>
    <s v="2026-01-10"/>
    <n v="360"/>
    <n v="3"/>
    <n v="44"/>
    <s v="No"/>
    <x v="1"/>
    <n v="27"/>
    <n v="0.79130434782608694"/>
    <x v="0"/>
    <s v="Monitor Sales"/>
  </r>
  <r>
    <n v="994"/>
    <s v="Product_81"/>
    <x v="4"/>
    <x v="3"/>
    <n v="267"/>
    <n v="370"/>
    <n v="362"/>
    <n v="2607.34"/>
    <n v="1317.53"/>
    <n v="90"/>
    <n v="10"/>
    <s v="2026-02-03"/>
    <n v="55"/>
    <n v="2"/>
    <n v="8"/>
    <s v="No"/>
    <x v="0"/>
    <n v="8"/>
    <n v="1.3857677902621723"/>
    <x v="1"/>
    <s v="Maintain Stock"/>
  </r>
  <r>
    <n v="995"/>
    <s v="Product_61"/>
    <x v="4"/>
    <x v="2"/>
    <n v="138"/>
    <n v="45"/>
    <n v="37"/>
    <n v="2416.1"/>
    <n v="1902.52"/>
    <n v="56"/>
    <n v="3"/>
    <s v="2026-03-13"/>
    <n v="312"/>
    <n v="1"/>
    <n v="20"/>
    <s v="Yes"/>
    <x v="2"/>
    <n v="8"/>
    <n v="0.32608695652173914"/>
    <x v="2"/>
    <s v="Apply Discount / Promotion"/>
  </r>
  <r>
    <n v="996"/>
    <s v="Product_94"/>
    <x v="1"/>
    <x v="0"/>
    <n v="101"/>
    <n v="0"/>
    <n v="18"/>
    <n v="217.14"/>
    <n v="130.82"/>
    <n v="118"/>
    <n v="8"/>
    <s v="2026-02-02"/>
    <n v="135"/>
    <n v="1"/>
    <n v="10"/>
    <s v="No"/>
    <x v="2"/>
    <n v="-18"/>
    <n v="0"/>
    <x v="2"/>
    <s v="Apply Discount / Promotion"/>
  </r>
  <r>
    <n v="997"/>
    <s v="Product_62"/>
    <x v="2"/>
    <x v="2"/>
    <n v="212"/>
    <n v="269"/>
    <n v="256"/>
    <n v="3519.97"/>
    <n v="2366.87"/>
    <n v="150"/>
    <n v="4"/>
    <s v="2026-01-06"/>
    <n v="363"/>
    <n v="4"/>
    <n v="45"/>
    <s v="No"/>
    <x v="2"/>
    <n v="13"/>
    <n v="1.2688679245283019"/>
    <x v="1"/>
    <s v="Maintain Stock"/>
  </r>
  <r>
    <n v="998"/>
    <s v="Product_73"/>
    <x v="4"/>
    <x v="0"/>
    <n v="98"/>
    <n v="198"/>
    <n v="151"/>
    <n v="2614.04"/>
    <n v="1443.48"/>
    <n v="92"/>
    <n v="8"/>
    <s v="2026-03-21"/>
    <n v="252"/>
    <n v="3"/>
    <n v="40"/>
    <s v="No"/>
    <x v="1"/>
    <n v="47"/>
    <n v="2.0204081632653059"/>
    <x v="1"/>
    <s v="Maintain Stock"/>
  </r>
  <r>
    <n v="999"/>
    <s v="Product_83"/>
    <x v="0"/>
    <x v="2"/>
    <n v="155"/>
    <n v="144"/>
    <n v="102"/>
    <n v="77.599999999999994"/>
    <n v="52.45"/>
    <n v="32"/>
    <n v="8"/>
    <s v="2026-02-01"/>
    <n v="177"/>
    <n v="1"/>
    <n v="16"/>
    <s v="Yes"/>
    <x v="0"/>
    <n v="42"/>
    <n v="0.92903225806451617"/>
    <x v="0"/>
    <s v="Monitor Sales"/>
  </r>
  <r>
    <n v="1000"/>
    <s v="Product_27"/>
    <x v="2"/>
    <x v="3"/>
    <n v="482"/>
    <n v="265"/>
    <n v="237"/>
    <n v="2463.85"/>
    <n v="1770.77"/>
    <n v="45"/>
    <n v="2"/>
    <s v="2026-03-26"/>
    <n v="205"/>
    <n v="2"/>
    <n v="10"/>
    <s v="Yes"/>
    <x v="2"/>
    <n v="28"/>
    <n v="0.549792531120332"/>
    <x v="0"/>
    <s v="Monitor Sal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193"/>
    <n v="109"/>
    <n v="146"/>
    <n v="4516.84"/>
    <n v="3046.2"/>
    <n v="147"/>
    <n v="5"/>
    <s v="2026-03-04"/>
    <n v="301"/>
    <n v="2"/>
    <n v="31"/>
    <s v="No"/>
    <x v="0"/>
    <n v="-37"/>
    <n v="0.56476683937823835"/>
    <s v="Medium Risk"/>
    <s v="Monitor Sales"/>
  </r>
  <r>
    <n v="2"/>
    <x v="1"/>
    <x v="1"/>
    <x v="1"/>
    <n v="196"/>
    <n v="334"/>
    <n v="311"/>
    <n v="1362.99"/>
    <n v="805.68"/>
    <n v="87"/>
    <n v="13"/>
    <s v="2026-02-15"/>
    <n v="53"/>
    <n v="1"/>
    <n v="38"/>
    <s v="No"/>
    <x v="0"/>
    <n v="23"/>
    <n v="1.7040816326530612"/>
    <s v="Low Risk"/>
    <s v="Maintain Stock"/>
  </r>
  <r>
    <n v="3"/>
    <x v="2"/>
    <x v="2"/>
    <x v="0"/>
    <n v="287"/>
    <n v="220"/>
    <n v="182"/>
    <n v="2544.1999999999998"/>
    <n v="2002.09"/>
    <n v="148"/>
    <n v="13"/>
    <s v="2026-01-29"/>
    <n v="332"/>
    <n v="4"/>
    <n v="2"/>
    <s v="No"/>
    <x v="0"/>
    <n v="38"/>
    <n v="0.76655052264808365"/>
    <s v="Medium Risk"/>
    <s v="Monitor Sales"/>
  </r>
  <r>
    <n v="4"/>
    <x v="3"/>
    <x v="1"/>
    <x v="2"/>
    <n v="387"/>
    <n v="348"/>
    <n v="334"/>
    <n v="1010.31"/>
    <n v="603.15"/>
    <n v="130"/>
    <n v="3"/>
    <s v="2026-02-03"/>
    <n v="170"/>
    <n v="2"/>
    <n v="14"/>
    <s v="Yes"/>
    <x v="1"/>
    <n v="14"/>
    <n v="0.89922480620155043"/>
    <s v="Medium Risk"/>
    <s v="Monitor Sales"/>
  </r>
  <r>
    <n v="5"/>
    <x v="4"/>
    <x v="3"/>
    <x v="2"/>
    <n v="152"/>
    <n v="398"/>
    <n v="394"/>
    <n v="275.68"/>
    <n v="150.33000000000001"/>
    <n v="117"/>
    <n v="5"/>
    <s v="2026-01-10"/>
    <n v="63"/>
    <n v="4"/>
    <n v="38"/>
    <s v="No"/>
    <x v="2"/>
    <n v="4"/>
    <n v="2.6184210526315788"/>
    <s v="Low Risk"/>
    <s v="Maintain Stock"/>
  </r>
  <r>
    <n v="6"/>
    <x v="5"/>
    <x v="3"/>
    <x v="0"/>
    <n v="32"/>
    <n v="269"/>
    <n v="318"/>
    <n v="2532.19"/>
    <n v="1322.13"/>
    <n v="133"/>
    <n v="11"/>
    <s v="2026-03-15"/>
    <n v="312"/>
    <n v="3"/>
    <n v="17"/>
    <s v="No"/>
    <x v="1"/>
    <n v="-49"/>
    <n v="8.40625"/>
    <s v="Low Risk"/>
    <s v="Maintain Stock"/>
  </r>
  <r>
    <n v="7"/>
    <x v="6"/>
    <x v="0"/>
    <x v="2"/>
    <n v="206"/>
    <n v="187"/>
    <n v="183"/>
    <n v="1470.79"/>
    <n v="922.65"/>
    <n v="122"/>
    <n v="9"/>
    <s v="2026-01-31"/>
    <n v="343"/>
    <n v="1"/>
    <n v="8"/>
    <s v="Yes"/>
    <x v="2"/>
    <n v="4"/>
    <n v="0.90776699029126218"/>
    <s v="Medium Risk"/>
    <s v="Monitor Sales"/>
  </r>
  <r>
    <n v="8"/>
    <x v="7"/>
    <x v="3"/>
    <x v="2"/>
    <n v="238"/>
    <n v="143"/>
    <n v="169"/>
    <n v="2492.6799999999998"/>
    <n v="1375.04"/>
    <n v="141"/>
    <n v="6"/>
    <s v="2026-03-17"/>
    <n v="362"/>
    <n v="3"/>
    <n v="25"/>
    <s v="Yes"/>
    <x v="0"/>
    <n v="-26"/>
    <n v="0.60084033613445376"/>
    <s v="Medium Risk"/>
    <s v="Monitor Sales"/>
  </r>
  <r>
    <n v="9"/>
    <x v="6"/>
    <x v="0"/>
    <x v="0"/>
    <n v="319"/>
    <n v="270"/>
    <n v="242"/>
    <n v="1877.22"/>
    <n v="1231.45"/>
    <n v="140"/>
    <n v="9"/>
    <s v="2026-02-09"/>
    <n v="333"/>
    <n v="3"/>
    <n v="17"/>
    <s v="Yes"/>
    <x v="2"/>
    <n v="28"/>
    <n v="0.84639498432601878"/>
    <s v="Medium Risk"/>
    <s v="Monitor Sales"/>
  </r>
  <r>
    <n v="10"/>
    <x v="0"/>
    <x v="3"/>
    <x v="3"/>
    <n v="30"/>
    <n v="204"/>
    <n v="190"/>
    <n v="4132.04"/>
    <n v="2901.16"/>
    <n v="150"/>
    <n v="4"/>
    <s v="2026-02-07"/>
    <n v="207"/>
    <n v="3"/>
    <n v="22"/>
    <s v="Yes"/>
    <x v="2"/>
    <n v="14"/>
    <n v="6.8"/>
    <s v="Low Risk"/>
    <s v="Maintain Stock"/>
  </r>
  <r>
    <n v="11"/>
    <x v="8"/>
    <x v="1"/>
    <x v="0"/>
    <n v="42"/>
    <n v="324"/>
    <n v="352"/>
    <n v="3815.73"/>
    <n v="2115.61"/>
    <n v="109"/>
    <n v="12"/>
    <s v="2026-01-08"/>
    <n v="260"/>
    <n v="3"/>
    <n v="25"/>
    <s v="Yes"/>
    <x v="0"/>
    <n v="-28"/>
    <n v="7.7142857142857144"/>
    <s v="Low Risk"/>
    <s v="Maintain Stock"/>
  </r>
  <r>
    <n v="12"/>
    <x v="9"/>
    <x v="3"/>
    <x v="2"/>
    <n v="112"/>
    <n v="214"/>
    <n v="173"/>
    <n v="2948.09"/>
    <n v="2321.9"/>
    <n v="94"/>
    <n v="9"/>
    <s v="2026-03-26"/>
    <n v="361"/>
    <n v="1"/>
    <n v="8"/>
    <s v="Yes"/>
    <x v="0"/>
    <n v="41"/>
    <n v="1.9107142857142858"/>
    <s v="Low Risk"/>
    <s v="Maintain Stock"/>
  </r>
  <r>
    <n v="13"/>
    <x v="10"/>
    <x v="4"/>
    <x v="3"/>
    <n v="35"/>
    <n v="274"/>
    <n v="287"/>
    <n v="3478.3"/>
    <n v="1920.13"/>
    <n v="144"/>
    <n v="9"/>
    <s v="2026-02-27"/>
    <n v="285"/>
    <n v="3"/>
    <n v="19"/>
    <s v="Yes"/>
    <x v="2"/>
    <n v="-13"/>
    <n v="7.8285714285714283"/>
    <s v="Low Risk"/>
    <s v="Maintain Stock"/>
  </r>
  <r>
    <n v="14"/>
    <x v="11"/>
    <x v="3"/>
    <x v="2"/>
    <n v="341"/>
    <n v="308"/>
    <n v="338"/>
    <n v="2683.77"/>
    <n v="1961.91"/>
    <n v="127"/>
    <n v="4"/>
    <s v="2026-03-19"/>
    <n v="99"/>
    <n v="1"/>
    <n v="44"/>
    <s v="No"/>
    <x v="1"/>
    <n v="-30"/>
    <n v="0.90322580645161288"/>
    <s v="Medium Risk"/>
    <s v="Monitor Sales"/>
  </r>
  <r>
    <n v="15"/>
    <x v="12"/>
    <x v="2"/>
    <x v="3"/>
    <n v="254"/>
    <n v="237"/>
    <n v="233"/>
    <n v="4115.3599999999997"/>
    <n v="2376.15"/>
    <n v="80"/>
    <n v="4"/>
    <s v="2026-01-03"/>
    <n v="363"/>
    <n v="2"/>
    <n v="19"/>
    <s v="Yes"/>
    <x v="0"/>
    <n v="4"/>
    <n v="0.93307086614173229"/>
    <s v="Medium Risk"/>
    <s v="Monitor Sales"/>
  </r>
  <r>
    <n v="16"/>
    <x v="13"/>
    <x v="3"/>
    <x v="1"/>
    <n v="237"/>
    <n v="103"/>
    <n v="105"/>
    <n v="4782.57"/>
    <n v="3535.3"/>
    <n v="52"/>
    <n v="13"/>
    <s v="2026-02-06"/>
    <n v="124"/>
    <n v="2"/>
    <n v="1"/>
    <s v="No"/>
    <x v="1"/>
    <n v="-2"/>
    <n v="0.43459915611814348"/>
    <s v="High Risk"/>
    <s v="Apply Discount / Promotion"/>
  </r>
  <r>
    <n v="17"/>
    <x v="14"/>
    <x v="2"/>
    <x v="3"/>
    <n v="242"/>
    <n v="192"/>
    <n v="241"/>
    <n v="1205.6300000000001"/>
    <n v="643.17999999999995"/>
    <n v="118"/>
    <n v="10"/>
    <s v="2026-03-17"/>
    <n v="273"/>
    <n v="2"/>
    <n v="6"/>
    <s v="Yes"/>
    <x v="1"/>
    <n v="-49"/>
    <n v="0.79338842975206614"/>
    <s v="Medium Risk"/>
    <s v="Monitor Sales"/>
  </r>
  <r>
    <n v="18"/>
    <x v="15"/>
    <x v="3"/>
    <x v="3"/>
    <n v="271"/>
    <n v="355"/>
    <n v="311"/>
    <n v="3321.74"/>
    <n v="2188.36"/>
    <n v="73"/>
    <n v="3"/>
    <s v="2026-01-05"/>
    <n v="198"/>
    <n v="5"/>
    <n v="23"/>
    <s v="Yes"/>
    <x v="2"/>
    <n v="44"/>
    <n v="1.3099630996309963"/>
    <s v="Low Risk"/>
    <s v="Maintain Stock"/>
  </r>
  <r>
    <n v="19"/>
    <x v="16"/>
    <x v="1"/>
    <x v="1"/>
    <n v="478"/>
    <n v="187"/>
    <n v="200"/>
    <n v="4720.1400000000003"/>
    <n v="2952.72"/>
    <n v="97"/>
    <n v="4"/>
    <s v="2026-01-01"/>
    <n v="328"/>
    <n v="1"/>
    <n v="5"/>
    <s v="Yes"/>
    <x v="0"/>
    <n v="-13"/>
    <n v="0.39121338912133891"/>
    <s v="High Risk"/>
    <s v="Apply Discount / Promotion"/>
  </r>
  <r>
    <n v="20"/>
    <x v="17"/>
    <x v="1"/>
    <x v="1"/>
    <n v="364"/>
    <n v="273"/>
    <n v="226"/>
    <n v="1528.49"/>
    <n v="1099.73"/>
    <n v="115"/>
    <n v="9"/>
    <s v="2026-03-21"/>
    <n v="291"/>
    <n v="5"/>
    <n v="5"/>
    <s v="No"/>
    <x v="1"/>
    <n v="47"/>
    <n v="0.75"/>
    <s v="Medium Risk"/>
    <s v="Monitor Sales"/>
  </r>
  <r>
    <n v="21"/>
    <x v="18"/>
    <x v="1"/>
    <x v="1"/>
    <n v="84"/>
    <n v="292"/>
    <n v="308"/>
    <n v="805.32"/>
    <n v="564.86"/>
    <n v="127"/>
    <n v="11"/>
    <s v="2026-01-23"/>
    <n v="365"/>
    <n v="4"/>
    <n v="12"/>
    <s v="No"/>
    <x v="0"/>
    <n v="-16"/>
    <n v="3.4761904761904763"/>
    <s v="Low Risk"/>
    <s v="Maintain Stock"/>
  </r>
  <r>
    <n v="22"/>
    <x v="19"/>
    <x v="0"/>
    <x v="2"/>
    <n v="32"/>
    <n v="402"/>
    <n v="355"/>
    <n v="1700.54"/>
    <n v="1244.5999999999999"/>
    <n v="79"/>
    <n v="12"/>
    <s v="2026-03-06"/>
    <n v="176"/>
    <n v="5"/>
    <n v="2"/>
    <s v="No"/>
    <x v="2"/>
    <n v="47"/>
    <n v="12.5625"/>
    <s v="Low Risk"/>
    <s v="Maintain Stock"/>
  </r>
  <r>
    <n v="23"/>
    <x v="20"/>
    <x v="4"/>
    <x v="1"/>
    <n v="295"/>
    <n v="31"/>
    <n v="19"/>
    <n v="731.03"/>
    <n v="574.9"/>
    <n v="51"/>
    <n v="9"/>
    <s v="2026-03-07"/>
    <n v="151"/>
    <n v="5"/>
    <n v="41"/>
    <s v="No"/>
    <x v="2"/>
    <n v="12"/>
    <n v="0.10508474576271186"/>
    <s v="High Risk"/>
    <s v="Apply Discount / Promotion"/>
  </r>
  <r>
    <n v="24"/>
    <x v="21"/>
    <x v="0"/>
    <x v="2"/>
    <n v="72"/>
    <n v="131"/>
    <n v="139"/>
    <n v="3406.31"/>
    <n v="2265.98"/>
    <n v="74"/>
    <n v="13"/>
    <s v="2026-01-01"/>
    <n v="69"/>
    <n v="1"/>
    <n v="27"/>
    <s v="No"/>
    <x v="0"/>
    <n v="-8"/>
    <n v="1.8194444444444444"/>
    <s v="Low Risk"/>
    <s v="Maintain Stock"/>
  </r>
  <r>
    <n v="25"/>
    <x v="22"/>
    <x v="2"/>
    <x v="0"/>
    <n v="129"/>
    <n v="219"/>
    <n v="196"/>
    <n v="3071.46"/>
    <n v="2413.02"/>
    <n v="63"/>
    <n v="12"/>
    <s v="2026-01-22"/>
    <n v="64"/>
    <n v="1"/>
    <n v="9"/>
    <s v="Yes"/>
    <x v="2"/>
    <n v="23"/>
    <n v="1.6976744186046511"/>
    <s v="Low Risk"/>
    <s v="Maintain Stock"/>
  </r>
  <r>
    <n v="26"/>
    <x v="23"/>
    <x v="1"/>
    <x v="1"/>
    <n v="416"/>
    <n v="306"/>
    <n v="302"/>
    <n v="4112.3900000000003"/>
    <n v="2653.92"/>
    <n v="96"/>
    <n v="5"/>
    <s v="2026-01-15"/>
    <n v="280"/>
    <n v="2"/>
    <n v="31"/>
    <s v="No"/>
    <x v="1"/>
    <n v="4"/>
    <n v="0.73557692307692313"/>
    <s v="Medium Risk"/>
    <s v="Monitor Sales"/>
  </r>
  <r>
    <n v="27"/>
    <x v="24"/>
    <x v="0"/>
    <x v="0"/>
    <n v="49"/>
    <n v="369"/>
    <n v="350"/>
    <n v="4343.22"/>
    <n v="2506.58"/>
    <n v="148"/>
    <n v="2"/>
    <s v="2026-02-01"/>
    <n v="101"/>
    <n v="4"/>
    <n v="42"/>
    <s v="No"/>
    <x v="2"/>
    <n v="19"/>
    <n v="7.5306122448979593"/>
    <s v="Low Risk"/>
    <s v="Maintain Stock"/>
  </r>
  <r>
    <n v="28"/>
    <x v="25"/>
    <x v="4"/>
    <x v="3"/>
    <n v="53"/>
    <n v="429"/>
    <n v="395"/>
    <n v="767.03"/>
    <n v="504.18"/>
    <n v="60"/>
    <n v="7"/>
    <s v="2026-03-04"/>
    <n v="170"/>
    <n v="1"/>
    <n v="20"/>
    <s v="Yes"/>
    <x v="0"/>
    <n v="34"/>
    <n v="8.0943396226415096"/>
    <s v="Low Risk"/>
    <s v="Maintain Stock"/>
  </r>
  <r>
    <n v="29"/>
    <x v="26"/>
    <x v="0"/>
    <x v="3"/>
    <n v="321"/>
    <n v="145"/>
    <n v="172"/>
    <n v="2148.37"/>
    <n v="1442.55"/>
    <n v="94"/>
    <n v="1"/>
    <s v="2026-01-22"/>
    <n v="116"/>
    <n v="4"/>
    <n v="48"/>
    <s v="Yes"/>
    <x v="1"/>
    <n v="-27"/>
    <n v="0.45171339563862928"/>
    <s v="High Risk"/>
    <s v="Apply Discount / Promotion"/>
  </r>
  <r>
    <n v="30"/>
    <x v="17"/>
    <x v="0"/>
    <x v="1"/>
    <n v="255"/>
    <n v="106"/>
    <n v="69"/>
    <n v="742.31"/>
    <n v="464.9"/>
    <n v="109"/>
    <n v="1"/>
    <s v="2026-01-11"/>
    <n v="190"/>
    <n v="3"/>
    <n v="3"/>
    <s v="No"/>
    <x v="2"/>
    <n v="37"/>
    <n v="0.41568627450980394"/>
    <s v="High Risk"/>
    <s v="Apply Discount / Promotion"/>
  </r>
  <r>
    <n v="31"/>
    <x v="13"/>
    <x v="3"/>
    <x v="3"/>
    <n v="455"/>
    <n v="260"/>
    <n v="298"/>
    <n v="408.83"/>
    <n v="217.87"/>
    <n v="69"/>
    <n v="4"/>
    <s v="2026-03-05"/>
    <n v="133"/>
    <n v="2"/>
    <n v="40"/>
    <s v="No"/>
    <x v="1"/>
    <n v="-38"/>
    <n v="0.5714285714285714"/>
    <s v="Medium Risk"/>
    <s v="Monitor Sales"/>
  </r>
  <r>
    <n v="32"/>
    <x v="26"/>
    <x v="0"/>
    <x v="3"/>
    <n v="202"/>
    <n v="301"/>
    <n v="325"/>
    <n v="1100.92"/>
    <n v="754.75"/>
    <n v="55"/>
    <n v="13"/>
    <s v="2026-03-10"/>
    <n v="109"/>
    <n v="4"/>
    <n v="16"/>
    <s v="Yes"/>
    <x v="2"/>
    <n v="-24"/>
    <n v="1.4900990099009901"/>
    <s v="Low Risk"/>
    <s v="Maintain Stock"/>
  </r>
  <r>
    <n v="33"/>
    <x v="12"/>
    <x v="0"/>
    <x v="2"/>
    <n v="106"/>
    <n v="0"/>
    <n v="14"/>
    <n v="3639.86"/>
    <n v="2111.0700000000002"/>
    <n v="85"/>
    <n v="11"/>
    <s v="2026-03-14"/>
    <n v="56"/>
    <n v="4"/>
    <n v="36"/>
    <s v="Yes"/>
    <x v="1"/>
    <n v="-14"/>
    <n v="0"/>
    <s v="High Risk"/>
    <s v="Apply Discount / Promotion"/>
  </r>
  <r>
    <n v="34"/>
    <x v="27"/>
    <x v="4"/>
    <x v="2"/>
    <n v="36"/>
    <n v="23"/>
    <n v="27"/>
    <n v="1945.04"/>
    <n v="1221.8399999999999"/>
    <n v="100"/>
    <n v="8"/>
    <s v="2026-03-21"/>
    <n v="50"/>
    <n v="1"/>
    <n v="7"/>
    <s v="Yes"/>
    <x v="2"/>
    <n v="-4"/>
    <n v="0.63888888888888884"/>
    <s v="Medium Risk"/>
    <s v="Monitor Sales"/>
  </r>
  <r>
    <n v="35"/>
    <x v="10"/>
    <x v="3"/>
    <x v="1"/>
    <n v="194"/>
    <n v="355"/>
    <n v="307"/>
    <n v="1789.49"/>
    <n v="1054.77"/>
    <n v="127"/>
    <n v="10"/>
    <s v="2026-02-17"/>
    <n v="125"/>
    <n v="1"/>
    <n v="50"/>
    <s v="Yes"/>
    <x v="2"/>
    <n v="48"/>
    <n v="1.8298969072164948"/>
    <s v="Low Risk"/>
    <s v="Maintain Stock"/>
  </r>
  <r>
    <n v="36"/>
    <x v="28"/>
    <x v="2"/>
    <x v="2"/>
    <n v="321"/>
    <n v="267"/>
    <n v="245"/>
    <n v="1094.27"/>
    <n v="591.78"/>
    <n v="33"/>
    <n v="7"/>
    <s v="2026-02-10"/>
    <n v="224"/>
    <n v="1"/>
    <n v="19"/>
    <s v="Yes"/>
    <x v="2"/>
    <n v="22"/>
    <n v="0.83177570093457942"/>
    <s v="Medium Risk"/>
    <s v="Monitor Sales"/>
  </r>
  <r>
    <n v="37"/>
    <x v="29"/>
    <x v="3"/>
    <x v="1"/>
    <n v="217"/>
    <n v="191"/>
    <n v="191"/>
    <n v="304.48"/>
    <n v="177.07"/>
    <n v="121"/>
    <n v="1"/>
    <s v="2026-01-26"/>
    <n v="118"/>
    <n v="2"/>
    <n v="0"/>
    <s v="Yes"/>
    <x v="0"/>
    <n v="0"/>
    <n v="0.88018433179723499"/>
    <s v="Medium Risk"/>
    <s v="Monitor Sales"/>
  </r>
  <r>
    <n v="38"/>
    <x v="4"/>
    <x v="4"/>
    <x v="2"/>
    <n v="327"/>
    <n v="128"/>
    <n v="165"/>
    <n v="4427.17"/>
    <n v="2537.88"/>
    <n v="111"/>
    <n v="14"/>
    <s v="2026-03-11"/>
    <n v="254"/>
    <n v="1"/>
    <n v="34"/>
    <s v="No"/>
    <x v="2"/>
    <n v="-37"/>
    <n v="0.39143730886850153"/>
    <s v="High Risk"/>
    <s v="Apply Discount / Promotion"/>
  </r>
  <r>
    <n v="39"/>
    <x v="30"/>
    <x v="2"/>
    <x v="1"/>
    <n v="496"/>
    <n v="102"/>
    <n v="56"/>
    <n v="2371.12"/>
    <n v="1536.43"/>
    <n v="38"/>
    <n v="3"/>
    <s v="2026-02-27"/>
    <n v="204"/>
    <n v="2"/>
    <n v="14"/>
    <s v="No"/>
    <x v="2"/>
    <n v="46"/>
    <n v="0.20564516129032259"/>
    <s v="High Risk"/>
    <s v="Apply Discount / Promotion"/>
  </r>
  <r>
    <n v="40"/>
    <x v="23"/>
    <x v="2"/>
    <x v="3"/>
    <n v="249"/>
    <n v="409"/>
    <n v="376"/>
    <n v="1174.97"/>
    <n v="607.71"/>
    <n v="150"/>
    <n v="1"/>
    <s v="2026-03-22"/>
    <n v="292"/>
    <n v="4"/>
    <n v="50"/>
    <s v="No"/>
    <x v="2"/>
    <n v="33"/>
    <n v="1.642570281124498"/>
    <s v="Low Risk"/>
    <s v="Maintain Stock"/>
  </r>
  <r>
    <n v="41"/>
    <x v="31"/>
    <x v="2"/>
    <x v="2"/>
    <n v="106"/>
    <n v="233"/>
    <n v="248"/>
    <n v="3836.18"/>
    <n v="2893.38"/>
    <n v="112"/>
    <n v="5"/>
    <s v="2026-02-09"/>
    <n v="244"/>
    <n v="4"/>
    <n v="39"/>
    <s v="Yes"/>
    <x v="2"/>
    <n v="-15"/>
    <n v="2.1981132075471699"/>
    <s v="Low Risk"/>
    <s v="Maintain Stock"/>
  </r>
  <r>
    <n v="42"/>
    <x v="32"/>
    <x v="0"/>
    <x v="2"/>
    <n v="428"/>
    <n v="142"/>
    <n v="171"/>
    <n v="2853.06"/>
    <n v="1803.61"/>
    <n v="48"/>
    <n v="12"/>
    <s v="2026-01-10"/>
    <n v="301"/>
    <n v="1"/>
    <n v="40"/>
    <s v="Yes"/>
    <x v="0"/>
    <n v="-29"/>
    <n v="0.33177570093457942"/>
    <s v="High Risk"/>
    <s v="Apply Discount / Promotion"/>
  </r>
  <r>
    <n v="43"/>
    <x v="33"/>
    <x v="4"/>
    <x v="3"/>
    <n v="340"/>
    <n v="245"/>
    <n v="229"/>
    <n v="998.4"/>
    <n v="580.88"/>
    <n v="113"/>
    <n v="3"/>
    <s v="2026-02-01"/>
    <n v="204"/>
    <n v="1"/>
    <n v="5"/>
    <s v="Yes"/>
    <x v="1"/>
    <n v="16"/>
    <n v="0.72058823529411764"/>
    <s v="Medium Risk"/>
    <s v="Monitor Sales"/>
  </r>
  <r>
    <n v="44"/>
    <x v="34"/>
    <x v="3"/>
    <x v="2"/>
    <n v="193"/>
    <n v="309"/>
    <n v="298"/>
    <n v="4086.49"/>
    <n v="3066.6"/>
    <n v="73"/>
    <n v="13"/>
    <s v="2026-01-20"/>
    <n v="152"/>
    <n v="5"/>
    <n v="50"/>
    <s v="Yes"/>
    <x v="1"/>
    <n v="11"/>
    <n v="1.6010362694300517"/>
    <s v="Low Risk"/>
    <s v="Maintain Stock"/>
  </r>
  <r>
    <n v="45"/>
    <x v="29"/>
    <x v="1"/>
    <x v="3"/>
    <n v="464"/>
    <n v="356"/>
    <n v="315"/>
    <n v="3090.84"/>
    <n v="1578.32"/>
    <n v="126"/>
    <n v="15"/>
    <s v="2026-03-23"/>
    <n v="314"/>
    <n v="5"/>
    <n v="49"/>
    <s v="No"/>
    <x v="2"/>
    <n v="41"/>
    <n v="0.76724137931034486"/>
    <s v="Medium Risk"/>
    <s v="Monitor Sales"/>
  </r>
  <r>
    <n v="46"/>
    <x v="35"/>
    <x v="1"/>
    <x v="2"/>
    <n v="500"/>
    <n v="130"/>
    <n v="118"/>
    <n v="1892.32"/>
    <n v="1045.45"/>
    <n v="149"/>
    <n v="15"/>
    <s v="2026-01-30"/>
    <n v="203"/>
    <n v="4"/>
    <n v="30"/>
    <s v="No"/>
    <x v="1"/>
    <n v="12"/>
    <n v="0.26"/>
    <s v="High Risk"/>
    <s v="Apply Discount / Promotion"/>
  </r>
  <r>
    <n v="47"/>
    <x v="35"/>
    <x v="3"/>
    <x v="1"/>
    <n v="37"/>
    <n v="194"/>
    <n v="210"/>
    <n v="2144.34"/>
    <n v="1155.6300000000001"/>
    <n v="46"/>
    <n v="9"/>
    <s v="2026-03-16"/>
    <n v="266"/>
    <n v="4"/>
    <n v="8"/>
    <s v="Yes"/>
    <x v="0"/>
    <n v="-16"/>
    <n v="5.243243243243243"/>
    <s v="Low Risk"/>
    <s v="Maintain Stock"/>
  </r>
  <r>
    <n v="48"/>
    <x v="36"/>
    <x v="0"/>
    <x v="0"/>
    <n v="389"/>
    <n v="223"/>
    <n v="189"/>
    <n v="3533.45"/>
    <n v="2718.71"/>
    <n v="118"/>
    <n v="10"/>
    <s v="2026-01-04"/>
    <n v="125"/>
    <n v="5"/>
    <n v="41"/>
    <s v="Yes"/>
    <x v="2"/>
    <n v="34"/>
    <n v="0.57326478149100257"/>
    <s v="Medium Risk"/>
    <s v="Monitor Sales"/>
  </r>
  <r>
    <n v="49"/>
    <x v="37"/>
    <x v="1"/>
    <x v="3"/>
    <n v="431"/>
    <n v="207"/>
    <n v="233"/>
    <n v="3909.93"/>
    <n v="3012.95"/>
    <n v="79"/>
    <n v="10"/>
    <s v="2026-03-18"/>
    <n v="300"/>
    <n v="3"/>
    <n v="0"/>
    <s v="Yes"/>
    <x v="1"/>
    <n v="-26"/>
    <n v="0.48027842227378192"/>
    <s v="High Risk"/>
    <s v="Apply Discount / Promotion"/>
  </r>
  <r>
    <n v="50"/>
    <x v="38"/>
    <x v="3"/>
    <x v="2"/>
    <n v="65"/>
    <n v="156"/>
    <n v="182"/>
    <n v="2564.31"/>
    <n v="2031.34"/>
    <n v="73"/>
    <n v="7"/>
    <s v="2026-02-09"/>
    <n v="230"/>
    <n v="1"/>
    <n v="10"/>
    <s v="No"/>
    <x v="2"/>
    <n v="-26"/>
    <n v="2.4"/>
    <s v="Low Risk"/>
    <s v="Maintain Stock"/>
  </r>
  <r>
    <n v="51"/>
    <x v="39"/>
    <x v="2"/>
    <x v="3"/>
    <n v="217"/>
    <n v="47"/>
    <n v="16"/>
    <n v="2812.84"/>
    <n v="2192.86"/>
    <n v="69"/>
    <n v="12"/>
    <s v="2026-03-04"/>
    <n v="68"/>
    <n v="5"/>
    <n v="36"/>
    <s v="No"/>
    <x v="1"/>
    <n v="31"/>
    <n v="0.21658986175115208"/>
    <s v="High Risk"/>
    <s v="Apply Discount / Promotion"/>
  </r>
  <r>
    <n v="52"/>
    <x v="12"/>
    <x v="1"/>
    <x v="1"/>
    <n v="187"/>
    <n v="22"/>
    <n v="66"/>
    <n v="3417.37"/>
    <n v="1736.79"/>
    <n v="103"/>
    <n v="12"/>
    <s v="2026-03-01"/>
    <n v="74"/>
    <n v="4"/>
    <n v="4"/>
    <s v="No"/>
    <x v="1"/>
    <n v="-44"/>
    <n v="0.11764705882352941"/>
    <s v="High Risk"/>
    <s v="Apply Discount / Promotion"/>
  </r>
  <r>
    <n v="53"/>
    <x v="40"/>
    <x v="1"/>
    <x v="2"/>
    <n v="336"/>
    <n v="251"/>
    <n v="300"/>
    <n v="4466.45"/>
    <n v="2235.89"/>
    <n v="78"/>
    <n v="4"/>
    <s v="2026-03-01"/>
    <n v="237"/>
    <n v="4"/>
    <n v="36"/>
    <s v="Yes"/>
    <x v="2"/>
    <n v="-49"/>
    <n v="0.74702380952380953"/>
    <s v="Medium Risk"/>
    <s v="Monitor Sales"/>
  </r>
  <r>
    <n v="54"/>
    <x v="41"/>
    <x v="0"/>
    <x v="2"/>
    <n v="346"/>
    <n v="299"/>
    <n v="325"/>
    <n v="2406.9499999999998"/>
    <n v="1763.33"/>
    <n v="109"/>
    <n v="2"/>
    <s v="2026-03-14"/>
    <n v="183"/>
    <n v="5"/>
    <n v="44"/>
    <s v="Yes"/>
    <x v="0"/>
    <n v="-26"/>
    <n v="0.86416184971098264"/>
    <s v="Medium Risk"/>
    <s v="Monitor Sales"/>
  </r>
  <r>
    <n v="55"/>
    <x v="24"/>
    <x v="1"/>
    <x v="2"/>
    <n v="312"/>
    <n v="152"/>
    <n v="156"/>
    <n v="491.11"/>
    <n v="273.72000000000003"/>
    <n v="137"/>
    <n v="8"/>
    <s v="2026-01-18"/>
    <n v="196"/>
    <n v="3"/>
    <n v="47"/>
    <s v="Yes"/>
    <x v="2"/>
    <n v="-4"/>
    <n v="0.48717948717948717"/>
    <s v="High Risk"/>
    <s v="Apply Discount / Promotion"/>
  </r>
  <r>
    <n v="56"/>
    <x v="42"/>
    <x v="4"/>
    <x v="3"/>
    <n v="428"/>
    <n v="127"/>
    <n v="136"/>
    <n v="4552.08"/>
    <n v="3042.39"/>
    <n v="121"/>
    <n v="4"/>
    <s v="2026-03-13"/>
    <n v="57"/>
    <n v="1"/>
    <n v="23"/>
    <s v="Yes"/>
    <x v="0"/>
    <n v="-9"/>
    <n v="0.29672897196261683"/>
    <s v="High Risk"/>
    <s v="Apply Discount / Promotion"/>
  </r>
  <r>
    <n v="57"/>
    <x v="43"/>
    <x v="0"/>
    <x v="3"/>
    <n v="310"/>
    <n v="110"/>
    <n v="160"/>
    <n v="3548.04"/>
    <n v="2710.53"/>
    <n v="75"/>
    <n v="12"/>
    <s v="2026-01-05"/>
    <n v="297"/>
    <n v="3"/>
    <n v="14"/>
    <s v="No"/>
    <x v="2"/>
    <n v="-50"/>
    <n v="0.35483870967741937"/>
    <s v="High Risk"/>
    <s v="Apply Discount / Promotion"/>
  </r>
  <r>
    <n v="58"/>
    <x v="35"/>
    <x v="0"/>
    <x v="0"/>
    <n v="336"/>
    <n v="38"/>
    <n v="72"/>
    <n v="3653.72"/>
    <n v="2286.7399999999998"/>
    <n v="147"/>
    <n v="4"/>
    <s v="2026-03-02"/>
    <n v="169"/>
    <n v="2"/>
    <n v="20"/>
    <s v="Yes"/>
    <x v="1"/>
    <n v="-34"/>
    <n v="0.1130952380952381"/>
    <s v="High Risk"/>
    <s v="Apply Discount / Promotion"/>
  </r>
  <r>
    <n v="59"/>
    <x v="44"/>
    <x v="1"/>
    <x v="2"/>
    <n v="68"/>
    <n v="177"/>
    <n v="140"/>
    <n v="674.73"/>
    <n v="368.06"/>
    <n v="75"/>
    <n v="3"/>
    <s v="2026-03-24"/>
    <n v="32"/>
    <n v="3"/>
    <n v="17"/>
    <s v="Yes"/>
    <x v="2"/>
    <n v="37"/>
    <n v="2.6029411764705883"/>
    <s v="Low Risk"/>
    <s v="Maintain Stock"/>
  </r>
  <r>
    <n v="60"/>
    <x v="5"/>
    <x v="4"/>
    <x v="1"/>
    <n v="343"/>
    <n v="330"/>
    <n v="346"/>
    <n v="923.2"/>
    <n v="586.62"/>
    <n v="113"/>
    <n v="9"/>
    <s v="2026-01-24"/>
    <n v="96"/>
    <n v="2"/>
    <n v="35"/>
    <s v="Yes"/>
    <x v="0"/>
    <n v="-16"/>
    <n v="0.96209912536443154"/>
    <s v="Medium Risk"/>
    <s v="Monitor Sales"/>
  </r>
  <r>
    <n v="61"/>
    <x v="5"/>
    <x v="0"/>
    <x v="2"/>
    <n v="201"/>
    <n v="249"/>
    <n v="278"/>
    <n v="4533.29"/>
    <n v="2799.04"/>
    <n v="51"/>
    <n v="14"/>
    <s v="2026-01-11"/>
    <n v="182"/>
    <n v="5"/>
    <n v="43"/>
    <s v="No"/>
    <x v="1"/>
    <n v="-29"/>
    <n v="1.2388059701492538"/>
    <s v="Low Risk"/>
    <s v="Maintain Stock"/>
  </r>
  <r>
    <n v="62"/>
    <x v="45"/>
    <x v="2"/>
    <x v="3"/>
    <n v="199"/>
    <n v="328"/>
    <n v="323"/>
    <n v="1537.54"/>
    <n v="949.91"/>
    <n v="57"/>
    <n v="14"/>
    <s v="2025-12-29"/>
    <n v="39"/>
    <n v="2"/>
    <n v="17"/>
    <s v="Yes"/>
    <x v="0"/>
    <n v="5"/>
    <n v="1.6482412060301508"/>
    <s v="Low Risk"/>
    <s v="Maintain Stock"/>
  </r>
  <r>
    <n v="63"/>
    <x v="46"/>
    <x v="4"/>
    <x v="1"/>
    <n v="69"/>
    <n v="199"/>
    <n v="202"/>
    <n v="2089.17"/>
    <n v="1569.42"/>
    <n v="102"/>
    <n v="7"/>
    <s v="2026-03-25"/>
    <n v="32"/>
    <n v="3"/>
    <n v="0"/>
    <s v="Yes"/>
    <x v="0"/>
    <n v="-3"/>
    <n v="2.8840579710144927"/>
    <s v="Low Risk"/>
    <s v="Maintain Stock"/>
  </r>
  <r>
    <n v="64"/>
    <x v="47"/>
    <x v="4"/>
    <x v="0"/>
    <n v="430"/>
    <n v="199"/>
    <n v="208"/>
    <n v="2090.65"/>
    <n v="1440.98"/>
    <n v="97"/>
    <n v="15"/>
    <s v="2026-01-21"/>
    <n v="192"/>
    <n v="4"/>
    <n v="0"/>
    <s v="Yes"/>
    <x v="2"/>
    <n v="-9"/>
    <n v="0.46279069767441861"/>
    <s v="High Risk"/>
    <s v="Apply Discount / Promotion"/>
  </r>
  <r>
    <n v="65"/>
    <x v="48"/>
    <x v="4"/>
    <x v="0"/>
    <n v="322"/>
    <n v="272"/>
    <n v="320"/>
    <n v="1187.01"/>
    <n v="875.62"/>
    <n v="132"/>
    <n v="10"/>
    <s v="2025-12-29"/>
    <n v="135"/>
    <n v="2"/>
    <n v="49"/>
    <s v="No"/>
    <x v="0"/>
    <n v="-48"/>
    <n v="0.84472049689440998"/>
    <s v="Medium Risk"/>
    <s v="Monitor Sales"/>
  </r>
  <r>
    <n v="66"/>
    <x v="23"/>
    <x v="0"/>
    <x v="3"/>
    <n v="363"/>
    <n v="239"/>
    <n v="216"/>
    <n v="4673.5"/>
    <n v="3192.68"/>
    <n v="68"/>
    <n v="6"/>
    <s v="2026-02-08"/>
    <n v="155"/>
    <n v="2"/>
    <n v="0"/>
    <s v="Yes"/>
    <x v="1"/>
    <n v="23"/>
    <n v="0.6584022038567493"/>
    <s v="Medium Risk"/>
    <s v="Monitor Sales"/>
  </r>
  <r>
    <n v="67"/>
    <x v="49"/>
    <x v="3"/>
    <x v="3"/>
    <n v="272"/>
    <n v="231"/>
    <n v="209"/>
    <n v="1874.41"/>
    <n v="1395.02"/>
    <n v="130"/>
    <n v="13"/>
    <s v="2026-02-18"/>
    <n v="339"/>
    <n v="5"/>
    <n v="4"/>
    <s v="Yes"/>
    <x v="1"/>
    <n v="22"/>
    <n v="0.84926470588235292"/>
    <s v="Medium Risk"/>
    <s v="Monitor Sales"/>
  </r>
  <r>
    <n v="68"/>
    <x v="50"/>
    <x v="4"/>
    <x v="2"/>
    <n v="183"/>
    <n v="385"/>
    <n v="366"/>
    <n v="1115.05"/>
    <n v="731.33"/>
    <n v="136"/>
    <n v="13"/>
    <s v="2026-02-23"/>
    <n v="120"/>
    <n v="5"/>
    <n v="43"/>
    <s v="Yes"/>
    <x v="1"/>
    <n v="19"/>
    <n v="2.1038251366120218"/>
    <s v="Low Risk"/>
    <s v="Maintain Stock"/>
  </r>
  <r>
    <n v="69"/>
    <x v="42"/>
    <x v="0"/>
    <x v="2"/>
    <n v="247"/>
    <n v="289"/>
    <n v="311"/>
    <n v="2989.05"/>
    <n v="1928.97"/>
    <n v="119"/>
    <n v="7"/>
    <s v="2026-02-18"/>
    <n v="203"/>
    <n v="1"/>
    <n v="3"/>
    <s v="Yes"/>
    <x v="1"/>
    <n v="-22"/>
    <n v="1.1700404858299596"/>
    <s v="Low Risk"/>
    <s v="Maintain Stock"/>
  </r>
  <r>
    <n v="70"/>
    <x v="51"/>
    <x v="2"/>
    <x v="2"/>
    <n v="115"/>
    <n v="125"/>
    <n v="165"/>
    <n v="741.43"/>
    <n v="582.41"/>
    <n v="102"/>
    <n v="2"/>
    <s v="2026-01-22"/>
    <n v="320"/>
    <n v="5"/>
    <n v="32"/>
    <s v="Yes"/>
    <x v="0"/>
    <n v="-40"/>
    <n v="1.0869565217391304"/>
    <s v="Low Risk"/>
    <s v="Maintain Stock"/>
  </r>
  <r>
    <n v="71"/>
    <x v="52"/>
    <x v="4"/>
    <x v="1"/>
    <n v="179"/>
    <n v="137"/>
    <n v="98"/>
    <n v="380.08"/>
    <n v="270.95"/>
    <n v="89"/>
    <n v="15"/>
    <s v="2026-02-28"/>
    <n v="301"/>
    <n v="1"/>
    <n v="12"/>
    <s v="No"/>
    <x v="2"/>
    <n v="39"/>
    <n v="0.76536312849162014"/>
    <s v="Medium Risk"/>
    <s v="Monitor Sales"/>
  </r>
  <r>
    <n v="72"/>
    <x v="28"/>
    <x v="1"/>
    <x v="3"/>
    <n v="199"/>
    <n v="121"/>
    <n v="164"/>
    <n v="1151.72"/>
    <n v="659.11"/>
    <n v="149"/>
    <n v="7"/>
    <s v="2026-03-16"/>
    <n v="307"/>
    <n v="4"/>
    <n v="43"/>
    <s v="Yes"/>
    <x v="2"/>
    <n v="-43"/>
    <n v="0.60804020100502509"/>
    <s v="Medium Risk"/>
    <s v="Monitor Sales"/>
  </r>
  <r>
    <n v="73"/>
    <x v="50"/>
    <x v="4"/>
    <x v="2"/>
    <n v="228"/>
    <n v="119"/>
    <n v="165"/>
    <n v="3330.22"/>
    <n v="2078.6"/>
    <n v="53"/>
    <n v="14"/>
    <s v="2026-01-13"/>
    <n v="203"/>
    <n v="4"/>
    <n v="15"/>
    <s v="Yes"/>
    <x v="0"/>
    <n v="-46"/>
    <n v="0.52192982456140347"/>
    <s v="Medium Risk"/>
    <s v="Monitor Sales"/>
  </r>
  <r>
    <n v="74"/>
    <x v="53"/>
    <x v="4"/>
    <x v="0"/>
    <n v="127"/>
    <n v="0"/>
    <n v="31"/>
    <n v="4808.95"/>
    <n v="2887.91"/>
    <n v="149"/>
    <n v="4"/>
    <s v="2026-02-23"/>
    <n v="352"/>
    <n v="4"/>
    <n v="30"/>
    <s v="Yes"/>
    <x v="1"/>
    <n v="-31"/>
    <n v="0"/>
    <s v="High Risk"/>
    <s v="Apply Discount / Promotion"/>
  </r>
  <r>
    <n v="75"/>
    <x v="54"/>
    <x v="3"/>
    <x v="3"/>
    <n v="226"/>
    <n v="129"/>
    <n v="162"/>
    <n v="1326.04"/>
    <n v="839.65"/>
    <n v="103"/>
    <n v="12"/>
    <s v="2026-01-01"/>
    <n v="97"/>
    <n v="2"/>
    <n v="48"/>
    <s v="Yes"/>
    <x v="1"/>
    <n v="-33"/>
    <n v="0.57079646017699115"/>
    <s v="Medium Risk"/>
    <s v="Monitor Sales"/>
  </r>
  <r>
    <n v="76"/>
    <x v="55"/>
    <x v="4"/>
    <x v="1"/>
    <n v="251"/>
    <n v="131"/>
    <n v="104"/>
    <n v="1123.6500000000001"/>
    <n v="638.69000000000005"/>
    <n v="59"/>
    <n v="15"/>
    <s v="2026-01-15"/>
    <n v="341"/>
    <n v="2"/>
    <n v="43"/>
    <s v="No"/>
    <x v="2"/>
    <n v="27"/>
    <n v="0.52191235059760954"/>
    <s v="Medium Risk"/>
    <s v="Monitor Sales"/>
  </r>
  <r>
    <n v="77"/>
    <x v="41"/>
    <x v="0"/>
    <x v="2"/>
    <n v="425"/>
    <n v="112"/>
    <n v="67"/>
    <n v="1218.26"/>
    <n v="660.51"/>
    <n v="106"/>
    <n v="2"/>
    <s v="2026-02-09"/>
    <n v="83"/>
    <n v="3"/>
    <n v="29"/>
    <s v="No"/>
    <x v="1"/>
    <n v="45"/>
    <n v="0.2635294117647059"/>
    <s v="High Risk"/>
    <s v="Apply Discount / Promotion"/>
  </r>
  <r>
    <n v="78"/>
    <x v="19"/>
    <x v="3"/>
    <x v="2"/>
    <n v="58"/>
    <n v="360"/>
    <n v="367"/>
    <n v="2429.9"/>
    <n v="1590.87"/>
    <n v="112"/>
    <n v="3"/>
    <s v="2026-01-04"/>
    <n v="275"/>
    <n v="5"/>
    <n v="34"/>
    <s v="Yes"/>
    <x v="1"/>
    <n v="-7"/>
    <n v="6.2068965517241379"/>
    <s v="Low Risk"/>
    <s v="Maintain Stock"/>
  </r>
  <r>
    <n v="79"/>
    <x v="26"/>
    <x v="0"/>
    <x v="1"/>
    <n v="54"/>
    <n v="306"/>
    <n v="318"/>
    <n v="1682.54"/>
    <n v="1008.08"/>
    <n v="68"/>
    <n v="6"/>
    <s v="2026-03-20"/>
    <n v="320"/>
    <n v="1"/>
    <n v="1"/>
    <s v="Yes"/>
    <x v="0"/>
    <n v="-12"/>
    <n v="5.666666666666667"/>
    <s v="Low Risk"/>
    <s v="Maintain Stock"/>
  </r>
  <r>
    <n v="80"/>
    <x v="32"/>
    <x v="3"/>
    <x v="0"/>
    <n v="207"/>
    <n v="202"/>
    <n v="228"/>
    <n v="984.3"/>
    <n v="769.32"/>
    <n v="84"/>
    <n v="8"/>
    <s v="2026-01-02"/>
    <n v="134"/>
    <n v="3"/>
    <n v="32"/>
    <s v="No"/>
    <x v="1"/>
    <n v="-26"/>
    <n v="0.97584541062801933"/>
    <s v="Medium Risk"/>
    <s v="Monitor Sales"/>
  </r>
  <r>
    <n v="81"/>
    <x v="11"/>
    <x v="4"/>
    <x v="0"/>
    <n v="59"/>
    <n v="131"/>
    <n v="117"/>
    <n v="1900.12"/>
    <n v="1263.73"/>
    <n v="83"/>
    <n v="3"/>
    <s v="2026-01-18"/>
    <n v="320"/>
    <n v="5"/>
    <n v="7"/>
    <s v="Yes"/>
    <x v="0"/>
    <n v="14"/>
    <n v="2.2203389830508473"/>
    <s v="Low Risk"/>
    <s v="Maintain Stock"/>
  </r>
  <r>
    <n v="82"/>
    <x v="29"/>
    <x v="2"/>
    <x v="1"/>
    <n v="288"/>
    <n v="129"/>
    <n v="126"/>
    <n v="1113.52"/>
    <n v="562.73"/>
    <n v="105"/>
    <n v="14"/>
    <s v="2026-02-17"/>
    <n v="200"/>
    <n v="5"/>
    <n v="46"/>
    <s v="Yes"/>
    <x v="0"/>
    <n v="3"/>
    <n v="0.44791666666666669"/>
    <s v="High Risk"/>
    <s v="Apply Discount / Promotion"/>
  </r>
  <r>
    <n v="83"/>
    <x v="56"/>
    <x v="4"/>
    <x v="2"/>
    <n v="351"/>
    <n v="176"/>
    <n v="160"/>
    <n v="3534.37"/>
    <n v="2242.54"/>
    <n v="130"/>
    <n v="13"/>
    <s v="2026-01-06"/>
    <n v="53"/>
    <n v="4"/>
    <n v="9"/>
    <s v="Yes"/>
    <x v="2"/>
    <n v="16"/>
    <n v="0.50142450142450146"/>
    <s v="Medium Risk"/>
    <s v="Monitor Sales"/>
  </r>
  <r>
    <n v="84"/>
    <x v="24"/>
    <x v="4"/>
    <x v="0"/>
    <n v="46"/>
    <n v="301"/>
    <n v="330"/>
    <n v="953.14"/>
    <n v="658.09"/>
    <n v="99"/>
    <n v="14"/>
    <s v="2026-01-23"/>
    <n v="94"/>
    <n v="5"/>
    <n v="32"/>
    <s v="No"/>
    <x v="1"/>
    <n v="-29"/>
    <n v="6.5434782608695654"/>
    <s v="Low Risk"/>
    <s v="Maintain Stock"/>
  </r>
  <r>
    <n v="85"/>
    <x v="41"/>
    <x v="0"/>
    <x v="0"/>
    <n v="407"/>
    <n v="320"/>
    <n v="275"/>
    <n v="2337.2399999999998"/>
    <n v="1502.92"/>
    <n v="47"/>
    <n v="3"/>
    <s v="2026-03-21"/>
    <n v="109"/>
    <n v="2"/>
    <n v="6"/>
    <s v="No"/>
    <x v="0"/>
    <n v="45"/>
    <n v="0.78624078624078619"/>
    <s v="Medium Risk"/>
    <s v="Monitor Sales"/>
  </r>
  <r>
    <n v="86"/>
    <x v="48"/>
    <x v="1"/>
    <x v="3"/>
    <n v="267"/>
    <n v="156"/>
    <n v="126"/>
    <n v="1237.8"/>
    <n v="626.30999999999995"/>
    <n v="37"/>
    <n v="12"/>
    <s v="2026-03-01"/>
    <n v="149"/>
    <n v="3"/>
    <n v="15"/>
    <s v="Yes"/>
    <x v="0"/>
    <n v="30"/>
    <n v="0.5842696629213483"/>
    <s v="Medium Risk"/>
    <s v="Monitor Sales"/>
  </r>
  <r>
    <n v="87"/>
    <x v="13"/>
    <x v="0"/>
    <x v="3"/>
    <n v="58"/>
    <n v="359"/>
    <n v="378"/>
    <n v="629.83000000000004"/>
    <n v="388.89"/>
    <n v="139"/>
    <n v="14"/>
    <s v="2026-03-08"/>
    <n v="299"/>
    <n v="2"/>
    <n v="20"/>
    <s v="Yes"/>
    <x v="0"/>
    <n v="-19"/>
    <n v="6.1896551724137927"/>
    <s v="Low Risk"/>
    <s v="Maintain Stock"/>
  </r>
  <r>
    <n v="88"/>
    <x v="57"/>
    <x v="1"/>
    <x v="1"/>
    <n v="80"/>
    <n v="266"/>
    <n v="291"/>
    <n v="3910.17"/>
    <n v="2184.85"/>
    <n v="104"/>
    <n v="12"/>
    <s v="2026-02-28"/>
    <n v="116"/>
    <n v="1"/>
    <n v="33"/>
    <s v="Yes"/>
    <x v="1"/>
    <n v="-25"/>
    <n v="3.3250000000000002"/>
    <s v="Low Risk"/>
    <s v="Maintain Stock"/>
  </r>
  <r>
    <n v="89"/>
    <x v="15"/>
    <x v="1"/>
    <x v="1"/>
    <n v="487"/>
    <n v="60"/>
    <n v="53"/>
    <n v="4846.84"/>
    <n v="2571.56"/>
    <n v="103"/>
    <n v="14"/>
    <s v="2026-01-26"/>
    <n v="97"/>
    <n v="2"/>
    <n v="29"/>
    <s v="No"/>
    <x v="1"/>
    <n v="7"/>
    <n v="0.12320328542094455"/>
    <s v="High Risk"/>
    <s v="Apply Discount / Promotion"/>
  </r>
  <r>
    <n v="90"/>
    <x v="13"/>
    <x v="3"/>
    <x v="1"/>
    <n v="417"/>
    <n v="227"/>
    <n v="264"/>
    <n v="1352.27"/>
    <n v="968.91"/>
    <n v="150"/>
    <n v="12"/>
    <s v="2026-01-03"/>
    <n v="227"/>
    <n v="2"/>
    <n v="25"/>
    <s v="No"/>
    <x v="0"/>
    <n v="-37"/>
    <n v="0.54436450839328532"/>
    <s v="Medium Risk"/>
    <s v="Monitor Sales"/>
  </r>
  <r>
    <n v="91"/>
    <x v="46"/>
    <x v="2"/>
    <x v="0"/>
    <n v="196"/>
    <n v="48"/>
    <n v="31"/>
    <n v="2376.86"/>
    <n v="1472.52"/>
    <n v="86"/>
    <n v="3"/>
    <s v="2026-03-25"/>
    <n v="187"/>
    <n v="2"/>
    <n v="44"/>
    <s v="No"/>
    <x v="0"/>
    <n v="17"/>
    <n v="0.24489795918367346"/>
    <s v="High Risk"/>
    <s v="Apply Discount / Promotion"/>
  </r>
  <r>
    <n v="92"/>
    <x v="2"/>
    <x v="2"/>
    <x v="2"/>
    <n v="275"/>
    <n v="316"/>
    <n v="307"/>
    <n v="3085.34"/>
    <n v="2256.67"/>
    <n v="104"/>
    <n v="2"/>
    <s v="2026-01-15"/>
    <n v="304"/>
    <n v="3"/>
    <n v="26"/>
    <s v="No"/>
    <x v="1"/>
    <n v="9"/>
    <n v="1.1490909090909092"/>
    <s v="Low Risk"/>
    <s v="Maintain Stock"/>
  </r>
  <r>
    <n v="93"/>
    <x v="58"/>
    <x v="2"/>
    <x v="1"/>
    <n v="440"/>
    <n v="407"/>
    <n v="364"/>
    <n v="4544.99"/>
    <n v="3096.86"/>
    <n v="80"/>
    <n v="11"/>
    <s v="2026-02-27"/>
    <n v="317"/>
    <n v="3"/>
    <n v="11"/>
    <s v="Yes"/>
    <x v="2"/>
    <n v="43"/>
    <n v="0.92500000000000004"/>
    <s v="Medium Risk"/>
    <s v="Monitor Sales"/>
  </r>
  <r>
    <n v="94"/>
    <x v="59"/>
    <x v="2"/>
    <x v="0"/>
    <n v="34"/>
    <n v="253"/>
    <n v="238"/>
    <n v="289.08"/>
    <n v="151.38"/>
    <n v="65"/>
    <n v="3"/>
    <s v="2026-01-30"/>
    <n v="110"/>
    <n v="2"/>
    <n v="21"/>
    <s v="No"/>
    <x v="1"/>
    <n v="15"/>
    <n v="7.4411764705882355"/>
    <s v="Low Risk"/>
    <s v="Maintain Stock"/>
  </r>
  <r>
    <n v="95"/>
    <x v="60"/>
    <x v="1"/>
    <x v="2"/>
    <n v="392"/>
    <n v="99"/>
    <n v="93"/>
    <n v="4662.72"/>
    <n v="3071.66"/>
    <n v="110"/>
    <n v="15"/>
    <s v="2026-02-21"/>
    <n v="301"/>
    <n v="1"/>
    <n v="0"/>
    <s v="No"/>
    <x v="1"/>
    <n v="6"/>
    <n v="0.25255102040816324"/>
    <s v="High Risk"/>
    <s v="Apply Discount / Promotion"/>
  </r>
  <r>
    <n v="96"/>
    <x v="42"/>
    <x v="4"/>
    <x v="2"/>
    <n v="443"/>
    <n v="293"/>
    <n v="341"/>
    <n v="4445.2299999999996"/>
    <n v="2556.14"/>
    <n v="138"/>
    <n v="2"/>
    <s v="2025-12-29"/>
    <n v="205"/>
    <n v="1"/>
    <n v="26"/>
    <s v="No"/>
    <x v="1"/>
    <n v="-48"/>
    <n v="0.66139954853273142"/>
    <s v="Medium Risk"/>
    <s v="Monitor Sales"/>
  </r>
  <r>
    <n v="97"/>
    <x v="12"/>
    <x v="0"/>
    <x v="2"/>
    <n v="203"/>
    <n v="224"/>
    <n v="201"/>
    <n v="3719.44"/>
    <n v="2725.79"/>
    <n v="34"/>
    <n v="10"/>
    <s v="2026-02-15"/>
    <n v="279"/>
    <n v="4"/>
    <n v="9"/>
    <s v="No"/>
    <x v="1"/>
    <n v="23"/>
    <n v="1.103448275862069"/>
    <s v="Low Risk"/>
    <s v="Maintain Stock"/>
  </r>
  <r>
    <n v="98"/>
    <x v="37"/>
    <x v="4"/>
    <x v="1"/>
    <n v="79"/>
    <n v="51"/>
    <n v="25"/>
    <n v="1976.01"/>
    <n v="1118.94"/>
    <n v="57"/>
    <n v="1"/>
    <s v="2026-02-22"/>
    <n v="33"/>
    <n v="5"/>
    <n v="45"/>
    <s v="Yes"/>
    <x v="0"/>
    <n v="26"/>
    <n v="0.64556962025316456"/>
    <s v="Medium Risk"/>
    <s v="Monitor Sales"/>
  </r>
  <r>
    <n v="99"/>
    <x v="24"/>
    <x v="0"/>
    <x v="2"/>
    <n v="113"/>
    <n v="339"/>
    <n v="291"/>
    <n v="4406.3"/>
    <n v="2311.08"/>
    <n v="104"/>
    <n v="2"/>
    <s v="2026-01-14"/>
    <n v="116"/>
    <n v="5"/>
    <n v="13"/>
    <s v="Yes"/>
    <x v="2"/>
    <n v="48"/>
    <n v="3"/>
    <s v="Low Risk"/>
    <s v="Maintain Stock"/>
  </r>
  <r>
    <n v="100"/>
    <x v="46"/>
    <x v="2"/>
    <x v="2"/>
    <n v="120"/>
    <n v="100"/>
    <n v="132"/>
    <n v="2984.26"/>
    <n v="2339.33"/>
    <n v="57"/>
    <n v="6"/>
    <s v="2026-01-18"/>
    <n v="275"/>
    <n v="2"/>
    <n v="30"/>
    <s v="Yes"/>
    <x v="0"/>
    <n v="-32"/>
    <n v="0.83333333333333337"/>
    <s v="Medium Risk"/>
    <s v="Monitor Sales"/>
  </r>
  <r>
    <n v="101"/>
    <x v="17"/>
    <x v="3"/>
    <x v="1"/>
    <n v="204"/>
    <n v="262"/>
    <n v="239"/>
    <n v="311.14"/>
    <n v="190.84"/>
    <n v="72"/>
    <n v="12"/>
    <s v="2026-03-10"/>
    <n v="138"/>
    <n v="3"/>
    <n v="25"/>
    <s v="Yes"/>
    <x v="0"/>
    <n v="23"/>
    <n v="1.2843137254901962"/>
    <s v="Low Risk"/>
    <s v="Maintain Stock"/>
  </r>
  <r>
    <n v="102"/>
    <x v="59"/>
    <x v="3"/>
    <x v="2"/>
    <n v="108"/>
    <n v="234"/>
    <n v="270"/>
    <n v="1164.8599999999999"/>
    <n v="880.48"/>
    <n v="36"/>
    <n v="14"/>
    <s v="2026-02-23"/>
    <n v="346"/>
    <n v="3"/>
    <n v="50"/>
    <s v="No"/>
    <x v="1"/>
    <n v="-36"/>
    <n v="2.1666666666666665"/>
    <s v="Low Risk"/>
    <s v="Maintain Stock"/>
  </r>
  <r>
    <n v="103"/>
    <x v="42"/>
    <x v="0"/>
    <x v="2"/>
    <n v="412"/>
    <n v="28"/>
    <n v="27"/>
    <n v="4429.12"/>
    <n v="3198.36"/>
    <n v="146"/>
    <n v="8"/>
    <s v="2026-03-18"/>
    <n v="209"/>
    <n v="1"/>
    <n v="5"/>
    <s v="No"/>
    <x v="0"/>
    <n v="1"/>
    <n v="6.7961165048543687E-2"/>
    <s v="High Risk"/>
    <s v="Apply Discount / Promotion"/>
  </r>
  <r>
    <n v="104"/>
    <x v="42"/>
    <x v="4"/>
    <x v="0"/>
    <n v="25"/>
    <n v="169"/>
    <n v="164"/>
    <n v="3224.81"/>
    <n v="2548.08"/>
    <n v="89"/>
    <n v="5"/>
    <s v="2026-03-03"/>
    <n v="334"/>
    <n v="1"/>
    <n v="38"/>
    <s v="Yes"/>
    <x v="1"/>
    <n v="5"/>
    <n v="6.76"/>
    <s v="Low Risk"/>
    <s v="Maintain Stock"/>
  </r>
  <r>
    <n v="105"/>
    <x v="15"/>
    <x v="1"/>
    <x v="2"/>
    <n v="41"/>
    <n v="34"/>
    <n v="31"/>
    <n v="3711.56"/>
    <n v="2309.4299999999998"/>
    <n v="114"/>
    <n v="5"/>
    <s v="2026-01-27"/>
    <n v="117"/>
    <n v="3"/>
    <n v="31"/>
    <s v="No"/>
    <x v="2"/>
    <n v="3"/>
    <n v="0.82926829268292679"/>
    <s v="Medium Risk"/>
    <s v="Monitor Sales"/>
  </r>
  <r>
    <n v="106"/>
    <x v="61"/>
    <x v="4"/>
    <x v="1"/>
    <n v="39"/>
    <n v="278"/>
    <n v="242"/>
    <n v="2443.75"/>
    <n v="1808.58"/>
    <n v="112"/>
    <n v="4"/>
    <s v="2026-03-12"/>
    <n v="62"/>
    <n v="1"/>
    <n v="47"/>
    <s v="Yes"/>
    <x v="2"/>
    <n v="36"/>
    <n v="7.1282051282051286"/>
    <s v="Low Risk"/>
    <s v="Maintain Stock"/>
  </r>
  <r>
    <n v="107"/>
    <x v="37"/>
    <x v="3"/>
    <x v="1"/>
    <n v="247"/>
    <n v="190"/>
    <n v="193"/>
    <n v="1128.68"/>
    <n v="735.28"/>
    <n v="117"/>
    <n v="2"/>
    <s v="2026-01-11"/>
    <n v="118"/>
    <n v="1"/>
    <n v="41"/>
    <s v="Yes"/>
    <x v="1"/>
    <n v="-3"/>
    <n v="0.76923076923076927"/>
    <s v="Medium Risk"/>
    <s v="Monitor Sales"/>
  </r>
  <r>
    <n v="108"/>
    <x v="62"/>
    <x v="3"/>
    <x v="3"/>
    <n v="230"/>
    <n v="47"/>
    <n v="77"/>
    <n v="3341.89"/>
    <n v="2404.85"/>
    <n v="81"/>
    <n v="3"/>
    <s v="2026-03-22"/>
    <n v="310"/>
    <n v="1"/>
    <n v="30"/>
    <s v="No"/>
    <x v="2"/>
    <n v="-30"/>
    <n v="0.20434782608695654"/>
    <s v="High Risk"/>
    <s v="Apply Discount / Promotion"/>
  </r>
  <r>
    <n v="109"/>
    <x v="4"/>
    <x v="4"/>
    <x v="0"/>
    <n v="253"/>
    <n v="152"/>
    <n v="157"/>
    <n v="82.25"/>
    <n v="60.49"/>
    <n v="49"/>
    <n v="10"/>
    <s v="2026-01-02"/>
    <n v="319"/>
    <n v="4"/>
    <n v="20"/>
    <s v="Yes"/>
    <x v="2"/>
    <n v="-5"/>
    <n v="0.60079051383399207"/>
    <s v="Medium Risk"/>
    <s v="Monitor Sales"/>
  </r>
  <r>
    <n v="110"/>
    <x v="63"/>
    <x v="2"/>
    <x v="2"/>
    <n v="379"/>
    <n v="203"/>
    <n v="164"/>
    <n v="2810.5"/>
    <n v="1938.67"/>
    <n v="57"/>
    <n v="15"/>
    <s v="2026-02-06"/>
    <n v="289"/>
    <n v="1"/>
    <n v="17"/>
    <s v="No"/>
    <x v="0"/>
    <n v="39"/>
    <n v="0.53562005277044855"/>
    <s v="Medium Risk"/>
    <s v="Monitor Sales"/>
  </r>
  <r>
    <n v="111"/>
    <x v="3"/>
    <x v="1"/>
    <x v="2"/>
    <n v="207"/>
    <n v="125"/>
    <n v="174"/>
    <n v="3323.76"/>
    <n v="2415.0100000000002"/>
    <n v="37"/>
    <n v="14"/>
    <s v="2026-01-17"/>
    <n v="178"/>
    <n v="3"/>
    <n v="21"/>
    <s v="Yes"/>
    <x v="0"/>
    <n v="-49"/>
    <n v="0.60386473429951693"/>
    <s v="Medium Risk"/>
    <s v="Monitor Sales"/>
  </r>
  <r>
    <n v="112"/>
    <x v="64"/>
    <x v="2"/>
    <x v="0"/>
    <n v="348"/>
    <n v="199"/>
    <n v="199"/>
    <n v="4020.03"/>
    <n v="2334.7199999999998"/>
    <n v="125"/>
    <n v="12"/>
    <s v="2026-02-21"/>
    <n v="318"/>
    <n v="5"/>
    <n v="1"/>
    <s v="Yes"/>
    <x v="1"/>
    <n v="0"/>
    <n v="0.57183908045977017"/>
    <s v="Medium Risk"/>
    <s v="Monitor Sales"/>
  </r>
  <r>
    <n v="113"/>
    <x v="65"/>
    <x v="1"/>
    <x v="1"/>
    <n v="218"/>
    <n v="232"/>
    <n v="246"/>
    <n v="196.5"/>
    <n v="148.58000000000001"/>
    <n v="54"/>
    <n v="7"/>
    <s v="2026-03-23"/>
    <n v="138"/>
    <n v="5"/>
    <n v="28"/>
    <s v="Yes"/>
    <x v="1"/>
    <n v="-14"/>
    <n v="1.0642201834862386"/>
    <s v="Low Risk"/>
    <s v="Maintain Stock"/>
  </r>
  <r>
    <n v="114"/>
    <x v="13"/>
    <x v="1"/>
    <x v="3"/>
    <n v="139"/>
    <n v="256"/>
    <n v="213"/>
    <n v="792.88"/>
    <n v="444.94"/>
    <n v="107"/>
    <n v="11"/>
    <s v="2026-03-27"/>
    <n v="38"/>
    <n v="5"/>
    <n v="1"/>
    <s v="No"/>
    <x v="2"/>
    <n v="43"/>
    <n v="1.8417266187050361"/>
    <s v="Low Risk"/>
    <s v="Maintain Stock"/>
  </r>
  <r>
    <n v="115"/>
    <x v="52"/>
    <x v="0"/>
    <x v="0"/>
    <n v="22"/>
    <n v="368"/>
    <n v="368"/>
    <n v="1203.8699999999999"/>
    <n v="850.7"/>
    <n v="77"/>
    <n v="8"/>
    <s v="2026-01-10"/>
    <n v="41"/>
    <n v="4"/>
    <n v="32"/>
    <s v="No"/>
    <x v="2"/>
    <n v="0"/>
    <n v="16.727272727272727"/>
    <s v="Low Risk"/>
    <s v="Maintain Stock"/>
  </r>
  <r>
    <n v="116"/>
    <x v="66"/>
    <x v="4"/>
    <x v="0"/>
    <n v="375"/>
    <n v="85"/>
    <n v="78"/>
    <n v="4233.29"/>
    <n v="2503.04"/>
    <n v="48"/>
    <n v="6"/>
    <s v="2026-01-27"/>
    <n v="145"/>
    <n v="1"/>
    <n v="12"/>
    <s v="Yes"/>
    <x v="0"/>
    <n v="7"/>
    <n v="0.22666666666666666"/>
    <s v="High Risk"/>
    <s v="Apply Discount / Promotion"/>
  </r>
  <r>
    <n v="117"/>
    <x v="67"/>
    <x v="3"/>
    <x v="1"/>
    <n v="479"/>
    <n v="193"/>
    <n v="202"/>
    <n v="4870.22"/>
    <n v="2643.01"/>
    <n v="77"/>
    <n v="3"/>
    <s v="2026-01-07"/>
    <n v="79"/>
    <n v="3"/>
    <n v="18"/>
    <s v="No"/>
    <x v="2"/>
    <n v="-9"/>
    <n v="0.40292275574112735"/>
    <s v="High Risk"/>
    <s v="Apply Discount / Promotion"/>
  </r>
  <r>
    <n v="118"/>
    <x v="17"/>
    <x v="2"/>
    <x v="3"/>
    <n v="63"/>
    <n v="333"/>
    <n v="377"/>
    <n v="1845.42"/>
    <n v="1212.06"/>
    <n v="33"/>
    <n v="14"/>
    <s v="2026-03-10"/>
    <n v="81"/>
    <n v="3"/>
    <n v="21"/>
    <s v="Yes"/>
    <x v="1"/>
    <n v="-44"/>
    <n v="5.2857142857142856"/>
    <s v="Low Risk"/>
    <s v="Maintain Stock"/>
  </r>
  <r>
    <n v="119"/>
    <x v="68"/>
    <x v="4"/>
    <x v="3"/>
    <n v="423"/>
    <n v="169"/>
    <n v="141"/>
    <n v="4346.24"/>
    <n v="2180.3000000000002"/>
    <n v="35"/>
    <n v="6"/>
    <s v="2026-03-26"/>
    <n v="257"/>
    <n v="5"/>
    <n v="45"/>
    <s v="No"/>
    <x v="2"/>
    <n v="28"/>
    <n v="0.39952718676122934"/>
    <s v="High Risk"/>
    <s v="Apply Discount / Promotion"/>
  </r>
  <r>
    <n v="120"/>
    <x v="41"/>
    <x v="4"/>
    <x v="0"/>
    <n v="235"/>
    <n v="37"/>
    <n v="29"/>
    <n v="3526.87"/>
    <n v="2408.77"/>
    <n v="92"/>
    <n v="8"/>
    <s v="2026-01-22"/>
    <n v="356"/>
    <n v="2"/>
    <n v="2"/>
    <s v="No"/>
    <x v="1"/>
    <n v="8"/>
    <n v="0.1574468085106383"/>
    <s v="High Risk"/>
    <s v="Apply Discount / Promotion"/>
  </r>
  <r>
    <n v="121"/>
    <x v="1"/>
    <x v="3"/>
    <x v="3"/>
    <n v="459"/>
    <n v="32"/>
    <n v="79"/>
    <n v="4728.5600000000004"/>
    <n v="2557.63"/>
    <n v="84"/>
    <n v="15"/>
    <s v="2026-02-28"/>
    <n v="348"/>
    <n v="5"/>
    <n v="22"/>
    <s v="Yes"/>
    <x v="2"/>
    <n v="-47"/>
    <n v="6.9716775599128547E-2"/>
    <s v="High Risk"/>
    <s v="Apply Discount / Promotion"/>
  </r>
  <r>
    <n v="122"/>
    <x v="69"/>
    <x v="2"/>
    <x v="1"/>
    <n v="311"/>
    <n v="101"/>
    <n v="55"/>
    <n v="403.05"/>
    <n v="306.63"/>
    <n v="36"/>
    <n v="8"/>
    <s v="2026-01-06"/>
    <n v="192"/>
    <n v="1"/>
    <n v="30"/>
    <s v="No"/>
    <x v="1"/>
    <n v="46"/>
    <n v="0.32475884244372988"/>
    <s v="High Risk"/>
    <s v="Apply Discount / Promotion"/>
  </r>
  <r>
    <n v="123"/>
    <x v="15"/>
    <x v="2"/>
    <x v="0"/>
    <n v="478"/>
    <n v="281"/>
    <n v="271"/>
    <n v="3628.43"/>
    <n v="2666.47"/>
    <n v="40"/>
    <n v="8"/>
    <s v="2026-03-01"/>
    <n v="130"/>
    <n v="2"/>
    <n v="29"/>
    <s v="Yes"/>
    <x v="0"/>
    <n v="10"/>
    <n v="0.58786610878661083"/>
    <s v="Medium Risk"/>
    <s v="Monitor Sales"/>
  </r>
  <r>
    <n v="124"/>
    <x v="7"/>
    <x v="0"/>
    <x v="1"/>
    <n v="463"/>
    <n v="271"/>
    <n v="249"/>
    <n v="903.46"/>
    <n v="605.46"/>
    <n v="42"/>
    <n v="10"/>
    <s v="2025-12-30"/>
    <n v="94"/>
    <n v="3"/>
    <n v="3"/>
    <s v="Yes"/>
    <x v="0"/>
    <n v="22"/>
    <n v="0.58531317494600432"/>
    <s v="Medium Risk"/>
    <s v="Monitor Sales"/>
  </r>
  <r>
    <n v="125"/>
    <x v="56"/>
    <x v="1"/>
    <x v="3"/>
    <n v="459"/>
    <n v="347"/>
    <n v="300"/>
    <n v="1776.97"/>
    <n v="1226.25"/>
    <n v="82"/>
    <n v="7"/>
    <s v="2026-01-19"/>
    <n v="52"/>
    <n v="4"/>
    <n v="25"/>
    <s v="Yes"/>
    <x v="1"/>
    <n v="47"/>
    <n v="0.75599128540305016"/>
    <s v="Medium Risk"/>
    <s v="Monitor Sales"/>
  </r>
  <r>
    <n v="126"/>
    <x v="21"/>
    <x v="0"/>
    <x v="3"/>
    <n v="213"/>
    <n v="190"/>
    <n v="222"/>
    <n v="984.42"/>
    <n v="742.83"/>
    <n v="37"/>
    <n v="10"/>
    <s v="2026-01-16"/>
    <n v="95"/>
    <n v="1"/>
    <n v="36"/>
    <s v="No"/>
    <x v="0"/>
    <n v="-32"/>
    <n v="0.892018779342723"/>
    <s v="Medium Risk"/>
    <s v="Monitor Sales"/>
  </r>
  <r>
    <n v="127"/>
    <x v="58"/>
    <x v="0"/>
    <x v="1"/>
    <n v="409"/>
    <n v="338"/>
    <n v="312"/>
    <n v="4807.82"/>
    <n v="2703.86"/>
    <n v="100"/>
    <n v="6"/>
    <s v="2026-02-08"/>
    <n v="315"/>
    <n v="2"/>
    <n v="19"/>
    <s v="No"/>
    <x v="1"/>
    <n v="26"/>
    <n v="0.82640586797066018"/>
    <s v="Medium Risk"/>
    <s v="Monitor Sales"/>
  </r>
  <r>
    <n v="128"/>
    <x v="46"/>
    <x v="0"/>
    <x v="3"/>
    <n v="79"/>
    <n v="208"/>
    <n v="188"/>
    <n v="203.31"/>
    <n v="106.93"/>
    <n v="137"/>
    <n v="7"/>
    <s v="2026-02-12"/>
    <n v="82"/>
    <n v="3"/>
    <n v="27"/>
    <s v="Yes"/>
    <x v="0"/>
    <n v="20"/>
    <n v="2.6329113924050631"/>
    <s v="Low Risk"/>
    <s v="Maintain Stock"/>
  </r>
  <r>
    <n v="129"/>
    <x v="70"/>
    <x v="4"/>
    <x v="2"/>
    <n v="37"/>
    <n v="393"/>
    <n v="343"/>
    <n v="710.49"/>
    <n v="411.47"/>
    <n v="121"/>
    <n v="12"/>
    <s v="2026-03-07"/>
    <n v="63"/>
    <n v="3"/>
    <n v="12"/>
    <s v="Yes"/>
    <x v="1"/>
    <n v="50"/>
    <n v="10.621621621621621"/>
    <s v="Low Risk"/>
    <s v="Maintain Stock"/>
  </r>
  <r>
    <n v="130"/>
    <x v="71"/>
    <x v="1"/>
    <x v="1"/>
    <n v="79"/>
    <n v="287"/>
    <n v="277"/>
    <n v="208.32"/>
    <n v="156.94999999999999"/>
    <n v="63"/>
    <n v="1"/>
    <s v="2026-02-10"/>
    <n v="100"/>
    <n v="4"/>
    <n v="41"/>
    <s v="No"/>
    <x v="2"/>
    <n v="10"/>
    <n v="3.6329113924050631"/>
    <s v="Low Risk"/>
    <s v="Maintain Stock"/>
  </r>
  <r>
    <n v="131"/>
    <x v="72"/>
    <x v="1"/>
    <x v="2"/>
    <n v="328"/>
    <n v="154"/>
    <n v="192"/>
    <n v="3085.86"/>
    <n v="2384.0700000000002"/>
    <n v="77"/>
    <n v="13"/>
    <s v="2026-03-06"/>
    <n v="33"/>
    <n v="4"/>
    <n v="28"/>
    <s v="Yes"/>
    <x v="2"/>
    <n v="-38"/>
    <n v="0.46951219512195119"/>
    <s v="High Risk"/>
    <s v="Apply Discount / Promotion"/>
  </r>
  <r>
    <n v="132"/>
    <x v="61"/>
    <x v="2"/>
    <x v="1"/>
    <n v="407"/>
    <n v="36"/>
    <n v="48"/>
    <n v="4975.29"/>
    <n v="3424.71"/>
    <n v="112"/>
    <n v="5"/>
    <s v="2026-02-16"/>
    <n v="255"/>
    <n v="3"/>
    <n v="43"/>
    <s v="No"/>
    <x v="2"/>
    <n v="-12"/>
    <n v="8.8452088452088448E-2"/>
    <s v="High Risk"/>
    <s v="Apply Discount / Promotion"/>
  </r>
  <r>
    <n v="133"/>
    <x v="24"/>
    <x v="4"/>
    <x v="1"/>
    <n v="276"/>
    <n v="339"/>
    <n v="344"/>
    <n v="772.12"/>
    <n v="406.49"/>
    <n v="142"/>
    <n v="2"/>
    <s v="2026-03-02"/>
    <n v="135"/>
    <n v="1"/>
    <n v="4"/>
    <s v="Yes"/>
    <x v="0"/>
    <n v="-5"/>
    <n v="1.2282608695652173"/>
    <s v="Low Risk"/>
    <s v="Maintain Stock"/>
  </r>
  <r>
    <n v="134"/>
    <x v="73"/>
    <x v="0"/>
    <x v="2"/>
    <n v="127"/>
    <n v="186"/>
    <n v="179"/>
    <n v="2247.4299999999998"/>
    <n v="1360.39"/>
    <n v="88"/>
    <n v="4"/>
    <s v="2026-02-22"/>
    <n v="283"/>
    <n v="1"/>
    <n v="14"/>
    <s v="Yes"/>
    <x v="2"/>
    <n v="7"/>
    <n v="1.4645669291338583"/>
    <s v="Low Risk"/>
    <s v="Maintain Stock"/>
  </r>
  <r>
    <n v="135"/>
    <x v="2"/>
    <x v="1"/>
    <x v="3"/>
    <n v="262"/>
    <n v="286"/>
    <n v="327"/>
    <n v="3016.62"/>
    <n v="2207.46"/>
    <n v="70"/>
    <n v="3"/>
    <s v="2026-02-17"/>
    <n v="30"/>
    <n v="2"/>
    <n v="33"/>
    <s v="Yes"/>
    <x v="1"/>
    <n v="-41"/>
    <n v="1.0916030534351144"/>
    <s v="Low Risk"/>
    <s v="Maintain Stock"/>
  </r>
  <r>
    <n v="136"/>
    <x v="4"/>
    <x v="1"/>
    <x v="0"/>
    <n v="483"/>
    <n v="379"/>
    <n v="390"/>
    <n v="4162.53"/>
    <n v="2375.23"/>
    <n v="59"/>
    <n v="6"/>
    <s v="2026-01-11"/>
    <n v="298"/>
    <n v="1"/>
    <n v="42"/>
    <s v="No"/>
    <x v="2"/>
    <n v="-11"/>
    <n v="0.78467908902691508"/>
    <s v="Medium Risk"/>
    <s v="Monitor Sales"/>
  </r>
  <r>
    <n v="137"/>
    <x v="4"/>
    <x v="3"/>
    <x v="0"/>
    <n v="81"/>
    <n v="258"/>
    <n v="241"/>
    <n v="1486.17"/>
    <n v="958.19"/>
    <n v="74"/>
    <n v="7"/>
    <s v="2026-03-08"/>
    <n v="38"/>
    <n v="4"/>
    <n v="35"/>
    <s v="Yes"/>
    <x v="1"/>
    <n v="17"/>
    <n v="3.1851851851851851"/>
    <s v="Low Risk"/>
    <s v="Maintain Stock"/>
  </r>
  <r>
    <n v="138"/>
    <x v="1"/>
    <x v="0"/>
    <x v="3"/>
    <n v="297"/>
    <n v="369"/>
    <n v="380"/>
    <n v="3021.4"/>
    <n v="2210.1999999999998"/>
    <n v="96"/>
    <n v="14"/>
    <s v="2026-03-08"/>
    <n v="143"/>
    <n v="4"/>
    <n v="39"/>
    <s v="No"/>
    <x v="1"/>
    <n v="-11"/>
    <n v="1.2424242424242424"/>
    <s v="Low Risk"/>
    <s v="Maintain Stock"/>
  </r>
  <r>
    <n v="139"/>
    <x v="60"/>
    <x v="0"/>
    <x v="2"/>
    <n v="50"/>
    <n v="7"/>
    <n v="11"/>
    <n v="2066.42"/>
    <n v="1474.32"/>
    <n v="109"/>
    <n v="13"/>
    <s v="2026-03-14"/>
    <n v="61"/>
    <n v="4"/>
    <n v="16"/>
    <s v="No"/>
    <x v="2"/>
    <n v="-4"/>
    <n v="0.14000000000000001"/>
    <s v="High Risk"/>
    <s v="Apply Discount / Promotion"/>
  </r>
  <r>
    <n v="140"/>
    <x v="10"/>
    <x v="3"/>
    <x v="2"/>
    <n v="307"/>
    <n v="298"/>
    <n v="288"/>
    <n v="2624.48"/>
    <n v="1699.76"/>
    <n v="120"/>
    <n v="2"/>
    <s v="2026-03-01"/>
    <n v="119"/>
    <n v="4"/>
    <n v="47"/>
    <s v="No"/>
    <x v="0"/>
    <n v="10"/>
    <n v="0.97068403908794787"/>
    <s v="Medium Risk"/>
    <s v="Monitor Sales"/>
  </r>
  <r>
    <n v="141"/>
    <x v="35"/>
    <x v="1"/>
    <x v="3"/>
    <n v="136"/>
    <n v="157"/>
    <n v="121"/>
    <n v="3501.27"/>
    <n v="2182.3200000000002"/>
    <n v="60"/>
    <n v="13"/>
    <s v="2026-03-26"/>
    <n v="47"/>
    <n v="4"/>
    <n v="4"/>
    <s v="Yes"/>
    <x v="1"/>
    <n v="36"/>
    <n v="1.1544117647058822"/>
    <s v="Low Risk"/>
    <s v="Maintain Stock"/>
  </r>
  <r>
    <n v="142"/>
    <x v="74"/>
    <x v="2"/>
    <x v="1"/>
    <n v="115"/>
    <n v="186"/>
    <n v="212"/>
    <n v="4334.8999999999996"/>
    <n v="3298.07"/>
    <n v="72"/>
    <n v="11"/>
    <s v="2026-03-01"/>
    <n v="224"/>
    <n v="1"/>
    <n v="2"/>
    <s v="Yes"/>
    <x v="0"/>
    <n v="-26"/>
    <n v="1.6173913043478261"/>
    <s v="Low Risk"/>
    <s v="Maintain Stock"/>
  </r>
  <r>
    <n v="143"/>
    <x v="53"/>
    <x v="4"/>
    <x v="0"/>
    <n v="68"/>
    <n v="50"/>
    <n v="36"/>
    <n v="1861.74"/>
    <n v="1200.03"/>
    <n v="130"/>
    <n v="13"/>
    <s v="2026-02-12"/>
    <n v="274"/>
    <n v="2"/>
    <n v="14"/>
    <s v="Yes"/>
    <x v="1"/>
    <n v="14"/>
    <n v="0.73529411764705888"/>
    <s v="Medium Risk"/>
    <s v="Monitor Sales"/>
  </r>
  <r>
    <n v="144"/>
    <x v="26"/>
    <x v="0"/>
    <x v="0"/>
    <n v="143"/>
    <n v="270"/>
    <n v="228"/>
    <n v="561.08000000000004"/>
    <n v="345.23"/>
    <n v="31"/>
    <n v="6"/>
    <s v="2026-01-04"/>
    <n v="357"/>
    <n v="1"/>
    <n v="17"/>
    <s v="Yes"/>
    <x v="1"/>
    <n v="42"/>
    <n v="1.8881118881118881"/>
    <s v="Low Risk"/>
    <s v="Maintain Stock"/>
  </r>
  <r>
    <n v="145"/>
    <x v="75"/>
    <x v="2"/>
    <x v="3"/>
    <n v="241"/>
    <n v="409"/>
    <n v="377"/>
    <n v="3051.31"/>
    <n v="1870"/>
    <n v="52"/>
    <n v="5"/>
    <s v="2026-02-16"/>
    <n v="364"/>
    <n v="5"/>
    <n v="46"/>
    <s v="No"/>
    <x v="0"/>
    <n v="32"/>
    <n v="1.6970954356846473"/>
    <s v="Low Risk"/>
    <s v="Maintain Stock"/>
  </r>
  <r>
    <n v="146"/>
    <x v="9"/>
    <x v="0"/>
    <x v="2"/>
    <n v="469"/>
    <n v="379"/>
    <n v="396"/>
    <n v="2331.48"/>
    <n v="1322.63"/>
    <n v="101"/>
    <n v="15"/>
    <s v="2026-03-04"/>
    <n v="312"/>
    <n v="4"/>
    <n v="23"/>
    <s v="No"/>
    <x v="2"/>
    <n v="-17"/>
    <n v="0.8081023454157783"/>
    <s v="Medium Risk"/>
    <s v="Monitor Sales"/>
  </r>
  <r>
    <n v="147"/>
    <x v="76"/>
    <x v="1"/>
    <x v="3"/>
    <n v="69"/>
    <n v="114"/>
    <n v="151"/>
    <n v="2301.63"/>
    <n v="1221.3800000000001"/>
    <n v="149"/>
    <n v="10"/>
    <s v="2026-02-28"/>
    <n v="76"/>
    <n v="2"/>
    <n v="44"/>
    <s v="No"/>
    <x v="0"/>
    <n v="-37"/>
    <n v="1.6521739130434783"/>
    <s v="Low Risk"/>
    <s v="Maintain Stock"/>
  </r>
  <r>
    <n v="148"/>
    <x v="65"/>
    <x v="0"/>
    <x v="2"/>
    <n v="102"/>
    <n v="3"/>
    <n v="38"/>
    <n v="2231.06"/>
    <n v="1444.83"/>
    <n v="148"/>
    <n v="14"/>
    <s v="2026-01-07"/>
    <n v="226"/>
    <n v="1"/>
    <n v="14"/>
    <s v="Yes"/>
    <x v="0"/>
    <n v="-35"/>
    <n v="2.9411764705882353E-2"/>
    <s v="High Risk"/>
    <s v="Apply Discount / Promotion"/>
  </r>
  <r>
    <n v="149"/>
    <x v="22"/>
    <x v="3"/>
    <x v="3"/>
    <n v="369"/>
    <n v="349"/>
    <n v="352"/>
    <n v="818.38"/>
    <n v="528.9"/>
    <n v="84"/>
    <n v="14"/>
    <s v="2026-01-21"/>
    <n v="330"/>
    <n v="5"/>
    <n v="29"/>
    <s v="No"/>
    <x v="2"/>
    <n v="-3"/>
    <n v="0.94579945799457998"/>
    <s v="Medium Risk"/>
    <s v="Monitor Sales"/>
  </r>
  <r>
    <n v="150"/>
    <x v="58"/>
    <x v="2"/>
    <x v="1"/>
    <n v="24"/>
    <n v="87"/>
    <n v="101"/>
    <n v="252.48"/>
    <n v="183.24"/>
    <n v="138"/>
    <n v="11"/>
    <s v="2025-12-31"/>
    <n v="343"/>
    <n v="2"/>
    <n v="23"/>
    <s v="No"/>
    <x v="0"/>
    <n v="-14"/>
    <n v="3.625"/>
    <s v="Low Risk"/>
    <s v="Maintain Stock"/>
  </r>
  <r>
    <n v="151"/>
    <x v="56"/>
    <x v="2"/>
    <x v="3"/>
    <n v="206"/>
    <n v="401"/>
    <n v="360"/>
    <n v="3097.63"/>
    <n v="1695.87"/>
    <n v="56"/>
    <n v="1"/>
    <s v="2026-03-19"/>
    <n v="342"/>
    <n v="3"/>
    <n v="48"/>
    <s v="No"/>
    <x v="0"/>
    <n v="41"/>
    <n v="1.9466019417475728"/>
    <s v="Low Risk"/>
    <s v="Maintain Stock"/>
  </r>
  <r>
    <n v="152"/>
    <x v="14"/>
    <x v="4"/>
    <x v="3"/>
    <n v="185"/>
    <n v="318"/>
    <n v="334"/>
    <n v="732.95"/>
    <n v="470.92"/>
    <n v="64"/>
    <n v="14"/>
    <s v="2026-01-29"/>
    <n v="113"/>
    <n v="1"/>
    <n v="47"/>
    <s v="No"/>
    <x v="2"/>
    <n v="-16"/>
    <n v="1.7189189189189189"/>
    <s v="Low Risk"/>
    <s v="Maintain Stock"/>
  </r>
  <r>
    <n v="153"/>
    <x v="3"/>
    <x v="4"/>
    <x v="3"/>
    <n v="296"/>
    <n v="121"/>
    <n v="91"/>
    <n v="4182.53"/>
    <n v="2932.85"/>
    <n v="107"/>
    <n v="3"/>
    <s v="2026-03-05"/>
    <n v="319"/>
    <n v="4"/>
    <n v="10"/>
    <s v="No"/>
    <x v="2"/>
    <n v="30"/>
    <n v="0.40878378378378377"/>
    <s v="High Risk"/>
    <s v="Apply Discount / Promotion"/>
  </r>
  <r>
    <n v="154"/>
    <x v="77"/>
    <x v="3"/>
    <x v="3"/>
    <n v="72"/>
    <n v="80"/>
    <n v="125"/>
    <n v="1370.8"/>
    <n v="702.01"/>
    <n v="49"/>
    <n v="1"/>
    <s v="2026-01-27"/>
    <n v="190"/>
    <n v="3"/>
    <n v="43"/>
    <s v="No"/>
    <x v="2"/>
    <n v="-45"/>
    <n v="1.1111111111111112"/>
    <s v="Low Risk"/>
    <s v="Maintain Stock"/>
  </r>
  <r>
    <n v="155"/>
    <x v="25"/>
    <x v="4"/>
    <x v="3"/>
    <n v="329"/>
    <n v="183"/>
    <n v="182"/>
    <n v="4876.04"/>
    <n v="3818.2"/>
    <n v="82"/>
    <n v="1"/>
    <s v="2026-02-09"/>
    <n v="108"/>
    <n v="5"/>
    <n v="49"/>
    <s v="No"/>
    <x v="0"/>
    <n v="1"/>
    <n v="0.55623100303951367"/>
    <s v="Medium Risk"/>
    <s v="Monitor Sales"/>
  </r>
  <r>
    <n v="156"/>
    <x v="33"/>
    <x v="3"/>
    <x v="3"/>
    <n v="374"/>
    <n v="223"/>
    <n v="184"/>
    <n v="1657.72"/>
    <n v="1239.24"/>
    <n v="94"/>
    <n v="7"/>
    <s v="2026-03-01"/>
    <n v="62"/>
    <n v="5"/>
    <n v="34"/>
    <s v="No"/>
    <x v="1"/>
    <n v="39"/>
    <n v="0.59625668449197866"/>
    <s v="Medium Risk"/>
    <s v="Monitor Sales"/>
  </r>
  <r>
    <n v="157"/>
    <x v="58"/>
    <x v="4"/>
    <x v="3"/>
    <n v="435"/>
    <n v="342"/>
    <n v="333"/>
    <n v="1984.71"/>
    <n v="1531.28"/>
    <n v="150"/>
    <n v="8"/>
    <s v="2026-01-27"/>
    <n v="134"/>
    <n v="4"/>
    <n v="45"/>
    <s v="No"/>
    <x v="1"/>
    <n v="9"/>
    <n v="0.78620689655172415"/>
    <s v="Medium Risk"/>
    <s v="Monitor Sales"/>
  </r>
  <r>
    <n v="158"/>
    <x v="76"/>
    <x v="4"/>
    <x v="0"/>
    <n v="385"/>
    <n v="23"/>
    <n v="34"/>
    <n v="3749.64"/>
    <n v="1951.12"/>
    <n v="31"/>
    <n v="15"/>
    <s v="2026-01-03"/>
    <n v="225"/>
    <n v="2"/>
    <n v="31"/>
    <s v="No"/>
    <x v="2"/>
    <n v="-11"/>
    <n v="5.9740259740259739E-2"/>
    <s v="High Risk"/>
    <s v="Apply Discount / Promotion"/>
  </r>
  <r>
    <n v="159"/>
    <x v="71"/>
    <x v="4"/>
    <x v="3"/>
    <n v="322"/>
    <n v="288"/>
    <n v="251"/>
    <n v="2203.19"/>
    <n v="1740.74"/>
    <n v="94"/>
    <n v="7"/>
    <s v="2026-01-13"/>
    <n v="234"/>
    <n v="2"/>
    <n v="28"/>
    <s v="No"/>
    <x v="2"/>
    <n v="37"/>
    <n v="0.89440993788819878"/>
    <s v="Medium Risk"/>
    <s v="Monitor Sales"/>
  </r>
  <r>
    <n v="160"/>
    <x v="44"/>
    <x v="4"/>
    <x v="0"/>
    <n v="271"/>
    <n v="228"/>
    <n v="230"/>
    <n v="2234.46"/>
    <n v="1480.87"/>
    <n v="46"/>
    <n v="9"/>
    <s v="2026-01-23"/>
    <n v="200"/>
    <n v="1"/>
    <n v="17"/>
    <s v="No"/>
    <x v="2"/>
    <n v="-2"/>
    <n v="0.84132841328413288"/>
    <s v="Medium Risk"/>
    <s v="Monitor Sales"/>
  </r>
  <r>
    <n v="161"/>
    <x v="4"/>
    <x v="4"/>
    <x v="1"/>
    <n v="367"/>
    <n v="265"/>
    <n v="216"/>
    <n v="1337.9"/>
    <n v="908.92"/>
    <n v="48"/>
    <n v="12"/>
    <s v="2026-03-13"/>
    <n v="136"/>
    <n v="1"/>
    <n v="4"/>
    <s v="Yes"/>
    <x v="0"/>
    <n v="49"/>
    <n v="0.72207084468664851"/>
    <s v="Medium Risk"/>
    <s v="Monitor Sales"/>
  </r>
  <r>
    <n v="162"/>
    <x v="47"/>
    <x v="0"/>
    <x v="1"/>
    <n v="85"/>
    <n v="228"/>
    <n v="246"/>
    <n v="75.92"/>
    <n v="45.84"/>
    <n v="87"/>
    <n v="13"/>
    <s v="2026-03-14"/>
    <n v="168"/>
    <n v="1"/>
    <n v="5"/>
    <s v="Yes"/>
    <x v="2"/>
    <n v="-18"/>
    <n v="2.6823529411764704"/>
    <s v="Low Risk"/>
    <s v="Maintain Stock"/>
  </r>
  <r>
    <n v="163"/>
    <x v="60"/>
    <x v="4"/>
    <x v="0"/>
    <n v="173"/>
    <n v="281"/>
    <n v="235"/>
    <n v="934.26"/>
    <n v="702.67"/>
    <n v="79"/>
    <n v="1"/>
    <s v="2026-02-06"/>
    <n v="249"/>
    <n v="4"/>
    <n v="39"/>
    <s v="No"/>
    <x v="2"/>
    <n v="46"/>
    <n v="1.6242774566473988"/>
    <s v="Low Risk"/>
    <s v="Maintain Stock"/>
  </r>
  <r>
    <n v="164"/>
    <x v="60"/>
    <x v="4"/>
    <x v="2"/>
    <n v="82"/>
    <n v="32"/>
    <n v="42"/>
    <n v="2660.96"/>
    <n v="1724.18"/>
    <n v="59"/>
    <n v="9"/>
    <s v="2026-02-23"/>
    <n v="35"/>
    <n v="1"/>
    <n v="7"/>
    <s v="No"/>
    <x v="0"/>
    <n v="-10"/>
    <n v="0.3902439024390244"/>
    <s v="High Risk"/>
    <s v="Apply Discount / Promotion"/>
  </r>
  <r>
    <n v="165"/>
    <x v="78"/>
    <x v="3"/>
    <x v="1"/>
    <n v="117"/>
    <n v="132"/>
    <n v="164"/>
    <n v="3785.27"/>
    <n v="2124.12"/>
    <n v="45"/>
    <n v="9"/>
    <s v="2026-02-22"/>
    <n v="101"/>
    <n v="1"/>
    <n v="35"/>
    <s v="Yes"/>
    <x v="2"/>
    <n v="-32"/>
    <n v="1.1282051282051282"/>
    <s v="Low Risk"/>
    <s v="Maintain Stock"/>
  </r>
  <r>
    <n v="166"/>
    <x v="79"/>
    <x v="4"/>
    <x v="0"/>
    <n v="382"/>
    <n v="287"/>
    <n v="237"/>
    <n v="4936.05"/>
    <n v="2521.59"/>
    <n v="124"/>
    <n v="3"/>
    <s v="2026-01-31"/>
    <n v="131"/>
    <n v="1"/>
    <n v="17"/>
    <s v="Yes"/>
    <x v="1"/>
    <n v="50"/>
    <n v="0.75130890052356025"/>
    <s v="Medium Risk"/>
    <s v="Monitor Sales"/>
  </r>
  <r>
    <n v="167"/>
    <x v="36"/>
    <x v="1"/>
    <x v="0"/>
    <n v="166"/>
    <n v="18"/>
    <n v="12"/>
    <n v="314.92"/>
    <n v="158.88"/>
    <n v="70"/>
    <n v="14"/>
    <s v="2026-02-12"/>
    <n v="285"/>
    <n v="3"/>
    <n v="11"/>
    <s v="No"/>
    <x v="1"/>
    <n v="6"/>
    <n v="0.10843373493975904"/>
    <s v="High Risk"/>
    <s v="Apply Discount / Promotion"/>
  </r>
  <r>
    <n v="168"/>
    <x v="67"/>
    <x v="0"/>
    <x v="2"/>
    <n v="268"/>
    <n v="325"/>
    <n v="302"/>
    <n v="4574.97"/>
    <n v="2568.5300000000002"/>
    <n v="81"/>
    <n v="3"/>
    <s v="2026-01-18"/>
    <n v="129"/>
    <n v="5"/>
    <n v="41"/>
    <s v="No"/>
    <x v="0"/>
    <n v="23"/>
    <n v="1.2126865671641791"/>
    <s v="Low Risk"/>
    <s v="Maintain Stock"/>
  </r>
  <r>
    <n v="169"/>
    <x v="19"/>
    <x v="3"/>
    <x v="1"/>
    <n v="284"/>
    <n v="259"/>
    <n v="294"/>
    <n v="1510.65"/>
    <n v="968.78"/>
    <n v="112"/>
    <n v="13"/>
    <s v="2026-01-14"/>
    <n v="41"/>
    <n v="2"/>
    <n v="34"/>
    <s v="Yes"/>
    <x v="0"/>
    <n v="-35"/>
    <n v="0.9119718309859155"/>
    <s v="Medium Risk"/>
    <s v="Monitor Sales"/>
  </r>
  <r>
    <n v="170"/>
    <x v="49"/>
    <x v="0"/>
    <x v="3"/>
    <n v="95"/>
    <n v="50"/>
    <n v="19"/>
    <n v="3832.04"/>
    <n v="2761.49"/>
    <n v="49"/>
    <n v="15"/>
    <s v="2026-03-10"/>
    <n v="55"/>
    <n v="1"/>
    <n v="32"/>
    <s v="No"/>
    <x v="2"/>
    <n v="31"/>
    <n v="0.52631578947368418"/>
    <s v="Medium Risk"/>
    <s v="Monitor Sales"/>
  </r>
  <r>
    <n v="171"/>
    <x v="23"/>
    <x v="4"/>
    <x v="1"/>
    <n v="219"/>
    <n v="74"/>
    <n v="70"/>
    <n v="3362.14"/>
    <n v="2307.4499999999998"/>
    <n v="47"/>
    <n v="9"/>
    <s v="2026-02-01"/>
    <n v="185"/>
    <n v="4"/>
    <n v="23"/>
    <s v="No"/>
    <x v="1"/>
    <n v="4"/>
    <n v="0.33789954337899542"/>
    <s v="High Risk"/>
    <s v="Apply Discount / Promotion"/>
  </r>
  <r>
    <n v="172"/>
    <x v="1"/>
    <x v="1"/>
    <x v="2"/>
    <n v="420"/>
    <n v="284"/>
    <n v="313"/>
    <n v="4950.01"/>
    <n v="3529.7"/>
    <n v="122"/>
    <n v="2"/>
    <s v="2026-03-09"/>
    <n v="259"/>
    <n v="4"/>
    <n v="13"/>
    <s v="No"/>
    <x v="0"/>
    <n v="-29"/>
    <n v="0.67619047619047623"/>
    <s v="Medium Risk"/>
    <s v="Monitor Sales"/>
  </r>
  <r>
    <n v="173"/>
    <x v="16"/>
    <x v="3"/>
    <x v="1"/>
    <n v="416"/>
    <n v="53"/>
    <n v="12"/>
    <n v="4876.6899999999996"/>
    <n v="3510.37"/>
    <n v="94"/>
    <n v="6"/>
    <s v="2026-01-26"/>
    <n v="347"/>
    <n v="3"/>
    <n v="46"/>
    <s v="No"/>
    <x v="2"/>
    <n v="41"/>
    <n v="0.12740384615384615"/>
    <s v="High Risk"/>
    <s v="Apply Discount / Promotion"/>
  </r>
  <r>
    <n v="174"/>
    <x v="26"/>
    <x v="3"/>
    <x v="0"/>
    <n v="174"/>
    <n v="356"/>
    <n v="330"/>
    <n v="1449.95"/>
    <n v="811.94"/>
    <n v="109"/>
    <n v="13"/>
    <s v="2026-02-25"/>
    <n v="337"/>
    <n v="3"/>
    <n v="30"/>
    <s v="No"/>
    <x v="2"/>
    <n v="26"/>
    <n v="2.0459770114942528"/>
    <s v="Low Risk"/>
    <s v="Maintain Stock"/>
  </r>
  <r>
    <n v="175"/>
    <x v="42"/>
    <x v="4"/>
    <x v="3"/>
    <n v="57"/>
    <n v="372"/>
    <n v="374"/>
    <n v="964.51"/>
    <n v="625.08000000000004"/>
    <n v="123"/>
    <n v="3"/>
    <s v="2026-03-22"/>
    <n v="99"/>
    <n v="1"/>
    <n v="42"/>
    <s v="No"/>
    <x v="0"/>
    <n v="-2"/>
    <n v="6.5263157894736841"/>
    <s v="Low Risk"/>
    <s v="Maintain Stock"/>
  </r>
  <r>
    <n v="176"/>
    <x v="15"/>
    <x v="2"/>
    <x v="2"/>
    <n v="437"/>
    <n v="147"/>
    <n v="194"/>
    <n v="1573.73"/>
    <n v="1087.56"/>
    <n v="62"/>
    <n v="15"/>
    <s v="2026-01-24"/>
    <n v="54"/>
    <n v="1"/>
    <n v="41"/>
    <s v="No"/>
    <x v="1"/>
    <n v="-47"/>
    <n v="0.33638443935926776"/>
    <s v="High Risk"/>
    <s v="Apply Discount / Promotion"/>
  </r>
  <r>
    <n v="177"/>
    <x v="30"/>
    <x v="1"/>
    <x v="1"/>
    <n v="325"/>
    <n v="177"/>
    <n v="190"/>
    <n v="4625.54"/>
    <n v="2394.11"/>
    <n v="50"/>
    <n v="3"/>
    <s v="2026-01-24"/>
    <n v="87"/>
    <n v="5"/>
    <n v="21"/>
    <s v="Yes"/>
    <x v="1"/>
    <n v="-13"/>
    <n v="0.54461538461538461"/>
    <s v="Medium Risk"/>
    <s v="Monitor Sales"/>
  </r>
  <r>
    <n v="178"/>
    <x v="52"/>
    <x v="1"/>
    <x v="0"/>
    <n v="436"/>
    <n v="243"/>
    <n v="229"/>
    <n v="1720.5"/>
    <n v="1211.5"/>
    <n v="83"/>
    <n v="2"/>
    <s v="2026-01-25"/>
    <n v="246"/>
    <n v="2"/>
    <n v="35"/>
    <s v="No"/>
    <x v="0"/>
    <n v="14"/>
    <n v="0.55733944954128445"/>
    <s v="Medium Risk"/>
    <s v="Monitor Sales"/>
  </r>
  <r>
    <n v="179"/>
    <x v="80"/>
    <x v="2"/>
    <x v="3"/>
    <n v="318"/>
    <n v="37"/>
    <n v="74"/>
    <n v="3643.85"/>
    <n v="2624.61"/>
    <n v="130"/>
    <n v="6"/>
    <s v="2025-12-29"/>
    <n v="109"/>
    <n v="2"/>
    <n v="19"/>
    <s v="No"/>
    <x v="2"/>
    <n v="-37"/>
    <n v="0.11635220125786164"/>
    <s v="High Risk"/>
    <s v="Apply Discount / Promotion"/>
  </r>
  <r>
    <n v="180"/>
    <x v="73"/>
    <x v="2"/>
    <x v="1"/>
    <n v="93"/>
    <n v="172"/>
    <n v="174"/>
    <n v="4015.79"/>
    <n v="2253.31"/>
    <n v="68"/>
    <n v="9"/>
    <s v="2026-03-07"/>
    <n v="273"/>
    <n v="2"/>
    <n v="12"/>
    <s v="No"/>
    <x v="2"/>
    <n v="-2"/>
    <n v="1.8494623655913978"/>
    <s v="Low Risk"/>
    <s v="Maintain Stock"/>
  </r>
  <r>
    <n v="181"/>
    <x v="0"/>
    <x v="2"/>
    <x v="0"/>
    <n v="335"/>
    <n v="114"/>
    <n v="90"/>
    <n v="679.56"/>
    <n v="432.27"/>
    <n v="55"/>
    <n v="6"/>
    <s v="2025-12-29"/>
    <n v="256"/>
    <n v="4"/>
    <n v="37"/>
    <s v="Yes"/>
    <x v="2"/>
    <n v="24"/>
    <n v="0.34029850746268658"/>
    <s v="High Risk"/>
    <s v="Apply Discount / Promotion"/>
  </r>
  <r>
    <n v="182"/>
    <x v="54"/>
    <x v="2"/>
    <x v="0"/>
    <n v="373"/>
    <n v="107"/>
    <n v="150"/>
    <n v="4089.65"/>
    <n v="2492"/>
    <n v="107"/>
    <n v="12"/>
    <s v="2026-03-14"/>
    <n v="337"/>
    <n v="3"/>
    <n v="27"/>
    <s v="Yes"/>
    <x v="0"/>
    <n v="-43"/>
    <n v="0.28686327077747992"/>
    <s v="High Risk"/>
    <s v="Apply Discount / Promotion"/>
  </r>
  <r>
    <n v="183"/>
    <x v="15"/>
    <x v="4"/>
    <x v="1"/>
    <n v="357"/>
    <n v="411"/>
    <n v="366"/>
    <n v="3905.65"/>
    <n v="2431.46"/>
    <n v="127"/>
    <n v="14"/>
    <s v="2026-01-27"/>
    <n v="109"/>
    <n v="3"/>
    <n v="24"/>
    <s v="Yes"/>
    <x v="2"/>
    <n v="45"/>
    <n v="1.1512605042016806"/>
    <s v="Low Risk"/>
    <s v="Maintain Stock"/>
  </r>
  <r>
    <n v="184"/>
    <x v="81"/>
    <x v="2"/>
    <x v="1"/>
    <n v="298"/>
    <n v="105"/>
    <n v="120"/>
    <n v="3764.11"/>
    <n v="2012.09"/>
    <n v="42"/>
    <n v="8"/>
    <s v="2026-02-02"/>
    <n v="173"/>
    <n v="3"/>
    <n v="25"/>
    <s v="No"/>
    <x v="0"/>
    <n v="-15"/>
    <n v="0.3523489932885906"/>
    <s v="High Risk"/>
    <s v="Apply Discount / Promotion"/>
  </r>
  <r>
    <n v="185"/>
    <x v="57"/>
    <x v="1"/>
    <x v="3"/>
    <n v="488"/>
    <n v="306"/>
    <n v="335"/>
    <n v="4474.71"/>
    <n v="2629.27"/>
    <n v="116"/>
    <n v="7"/>
    <s v="2026-02-21"/>
    <n v="199"/>
    <n v="1"/>
    <n v="37"/>
    <s v="Yes"/>
    <x v="2"/>
    <n v="-29"/>
    <n v="0.62704918032786883"/>
    <s v="Medium Risk"/>
    <s v="Monitor Sales"/>
  </r>
  <r>
    <n v="186"/>
    <x v="58"/>
    <x v="3"/>
    <x v="2"/>
    <n v="433"/>
    <n v="246"/>
    <n v="217"/>
    <n v="910.19"/>
    <n v="618.80999999999995"/>
    <n v="73"/>
    <n v="7"/>
    <s v="2026-02-22"/>
    <n v="265"/>
    <n v="5"/>
    <n v="32"/>
    <s v="No"/>
    <x v="0"/>
    <n v="29"/>
    <n v="0.56812933025404155"/>
    <s v="Medium Risk"/>
    <s v="Monitor Sales"/>
  </r>
  <r>
    <n v="187"/>
    <x v="43"/>
    <x v="0"/>
    <x v="2"/>
    <n v="282"/>
    <n v="328"/>
    <n v="345"/>
    <n v="3725.47"/>
    <n v="2321.34"/>
    <n v="30"/>
    <n v="13"/>
    <s v="2026-02-15"/>
    <n v="310"/>
    <n v="2"/>
    <n v="41"/>
    <s v="Yes"/>
    <x v="1"/>
    <n v="-17"/>
    <n v="1.1631205673758864"/>
    <s v="Low Risk"/>
    <s v="Maintain Stock"/>
  </r>
  <r>
    <n v="188"/>
    <x v="65"/>
    <x v="2"/>
    <x v="3"/>
    <n v="315"/>
    <n v="7"/>
    <n v="10"/>
    <n v="4886.8900000000003"/>
    <n v="3717.51"/>
    <n v="58"/>
    <n v="11"/>
    <s v="2026-03-28"/>
    <n v="306"/>
    <n v="2"/>
    <n v="17"/>
    <s v="No"/>
    <x v="2"/>
    <n v="-3"/>
    <n v="2.2222222222222223E-2"/>
    <s v="High Risk"/>
    <s v="Apply Discount / Promotion"/>
  </r>
  <r>
    <n v="189"/>
    <x v="2"/>
    <x v="3"/>
    <x v="3"/>
    <n v="42"/>
    <n v="279"/>
    <n v="243"/>
    <n v="3982.03"/>
    <n v="2095.2399999999998"/>
    <n v="150"/>
    <n v="7"/>
    <s v="2026-03-10"/>
    <n v="145"/>
    <n v="3"/>
    <n v="46"/>
    <s v="No"/>
    <x v="1"/>
    <n v="36"/>
    <n v="6.6428571428571432"/>
    <s v="Low Risk"/>
    <s v="Maintain Stock"/>
  </r>
  <r>
    <n v="190"/>
    <x v="27"/>
    <x v="0"/>
    <x v="1"/>
    <n v="148"/>
    <n v="277"/>
    <n v="300"/>
    <n v="2375.59"/>
    <n v="1890.74"/>
    <n v="93"/>
    <n v="1"/>
    <s v="2026-02-07"/>
    <n v="253"/>
    <n v="1"/>
    <n v="43"/>
    <s v="Yes"/>
    <x v="0"/>
    <n v="-23"/>
    <n v="1.8716216216216217"/>
    <s v="Low Risk"/>
    <s v="Maintain Stock"/>
  </r>
  <r>
    <n v="191"/>
    <x v="43"/>
    <x v="0"/>
    <x v="0"/>
    <n v="76"/>
    <n v="136"/>
    <n v="186"/>
    <n v="2874.8"/>
    <n v="1807.56"/>
    <n v="37"/>
    <n v="1"/>
    <s v="2026-03-06"/>
    <n v="307"/>
    <n v="3"/>
    <n v="24"/>
    <s v="Yes"/>
    <x v="0"/>
    <n v="-50"/>
    <n v="1.7894736842105263"/>
    <s v="Low Risk"/>
    <s v="Maintain Stock"/>
  </r>
  <r>
    <n v="192"/>
    <x v="63"/>
    <x v="0"/>
    <x v="0"/>
    <n v="406"/>
    <n v="67"/>
    <n v="19"/>
    <n v="1403.31"/>
    <n v="846.33"/>
    <n v="80"/>
    <n v="6"/>
    <s v="2026-02-08"/>
    <n v="359"/>
    <n v="5"/>
    <n v="6"/>
    <s v="No"/>
    <x v="1"/>
    <n v="48"/>
    <n v="0.16502463054187191"/>
    <s v="High Risk"/>
    <s v="Apply Discount / Promotion"/>
  </r>
  <r>
    <n v="193"/>
    <x v="78"/>
    <x v="1"/>
    <x v="2"/>
    <n v="201"/>
    <n v="137"/>
    <n v="158"/>
    <n v="4505.99"/>
    <n v="2943.01"/>
    <n v="142"/>
    <n v="11"/>
    <s v="2026-01-05"/>
    <n v="232"/>
    <n v="4"/>
    <n v="29"/>
    <s v="Yes"/>
    <x v="1"/>
    <n v="-21"/>
    <n v="0.68159203980099503"/>
    <s v="Medium Risk"/>
    <s v="Monitor Sales"/>
  </r>
  <r>
    <n v="194"/>
    <x v="17"/>
    <x v="0"/>
    <x v="1"/>
    <n v="498"/>
    <n v="267"/>
    <n v="286"/>
    <n v="3186.42"/>
    <n v="2508.13"/>
    <n v="124"/>
    <n v="12"/>
    <s v="2026-03-14"/>
    <n v="45"/>
    <n v="4"/>
    <n v="5"/>
    <s v="No"/>
    <x v="1"/>
    <n v="-19"/>
    <n v="0.53614457831325302"/>
    <s v="Medium Risk"/>
    <s v="Monitor Sales"/>
  </r>
  <r>
    <n v="195"/>
    <x v="23"/>
    <x v="2"/>
    <x v="2"/>
    <n v="270"/>
    <n v="79"/>
    <n v="59"/>
    <n v="3569.88"/>
    <n v="1986.35"/>
    <n v="137"/>
    <n v="11"/>
    <s v="2026-03-08"/>
    <n v="65"/>
    <n v="1"/>
    <n v="29"/>
    <s v="Yes"/>
    <x v="1"/>
    <n v="20"/>
    <n v="0.29259259259259257"/>
    <s v="High Risk"/>
    <s v="Apply Discount / Promotion"/>
  </r>
  <r>
    <n v="196"/>
    <x v="53"/>
    <x v="1"/>
    <x v="2"/>
    <n v="60"/>
    <n v="288"/>
    <n v="290"/>
    <n v="1648.19"/>
    <n v="980.55"/>
    <n v="63"/>
    <n v="10"/>
    <s v="2026-01-20"/>
    <n v="315"/>
    <n v="2"/>
    <n v="48"/>
    <s v="Yes"/>
    <x v="1"/>
    <n v="-2"/>
    <n v="4.8"/>
    <s v="Low Risk"/>
    <s v="Maintain Stock"/>
  </r>
  <r>
    <n v="197"/>
    <x v="16"/>
    <x v="4"/>
    <x v="2"/>
    <n v="46"/>
    <n v="192"/>
    <n v="231"/>
    <n v="2981.74"/>
    <n v="2021.71"/>
    <n v="69"/>
    <n v="3"/>
    <s v="2026-02-27"/>
    <n v="224"/>
    <n v="2"/>
    <n v="20"/>
    <s v="No"/>
    <x v="2"/>
    <n v="-39"/>
    <n v="4.1739130434782608"/>
    <s v="Low Risk"/>
    <s v="Maintain Stock"/>
  </r>
  <r>
    <n v="198"/>
    <x v="74"/>
    <x v="4"/>
    <x v="0"/>
    <n v="342"/>
    <n v="105"/>
    <n v="153"/>
    <n v="2992.38"/>
    <n v="1886.61"/>
    <n v="99"/>
    <n v="10"/>
    <s v="2026-03-02"/>
    <n v="30"/>
    <n v="2"/>
    <n v="6"/>
    <s v="Yes"/>
    <x v="1"/>
    <n v="-48"/>
    <n v="0.30701754385964913"/>
    <s v="High Risk"/>
    <s v="Apply Discount / Promotion"/>
  </r>
  <r>
    <n v="199"/>
    <x v="55"/>
    <x v="2"/>
    <x v="2"/>
    <n v="288"/>
    <n v="69"/>
    <n v="105"/>
    <n v="4861.1000000000004"/>
    <n v="3583.27"/>
    <n v="132"/>
    <n v="15"/>
    <s v="2026-02-16"/>
    <n v="235"/>
    <n v="1"/>
    <n v="31"/>
    <s v="No"/>
    <x v="1"/>
    <n v="-36"/>
    <n v="0.23958333333333334"/>
    <s v="High Risk"/>
    <s v="Apply Discount / Promotion"/>
  </r>
  <r>
    <n v="200"/>
    <x v="48"/>
    <x v="2"/>
    <x v="3"/>
    <n v="246"/>
    <n v="77"/>
    <n v="89"/>
    <n v="2480.9299999999998"/>
    <n v="1830.24"/>
    <n v="129"/>
    <n v="1"/>
    <s v="2026-01-28"/>
    <n v="168"/>
    <n v="2"/>
    <n v="38"/>
    <s v="Yes"/>
    <x v="0"/>
    <n v="-12"/>
    <n v="0.31300813008130079"/>
    <s v="High Risk"/>
    <s v="Apply Discount / Promotion"/>
  </r>
  <r>
    <n v="201"/>
    <x v="78"/>
    <x v="2"/>
    <x v="2"/>
    <n v="286"/>
    <n v="0"/>
    <n v="31"/>
    <n v="4926.68"/>
    <n v="3285.18"/>
    <n v="88"/>
    <n v="14"/>
    <s v="2026-01-11"/>
    <n v="75"/>
    <n v="2"/>
    <n v="7"/>
    <s v="Yes"/>
    <x v="1"/>
    <n v="-31"/>
    <n v="0"/>
    <s v="High Risk"/>
    <s v="Apply Discount / Promotion"/>
  </r>
  <r>
    <n v="202"/>
    <x v="82"/>
    <x v="2"/>
    <x v="2"/>
    <n v="368"/>
    <n v="341"/>
    <n v="347"/>
    <n v="4442.17"/>
    <n v="2900.85"/>
    <n v="62"/>
    <n v="8"/>
    <s v="2026-02-07"/>
    <n v="205"/>
    <n v="5"/>
    <n v="35"/>
    <s v="No"/>
    <x v="0"/>
    <n v="-6"/>
    <n v="0.92663043478260865"/>
    <s v="Medium Risk"/>
    <s v="Monitor Sales"/>
  </r>
  <r>
    <n v="203"/>
    <x v="83"/>
    <x v="0"/>
    <x v="1"/>
    <n v="308"/>
    <n v="341"/>
    <n v="388"/>
    <n v="3394.46"/>
    <n v="2619.3200000000002"/>
    <n v="32"/>
    <n v="9"/>
    <s v="2026-02-28"/>
    <n v="320"/>
    <n v="5"/>
    <n v="31"/>
    <s v="Yes"/>
    <x v="2"/>
    <n v="-47"/>
    <n v="1.1071428571428572"/>
    <s v="Low Risk"/>
    <s v="Maintain Stock"/>
  </r>
  <r>
    <n v="204"/>
    <x v="40"/>
    <x v="1"/>
    <x v="3"/>
    <n v="158"/>
    <n v="0"/>
    <n v="29"/>
    <n v="2700.11"/>
    <n v="1356.22"/>
    <n v="100"/>
    <n v="12"/>
    <s v="2026-01-16"/>
    <n v="103"/>
    <n v="3"/>
    <n v="41"/>
    <s v="Yes"/>
    <x v="1"/>
    <n v="-29"/>
    <n v="0"/>
    <s v="High Risk"/>
    <s v="Apply Discount / Promotion"/>
  </r>
  <r>
    <n v="205"/>
    <x v="84"/>
    <x v="1"/>
    <x v="1"/>
    <n v="223"/>
    <n v="219"/>
    <n v="226"/>
    <n v="4235.8900000000003"/>
    <n v="2168.6"/>
    <n v="128"/>
    <n v="5"/>
    <s v="2026-01-01"/>
    <n v="39"/>
    <n v="2"/>
    <n v="14"/>
    <s v="Yes"/>
    <x v="0"/>
    <n v="-7"/>
    <n v="0.98206278026905824"/>
    <s v="Medium Risk"/>
    <s v="Monitor Sales"/>
  </r>
  <r>
    <n v="206"/>
    <x v="85"/>
    <x v="1"/>
    <x v="0"/>
    <n v="194"/>
    <n v="191"/>
    <n v="219"/>
    <n v="3437.28"/>
    <n v="2533.52"/>
    <n v="148"/>
    <n v="6"/>
    <s v="2026-03-15"/>
    <n v="297"/>
    <n v="4"/>
    <n v="50"/>
    <s v="No"/>
    <x v="1"/>
    <n v="-28"/>
    <n v="0.98453608247422686"/>
    <s v="Medium Risk"/>
    <s v="Monitor Sales"/>
  </r>
  <r>
    <n v="207"/>
    <x v="33"/>
    <x v="3"/>
    <x v="3"/>
    <n v="441"/>
    <n v="405"/>
    <n v="377"/>
    <n v="3545.14"/>
    <n v="2026.96"/>
    <n v="46"/>
    <n v="15"/>
    <s v="2026-03-06"/>
    <n v="284"/>
    <n v="4"/>
    <n v="21"/>
    <s v="No"/>
    <x v="1"/>
    <n v="28"/>
    <n v="0.91836734693877553"/>
    <s v="Medium Risk"/>
    <s v="Monitor Sales"/>
  </r>
  <r>
    <n v="208"/>
    <x v="3"/>
    <x v="1"/>
    <x v="3"/>
    <n v="439"/>
    <n v="254"/>
    <n v="257"/>
    <n v="3150.3"/>
    <n v="1968.18"/>
    <n v="130"/>
    <n v="14"/>
    <s v="2026-03-17"/>
    <n v="200"/>
    <n v="1"/>
    <n v="13"/>
    <s v="No"/>
    <x v="2"/>
    <n v="-3"/>
    <n v="0.57858769931662868"/>
    <s v="Medium Risk"/>
    <s v="Monitor Sales"/>
  </r>
  <r>
    <n v="209"/>
    <x v="11"/>
    <x v="4"/>
    <x v="0"/>
    <n v="75"/>
    <n v="422"/>
    <n v="388"/>
    <n v="3574.94"/>
    <n v="2714.03"/>
    <n v="68"/>
    <n v="11"/>
    <s v="2026-01-03"/>
    <n v="41"/>
    <n v="1"/>
    <n v="3"/>
    <s v="No"/>
    <x v="2"/>
    <n v="34"/>
    <n v="5.6266666666666669"/>
    <s v="Low Risk"/>
    <s v="Maintain Stock"/>
  </r>
  <r>
    <n v="210"/>
    <x v="49"/>
    <x v="4"/>
    <x v="0"/>
    <n v="370"/>
    <n v="202"/>
    <n v="152"/>
    <n v="2004.16"/>
    <n v="1284.4000000000001"/>
    <n v="65"/>
    <n v="10"/>
    <s v="2026-03-06"/>
    <n v="242"/>
    <n v="2"/>
    <n v="47"/>
    <s v="No"/>
    <x v="2"/>
    <n v="50"/>
    <n v="0.54594594594594592"/>
    <s v="Medium Risk"/>
    <s v="Monitor Sales"/>
  </r>
  <r>
    <n v="211"/>
    <x v="70"/>
    <x v="1"/>
    <x v="2"/>
    <n v="252"/>
    <n v="107"/>
    <n v="109"/>
    <n v="3246.23"/>
    <n v="2043.05"/>
    <n v="116"/>
    <n v="5"/>
    <s v="2026-02-02"/>
    <n v="51"/>
    <n v="2"/>
    <n v="39"/>
    <s v="Yes"/>
    <x v="0"/>
    <n v="-2"/>
    <n v="0.42460317460317459"/>
    <s v="High Risk"/>
    <s v="Apply Discount / Promotion"/>
  </r>
  <r>
    <n v="212"/>
    <x v="72"/>
    <x v="2"/>
    <x v="0"/>
    <n v="359"/>
    <n v="122"/>
    <n v="104"/>
    <n v="621.54"/>
    <n v="486.69"/>
    <n v="64"/>
    <n v="4"/>
    <s v="2026-02-06"/>
    <n v="163"/>
    <n v="1"/>
    <n v="32"/>
    <s v="No"/>
    <x v="2"/>
    <n v="18"/>
    <n v="0.33983286908077992"/>
    <s v="High Risk"/>
    <s v="Apply Discount / Promotion"/>
  </r>
  <r>
    <n v="213"/>
    <x v="20"/>
    <x v="3"/>
    <x v="2"/>
    <n v="145"/>
    <n v="388"/>
    <n v="385"/>
    <n v="4792.43"/>
    <n v="2805.05"/>
    <n v="45"/>
    <n v="12"/>
    <s v="2026-01-10"/>
    <n v="125"/>
    <n v="3"/>
    <n v="16"/>
    <s v="No"/>
    <x v="0"/>
    <n v="3"/>
    <n v="2.6758620689655173"/>
    <s v="Low Risk"/>
    <s v="Maintain Stock"/>
  </r>
  <r>
    <n v="214"/>
    <x v="72"/>
    <x v="2"/>
    <x v="1"/>
    <n v="37"/>
    <n v="254"/>
    <n v="283"/>
    <n v="1662.46"/>
    <n v="906.42"/>
    <n v="55"/>
    <n v="10"/>
    <s v="2026-01-31"/>
    <n v="40"/>
    <n v="3"/>
    <n v="6"/>
    <s v="Yes"/>
    <x v="2"/>
    <n v="-29"/>
    <n v="6.8648648648648649"/>
    <s v="Low Risk"/>
    <s v="Maintain Stock"/>
  </r>
  <r>
    <n v="215"/>
    <x v="31"/>
    <x v="2"/>
    <x v="2"/>
    <n v="363"/>
    <n v="0"/>
    <n v="25"/>
    <n v="1640.41"/>
    <n v="1222.8399999999999"/>
    <n v="105"/>
    <n v="3"/>
    <s v="2025-12-29"/>
    <n v="62"/>
    <n v="4"/>
    <n v="39"/>
    <s v="No"/>
    <x v="2"/>
    <n v="-25"/>
    <n v="0"/>
    <s v="High Risk"/>
    <s v="Apply Discount / Promotion"/>
  </r>
  <r>
    <n v="216"/>
    <x v="49"/>
    <x v="2"/>
    <x v="0"/>
    <n v="386"/>
    <n v="0"/>
    <n v="17"/>
    <n v="1132.06"/>
    <n v="757.2"/>
    <n v="54"/>
    <n v="6"/>
    <s v="2026-01-15"/>
    <n v="55"/>
    <n v="2"/>
    <n v="4"/>
    <s v="Yes"/>
    <x v="0"/>
    <n v="-17"/>
    <n v="0"/>
    <s v="High Risk"/>
    <s v="Apply Discount / Promotion"/>
  </r>
  <r>
    <n v="217"/>
    <x v="68"/>
    <x v="1"/>
    <x v="3"/>
    <n v="24"/>
    <n v="245"/>
    <n v="253"/>
    <n v="701.29"/>
    <n v="532.07000000000005"/>
    <n v="72"/>
    <n v="7"/>
    <s v="2026-02-12"/>
    <n v="252"/>
    <n v="4"/>
    <n v="31"/>
    <s v="Yes"/>
    <x v="1"/>
    <n v="-8"/>
    <n v="10.208333333333334"/>
    <s v="Low Risk"/>
    <s v="Maintain Stock"/>
  </r>
  <r>
    <n v="218"/>
    <x v="11"/>
    <x v="3"/>
    <x v="2"/>
    <n v="486"/>
    <n v="4"/>
    <n v="32"/>
    <n v="1300.76"/>
    <n v="859.05"/>
    <n v="45"/>
    <n v="10"/>
    <s v="2026-03-16"/>
    <n v="190"/>
    <n v="2"/>
    <n v="20"/>
    <s v="No"/>
    <x v="0"/>
    <n v="-28"/>
    <n v="8.23045267489712E-3"/>
    <s v="High Risk"/>
    <s v="Apply Discount / Promotion"/>
  </r>
  <r>
    <n v="219"/>
    <x v="28"/>
    <x v="3"/>
    <x v="0"/>
    <n v="374"/>
    <n v="156"/>
    <n v="113"/>
    <n v="1921.47"/>
    <n v="1218.8699999999999"/>
    <n v="70"/>
    <n v="4"/>
    <s v="2026-02-20"/>
    <n v="79"/>
    <n v="5"/>
    <n v="34"/>
    <s v="No"/>
    <x v="0"/>
    <n v="43"/>
    <n v="0.41711229946524064"/>
    <s v="High Risk"/>
    <s v="Apply Discount / Promotion"/>
  </r>
  <r>
    <n v="220"/>
    <x v="38"/>
    <x v="3"/>
    <x v="1"/>
    <n v="41"/>
    <n v="11"/>
    <n v="41"/>
    <n v="3474.29"/>
    <n v="2005.37"/>
    <n v="66"/>
    <n v="4"/>
    <s v="2026-02-23"/>
    <n v="274"/>
    <n v="5"/>
    <n v="11"/>
    <s v="Yes"/>
    <x v="0"/>
    <n v="-30"/>
    <n v="0.26829268292682928"/>
    <s v="High Risk"/>
    <s v="Apply Discount / Promotion"/>
  </r>
  <r>
    <n v="221"/>
    <x v="62"/>
    <x v="3"/>
    <x v="1"/>
    <n v="292"/>
    <n v="251"/>
    <n v="267"/>
    <n v="1765.1"/>
    <n v="917.06"/>
    <n v="63"/>
    <n v="12"/>
    <s v="2026-02-11"/>
    <n v="238"/>
    <n v="1"/>
    <n v="40"/>
    <s v="Yes"/>
    <x v="0"/>
    <n v="-16"/>
    <n v="0.8595890410958904"/>
    <s v="Medium Risk"/>
    <s v="Monitor Sales"/>
  </r>
  <r>
    <n v="222"/>
    <x v="86"/>
    <x v="3"/>
    <x v="1"/>
    <n v="273"/>
    <n v="104"/>
    <n v="146"/>
    <n v="1131.8699999999999"/>
    <n v="893.6"/>
    <n v="113"/>
    <n v="15"/>
    <s v="2026-03-26"/>
    <n v="230"/>
    <n v="1"/>
    <n v="30"/>
    <s v="Yes"/>
    <x v="1"/>
    <n v="-42"/>
    <n v="0.38095238095238093"/>
    <s v="High Risk"/>
    <s v="Apply Discount / Promotion"/>
  </r>
  <r>
    <n v="223"/>
    <x v="56"/>
    <x v="3"/>
    <x v="1"/>
    <n v="405"/>
    <n v="359"/>
    <n v="336"/>
    <n v="4474.04"/>
    <n v="3207.33"/>
    <n v="120"/>
    <n v="9"/>
    <s v="2026-02-02"/>
    <n v="137"/>
    <n v="1"/>
    <n v="20"/>
    <s v="No"/>
    <x v="0"/>
    <n v="23"/>
    <n v="0.88641975308641974"/>
    <s v="Medium Risk"/>
    <s v="Monitor Sales"/>
  </r>
  <r>
    <n v="224"/>
    <x v="17"/>
    <x v="1"/>
    <x v="2"/>
    <n v="183"/>
    <n v="32"/>
    <n v="78"/>
    <n v="2056.02"/>
    <n v="1127.82"/>
    <n v="52"/>
    <n v="7"/>
    <s v="2026-03-04"/>
    <n v="173"/>
    <n v="5"/>
    <n v="10"/>
    <s v="No"/>
    <x v="2"/>
    <n v="-46"/>
    <n v="0.17486338797814208"/>
    <s v="High Risk"/>
    <s v="Apply Discount / Promotion"/>
  </r>
  <r>
    <n v="225"/>
    <x v="81"/>
    <x v="1"/>
    <x v="0"/>
    <n v="487"/>
    <n v="312"/>
    <n v="284"/>
    <n v="3271.58"/>
    <n v="1652.97"/>
    <n v="53"/>
    <n v="8"/>
    <s v="2026-03-27"/>
    <n v="319"/>
    <n v="1"/>
    <n v="14"/>
    <s v="Yes"/>
    <x v="0"/>
    <n v="28"/>
    <n v="0.64065708418891165"/>
    <s v="Medium Risk"/>
    <s v="Monitor Sales"/>
  </r>
  <r>
    <n v="226"/>
    <x v="58"/>
    <x v="2"/>
    <x v="0"/>
    <n v="56"/>
    <n v="46"/>
    <n v="84"/>
    <n v="4744.3"/>
    <n v="3392.65"/>
    <n v="126"/>
    <n v="14"/>
    <s v="2026-03-05"/>
    <n v="158"/>
    <n v="5"/>
    <n v="17"/>
    <s v="Yes"/>
    <x v="0"/>
    <n v="-38"/>
    <n v="0.8214285714285714"/>
    <s v="Medium Risk"/>
    <s v="Monitor Sales"/>
  </r>
  <r>
    <n v="227"/>
    <x v="80"/>
    <x v="0"/>
    <x v="2"/>
    <n v="384"/>
    <n v="73"/>
    <n v="43"/>
    <n v="2574.5100000000002"/>
    <n v="1600.28"/>
    <n v="81"/>
    <n v="1"/>
    <s v="2026-01-30"/>
    <n v="327"/>
    <n v="4"/>
    <n v="1"/>
    <s v="Yes"/>
    <x v="2"/>
    <n v="30"/>
    <n v="0.19010416666666666"/>
    <s v="High Risk"/>
    <s v="Apply Discount / Promotion"/>
  </r>
  <r>
    <n v="228"/>
    <x v="6"/>
    <x v="3"/>
    <x v="0"/>
    <n v="203"/>
    <n v="57"/>
    <n v="44"/>
    <n v="2166.08"/>
    <n v="1508.64"/>
    <n v="106"/>
    <n v="6"/>
    <s v="2026-02-20"/>
    <n v="313"/>
    <n v="3"/>
    <n v="44"/>
    <s v="No"/>
    <x v="0"/>
    <n v="13"/>
    <n v="0.28078817733990147"/>
    <s v="High Risk"/>
    <s v="Apply Discount / Promotion"/>
  </r>
  <r>
    <n v="229"/>
    <x v="19"/>
    <x v="1"/>
    <x v="1"/>
    <n v="470"/>
    <n v="371"/>
    <n v="332"/>
    <n v="3955.4"/>
    <n v="2986.79"/>
    <n v="104"/>
    <n v="3"/>
    <s v="2026-03-14"/>
    <n v="67"/>
    <n v="2"/>
    <n v="8"/>
    <s v="Yes"/>
    <x v="1"/>
    <n v="39"/>
    <n v="0.78936170212765955"/>
    <s v="Medium Risk"/>
    <s v="Monitor Sales"/>
  </r>
  <r>
    <n v="230"/>
    <x v="52"/>
    <x v="1"/>
    <x v="1"/>
    <n v="93"/>
    <n v="120"/>
    <n v="159"/>
    <n v="3823.85"/>
    <n v="2703.66"/>
    <n v="71"/>
    <n v="13"/>
    <s v="2026-01-20"/>
    <n v="71"/>
    <n v="5"/>
    <n v="24"/>
    <s v="No"/>
    <x v="0"/>
    <n v="-39"/>
    <n v="1.2903225806451613"/>
    <s v="Low Risk"/>
    <s v="Maintain Stock"/>
  </r>
  <r>
    <n v="231"/>
    <x v="60"/>
    <x v="4"/>
    <x v="2"/>
    <n v="436"/>
    <n v="221"/>
    <n v="187"/>
    <n v="4079.06"/>
    <n v="2079.19"/>
    <n v="103"/>
    <n v="15"/>
    <s v="2026-01-17"/>
    <n v="316"/>
    <n v="4"/>
    <n v="40"/>
    <s v="No"/>
    <x v="1"/>
    <n v="34"/>
    <n v="0.50688073394495414"/>
    <s v="Medium Risk"/>
    <s v="Monitor Sales"/>
  </r>
  <r>
    <n v="232"/>
    <x v="12"/>
    <x v="3"/>
    <x v="3"/>
    <n v="500"/>
    <n v="120"/>
    <n v="81"/>
    <n v="422.54"/>
    <n v="241.11"/>
    <n v="47"/>
    <n v="6"/>
    <s v="2026-03-03"/>
    <n v="271"/>
    <n v="2"/>
    <n v="26"/>
    <s v="No"/>
    <x v="2"/>
    <n v="39"/>
    <n v="0.24"/>
    <s v="High Risk"/>
    <s v="Apply Discount / Promotion"/>
  </r>
  <r>
    <n v="233"/>
    <x v="35"/>
    <x v="3"/>
    <x v="3"/>
    <n v="205"/>
    <n v="219"/>
    <n v="184"/>
    <n v="1691.08"/>
    <n v="1017.73"/>
    <n v="75"/>
    <n v="6"/>
    <s v="2026-01-17"/>
    <n v="315"/>
    <n v="1"/>
    <n v="29"/>
    <s v="No"/>
    <x v="0"/>
    <n v="35"/>
    <n v="1.0682926829268293"/>
    <s v="Low Risk"/>
    <s v="Maintain Stock"/>
  </r>
  <r>
    <n v="234"/>
    <x v="0"/>
    <x v="2"/>
    <x v="2"/>
    <n v="489"/>
    <n v="323"/>
    <n v="281"/>
    <n v="4920.0200000000004"/>
    <n v="2889.78"/>
    <n v="128"/>
    <n v="1"/>
    <s v="2026-02-24"/>
    <n v="209"/>
    <n v="1"/>
    <n v="27"/>
    <s v="No"/>
    <x v="0"/>
    <n v="42"/>
    <n v="0.66053169734151329"/>
    <s v="Medium Risk"/>
    <s v="Monitor Sales"/>
  </r>
  <r>
    <n v="235"/>
    <x v="87"/>
    <x v="4"/>
    <x v="0"/>
    <n v="234"/>
    <n v="24"/>
    <n v="51"/>
    <n v="804.45"/>
    <n v="613.37"/>
    <n v="114"/>
    <n v="10"/>
    <s v="2026-01-02"/>
    <n v="205"/>
    <n v="4"/>
    <n v="50"/>
    <s v="No"/>
    <x v="0"/>
    <n v="-27"/>
    <n v="0.10256410256410256"/>
    <s v="High Risk"/>
    <s v="Apply Discount / Promotion"/>
  </r>
  <r>
    <n v="236"/>
    <x v="69"/>
    <x v="3"/>
    <x v="2"/>
    <n v="493"/>
    <n v="145"/>
    <n v="123"/>
    <n v="4419.97"/>
    <n v="2733.52"/>
    <n v="38"/>
    <n v="3"/>
    <s v="2026-03-26"/>
    <n v="206"/>
    <n v="5"/>
    <n v="41"/>
    <s v="No"/>
    <x v="0"/>
    <n v="22"/>
    <n v="0.29411764705882354"/>
    <s v="High Risk"/>
    <s v="Apply Discount / Promotion"/>
  </r>
  <r>
    <n v="237"/>
    <x v="75"/>
    <x v="3"/>
    <x v="2"/>
    <n v="315"/>
    <n v="75"/>
    <n v="76"/>
    <n v="3331.2"/>
    <n v="1953.29"/>
    <n v="96"/>
    <n v="13"/>
    <s v="2026-03-08"/>
    <n v="216"/>
    <n v="5"/>
    <n v="5"/>
    <s v="No"/>
    <x v="1"/>
    <n v="-1"/>
    <n v="0.23809523809523808"/>
    <s v="High Risk"/>
    <s v="Apply Discount / Promotion"/>
  </r>
  <r>
    <n v="238"/>
    <x v="45"/>
    <x v="2"/>
    <x v="1"/>
    <n v="35"/>
    <n v="278"/>
    <n v="263"/>
    <n v="3763.17"/>
    <n v="2262.4899999999998"/>
    <n v="34"/>
    <n v="3"/>
    <s v="2026-01-24"/>
    <n v="216"/>
    <n v="3"/>
    <n v="46"/>
    <s v="Yes"/>
    <x v="2"/>
    <n v="15"/>
    <n v="7.9428571428571431"/>
    <s v="Low Risk"/>
    <s v="Maintain Stock"/>
  </r>
  <r>
    <n v="239"/>
    <x v="80"/>
    <x v="2"/>
    <x v="2"/>
    <n v="355"/>
    <n v="328"/>
    <n v="362"/>
    <n v="4408.95"/>
    <n v="3430.82"/>
    <n v="70"/>
    <n v="14"/>
    <s v="2026-02-14"/>
    <n v="290"/>
    <n v="5"/>
    <n v="16"/>
    <s v="Yes"/>
    <x v="2"/>
    <n v="-34"/>
    <n v="0.92394366197183098"/>
    <s v="Medium Risk"/>
    <s v="Monitor Sales"/>
  </r>
  <r>
    <n v="240"/>
    <x v="69"/>
    <x v="4"/>
    <x v="2"/>
    <n v="464"/>
    <n v="255"/>
    <n v="300"/>
    <n v="4199.1899999999996"/>
    <n v="2835.54"/>
    <n v="98"/>
    <n v="7"/>
    <s v="2026-03-01"/>
    <n v="317"/>
    <n v="4"/>
    <n v="18"/>
    <s v="Yes"/>
    <x v="1"/>
    <n v="-45"/>
    <n v="0.54956896551724133"/>
    <s v="Medium Risk"/>
    <s v="Monitor Sales"/>
  </r>
  <r>
    <n v="241"/>
    <x v="72"/>
    <x v="0"/>
    <x v="0"/>
    <n v="53"/>
    <n v="225"/>
    <n v="239"/>
    <n v="3660.46"/>
    <n v="2393.5700000000002"/>
    <n v="75"/>
    <n v="12"/>
    <s v="2026-03-11"/>
    <n v="202"/>
    <n v="3"/>
    <n v="23"/>
    <s v="No"/>
    <x v="1"/>
    <n v="-14"/>
    <n v="4.2452830188679247"/>
    <s v="Low Risk"/>
    <s v="Maintain Stock"/>
  </r>
  <r>
    <n v="242"/>
    <x v="47"/>
    <x v="2"/>
    <x v="3"/>
    <n v="321"/>
    <n v="282"/>
    <n v="248"/>
    <n v="4602.1000000000004"/>
    <n v="2340.98"/>
    <n v="41"/>
    <n v="8"/>
    <s v="2026-02-06"/>
    <n v="257"/>
    <n v="4"/>
    <n v="7"/>
    <s v="No"/>
    <x v="1"/>
    <n v="34"/>
    <n v="0.87850467289719625"/>
    <s v="Medium Risk"/>
    <s v="Monitor Sales"/>
  </r>
  <r>
    <n v="243"/>
    <x v="34"/>
    <x v="0"/>
    <x v="2"/>
    <n v="417"/>
    <n v="337"/>
    <n v="354"/>
    <n v="1050.53"/>
    <n v="593.01"/>
    <n v="47"/>
    <n v="11"/>
    <s v="2026-03-06"/>
    <n v="71"/>
    <n v="4"/>
    <n v="38"/>
    <s v="Yes"/>
    <x v="1"/>
    <n v="-17"/>
    <n v="0.80815347721822539"/>
    <s v="Medium Risk"/>
    <s v="Monitor Sales"/>
  </r>
  <r>
    <n v="244"/>
    <x v="23"/>
    <x v="1"/>
    <x v="0"/>
    <n v="362"/>
    <n v="0"/>
    <n v="46"/>
    <n v="2750.67"/>
    <n v="1583.26"/>
    <n v="132"/>
    <n v="14"/>
    <s v="2026-02-01"/>
    <n v="259"/>
    <n v="2"/>
    <n v="12"/>
    <s v="No"/>
    <x v="0"/>
    <n v="-46"/>
    <n v="0"/>
    <s v="High Risk"/>
    <s v="Apply Discount / Promotion"/>
  </r>
  <r>
    <n v="245"/>
    <x v="34"/>
    <x v="1"/>
    <x v="1"/>
    <n v="285"/>
    <n v="159"/>
    <n v="143"/>
    <n v="605.27"/>
    <n v="433.64"/>
    <n v="127"/>
    <n v="15"/>
    <s v="2026-02-26"/>
    <n v="296"/>
    <n v="2"/>
    <n v="29"/>
    <s v="No"/>
    <x v="0"/>
    <n v="16"/>
    <n v="0.55789473684210522"/>
    <s v="Medium Risk"/>
    <s v="Monitor Sales"/>
  </r>
  <r>
    <n v="246"/>
    <x v="19"/>
    <x v="2"/>
    <x v="3"/>
    <n v="389"/>
    <n v="393"/>
    <n v="352"/>
    <n v="3185.32"/>
    <n v="1811.63"/>
    <n v="44"/>
    <n v="6"/>
    <s v="2026-02-19"/>
    <n v="179"/>
    <n v="1"/>
    <n v="5"/>
    <s v="Yes"/>
    <x v="0"/>
    <n v="41"/>
    <n v="1.0102827763496145"/>
    <s v="Low Risk"/>
    <s v="Maintain Stock"/>
  </r>
  <r>
    <n v="247"/>
    <x v="84"/>
    <x v="0"/>
    <x v="2"/>
    <n v="353"/>
    <n v="114"/>
    <n v="118"/>
    <n v="1821.75"/>
    <n v="1280.0999999999999"/>
    <n v="92"/>
    <n v="12"/>
    <s v="2026-01-28"/>
    <n v="183"/>
    <n v="2"/>
    <n v="50"/>
    <s v="No"/>
    <x v="0"/>
    <n v="-4"/>
    <n v="0.32294617563739375"/>
    <s v="High Risk"/>
    <s v="Apply Discount / Promotion"/>
  </r>
  <r>
    <n v="248"/>
    <x v="0"/>
    <x v="1"/>
    <x v="3"/>
    <n v="142"/>
    <n v="233"/>
    <n v="283"/>
    <n v="947.61"/>
    <n v="667.49"/>
    <n v="119"/>
    <n v="2"/>
    <s v="2026-01-17"/>
    <n v="127"/>
    <n v="2"/>
    <n v="35"/>
    <s v="Yes"/>
    <x v="2"/>
    <n v="-50"/>
    <n v="1.6408450704225352"/>
    <s v="Low Risk"/>
    <s v="Maintain Stock"/>
  </r>
  <r>
    <n v="249"/>
    <x v="87"/>
    <x v="4"/>
    <x v="0"/>
    <n v="255"/>
    <n v="332"/>
    <n v="320"/>
    <n v="297.87"/>
    <n v="227.05"/>
    <n v="77"/>
    <n v="13"/>
    <s v="2026-03-12"/>
    <n v="150"/>
    <n v="3"/>
    <n v="13"/>
    <s v="No"/>
    <x v="1"/>
    <n v="12"/>
    <n v="1.3019607843137255"/>
    <s v="Low Risk"/>
    <s v="Maintain Stock"/>
  </r>
  <r>
    <n v="250"/>
    <x v="18"/>
    <x v="3"/>
    <x v="2"/>
    <n v="486"/>
    <n v="84"/>
    <n v="45"/>
    <n v="620.53"/>
    <n v="342.41"/>
    <n v="149"/>
    <n v="10"/>
    <s v="2026-02-21"/>
    <n v="116"/>
    <n v="1"/>
    <n v="21"/>
    <s v="No"/>
    <x v="1"/>
    <n v="39"/>
    <n v="0.1728395061728395"/>
    <s v="High Risk"/>
    <s v="Apply Discount / Promotion"/>
  </r>
  <r>
    <n v="251"/>
    <x v="24"/>
    <x v="1"/>
    <x v="0"/>
    <n v="328"/>
    <n v="154"/>
    <n v="130"/>
    <n v="1306.26"/>
    <n v="786.88"/>
    <n v="40"/>
    <n v="13"/>
    <s v="2026-02-04"/>
    <n v="272"/>
    <n v="5"/>
    <n v="30"/>
    <s v="Yes"/>
    <x v="0"/>
    <n v="24"/>
    <n v="0.46951219512195119"/>
    <s v="High Risk"/>
    <s v="Apply Discount / Promotion"/>
  </r>
  <r>
    <n v="252"/>
    <x v="43"/>
    <x v="3"/>
    <x v="0"/>
    <n v="348"/>
    <n v="176"/>
    <n v="206"/>
    <n v="2738.71"/>
    <n v="1847.32"/>
    <n v="89"/>
    <n v="2"/>
    <s v="2026-01-29"/>
    <n v="337"/>
    <n v="5"/>
    <n v="26"/>
    <s v="Yes"/>
    <x v="2"/>
    <n v="-30"/>
    <n v="0.50574712643678166"/>
    <s v="Medium Risk"/>
    <s v="Monitor Sales"/>
  </r>
  <r>
    <n v="253"/>
    <x v="25"/>
    <x v="3"/>
    <x v="1"/>
    <n v="339"/>
    <n v="124"/>
    <n v="150"/>
    <n v="3890.95"/>
    <n v="2755.55"/>
    <n v="89"/>
    <n v="4"/>
    <s v="2026-02-23"/>
    <n v="62"/>
    <n v="3"/>
    <n v="50"/>
    <s v="Yes"/>
    <x v="0"/>
    <n v="-26"/>
    <n v="0.36578171091445427"/>
    <s v="High Risk"/>
    <s v="Apply Discount / Promotion"/>
  </r>
  <r>
    <n v="254"/>
    <x v="32"/>
    <x v="3"/>
    <x v="3"/>
    <n v="354"/>
    <n v="292"/>
    <n v="243"/>
    <n v="4891.08"/>
    <n v="3509.56"/>
    <n v="56"/>
    <n v="15"/>
    <s v="2026-01-10"/>
    <n v="173"/>
    <n v="3"/>
    <n v="5"/>
    <s v="Yes"/>
    <x v="2"/>
    <n v="49"/>
    <n v="0.82485875706214684"/>
    <s v="Medium Risk"/>
    <s v="Monitor Sales"/>
  </r>
  <r>
    <n v="255"/>
    <x v="88"/>
    <x v="1"/>
    <x v="1"/>
    <n v="452"/>
    <n v="241"/>
    <n v="211"/>
    <n v="792.08"/>
    <n v="561.39"/>
    <n v="109"/>
    <n v="5"/>
    <s v="2026-01-23"/>
    <n v="237"/>
    <n v="1"/>
    <n v="10"/>
    <s v="No"/>
    <x v="1"/>
    <n v="30"/>
    <n v="0.5331858407079646"/>
    <s v="Medium Risk"/>
    <s v="Monitor Sales"/>
  </r>
  <r>
    <n v="256"/>
    <x v="88"/>
    <x v="1"/>
    <x v="2"/>
    <n v="468"/>
    <n v="302"/>
    <n v="281"/>
    <n v="1990.03"/>
    <n v="1415.34"/>
    <n v="106"/>
    <n v="1"/>
    <s v="2026-02-05"/>
    <n v="343"/>
    <n v="5"/>
    <n v="29"/>
    <s v="Yes"/>
    <x v="1"/>
    <n v="21"/>
    <n v="0.64529914529914534"/>
    <s v="Medium Risk"/>
    <s v="Monitor Sales"/>
  </r>
  <r>
    <n v="257"/>
    <x v="7"/>
    <x v="4"/>
    <x v="1"/>
    <n v="390"/>
    <n v="115"/>
    <n v="140"/>
    <n v="1009.72"/>
    <n v="579.28"/>
    <n v="110"/>
    <n v="1"/>
    <s v="2026-03-17"/>
    <n v="100"/>
    <n v="3"/>
    <n v="30"/>
    <s v="No"/>
    <x v="0"/>
    <n v="-25"/>
    <n v="0.29487179487179488"/>
    <s v="High Risk"/>
    <s v="Apply Discount / Promotion"/>
  </r>
  <r>
    <n v="258"/>
    <x v="82"/>
    <x v="4"/>
    <x v="1"/>
    <n v="421"/>
    <n v="225"/>
    <n v="198"/>
    <n v="241.45"/>
    <n v="165.7"/>
    <n v="64"/>
    <n v="6"/>
    <s v="2026-01-10"/>
    <n v="341"/>
    <n v="3"/>
    <n v="31"/>
    <s v="No"/>
    <x v="1"/>
    <n v="27"/>
    <n v="0.53444180522565321"/>
    <s v="Medium Risk"/>
    <s v="Monitor Sales"/>
  </r>
  <r>
    <n v="259"/>
    <x v="41"/>
    <x v="1"/>
    <x v="1"/>
    <n v="249"/>
    <n v="40"/>
    <n v="43"/>
    <n v="1678.68"/>
    <n v="999.61"/>
    <n v="42"/>
    <n v="14"/>
    <s v="2026-01-05"/>
    <n v="109"/>
    <n v="4"/>
    <n v="16"/>
    <s v="No"/>
    <x v="1"/>
    <n v="-3"/>
    <n v="0.1606425702811245"/>
    <s v="High Risk"/>
    <s v="Apply Discount / Promotion"/>
  </r>
  <r>
    <n v="260"/>
    <x v="85"/>
    <x v="1"/>
    <x v="1"/>
    <n v="401"/>
    <n v="282"/>
    <n v="286"/>
    <n v="1715.36"/>
    <n v="982.08"/>
    <n v="86"/>
    <n v="2"/>
    <s v="2026-03-28"/>
    <n v="304"/>
    <n v="4"/>
    <n v="39"/>
    <s v="Yes"/>
    <x v="1"/>
    <n v="-4"/>
    <n v="0.70324189526184544"/>
    <s v="Medium Risk"/>
    <s v="Monitor Sales"/>
  </r>
  <r>
    <n v="261"/>
    <x v="76"/>
    <x v="4"/>
    <x v="3"/>
    <n v="53"/>
    <n v="278"/>
    <n v="234"/>
    <n v="4025.38"/>
    <n v="3041.79"/>
    <n v="147"/>
    <n v="12"/>
    <s v="2026-03-12"/>
    <n v="353"/>
    <n v="1"/>
    <n v="40"/>
    <s v="No"/>
    <x v="0"/>
    <n v="44"/>
    <n v="5.2452830188679247"/>
    <s v="Low Risk"/>
    <s v="Maintain Stock"/>
  </r>
  <r>
    <n v="262"/>
    <x v="74"/>
    <x v="3"/>
    <x v="3"/>
    <n v="50"/>
    <n v="339"/>
    <n v="382"/>
    <n v="1712.34"/>
    <n v="954.09"/>
    <n v="110"/>
    <n v="12"/>
    <s v="2026-02-08"/>
    <n v="88"/>
    <n v="1"/>
    <n v="26"/>
    <s v="Yes"/>
    <x v="1"/>
    <n v="-43"/>
    <n v="6.78"/>
    <s v="Low Risk"/>
    <s v="Maintain Stock"/>
  </r>
  <r>
    <n v="263"/>
    <x v="89"/>
    <x v="1"/>
    <x v="0"/>
    <n v="414"/>
    <n v="294"/>
    <n v="311"/>
    <n v="4925.3100000000004"/>
    <n v="3705.25"/>
    <n v="137"/>
    <n v="5"/>
    <s v="2026-01-05"/>
    <n v="243"/>
    <n v="1"/>
    <n v="34"/>
    <s v="No"/>
    <x v="1"/>
    <n v="-17"/>
    <n v="0.71014492753623193"/>
    <s v="Medium Risk"/>
    <s v="Monitor Sales"/>
  </r>
  <r>
    <n v="264"/>
    <x v="40"/>
    <x v="2"/>
    <x v="2"/>
    <n v="212"/>
    <n v="323"/>
    <n v="281"/>
    <n v="839.58"/>
    <n v="453.72"/>
    <n v="49"/>
    <n v="15"/>
    <s v="2026-01-21"/>
    <n v="43"/>
    <n v="1"/>
    <n v="30"/>
    <s v="Yes"/>
    <x v="2"/>
    <n v="42"/>
    <n v="1.5235849056603774"/>
    <s v="Low Risk"/>
    <s v="Maintain Stock"/>
  </r>
  <r>
    <n v="265"/>
    <x v="90"/>
    <x v="1"/>
    <x v="0"/>
    <n v="423"/>
    <n v="317"/>
    <n v="288"/>
    <n v="4494.5600000000004"/>
    <n v="3417"/>
    <n v="86"/>
    <n v="2"/>
    <s v="2026-02-09"/>
    <n v="318"/>
    <n v="5"/>
    <n v="0"/>
    <s v="Yes"/>
    <x v="2"/>
    <n v="29"/>
    <n v="0.74940898345153661"/>
    <s v="Medium Risk"/>
    <s v="Monitor Sales"/>
  </r>
  <r>
    <n v="266"/>
    <x v="23"/>
    <x v="2"/>
    <x v="3"/>
    <n v="170"/>
    <n v="211"/>
    <n v="243"/>
    <n v="1455.77"/>
    <n v="799.78"/>
    <n v="84"/>
    <n v="15"/>
    <s v="2026-01-28"/>
    <n v="210"/>
    <n v="3"/>
    <n v="34"/>
    <s v="Yes"/>
    <x v="0"/>
    <n v="-32"/>
    <n v="1.2411764705882353"/>
    <s v="Low Risk"/>
    <s v="Maintain Stock"/>
  </r>
  <r>
    <n v="267"/>
    <x v="79"/>
    <x v="4"/>
    <x v="0"/>
    <n v="332"/>
    <n v="287"/>
    <n v="251"/>
    <n v="352.46"/>
    <n v="184.25"/>
    <n v="146"/>
    <n v="6"/>
    <s v="2026-01-17"/>
    <n v="276"/>
    <n v="1"/>
    <n v="28"/>
    <s v="No"/>
    <x v="2"/>
    <n v="36"/>
    <n v="0.86445783132530118"/>
    <s v="Medium Risk"/>
    <s v="Monitor Sales"/>
  </r>
  <r>
    <n v="268"/>
    <x v="10"/>
    <x v="4"/>
    <x v="0"/>
    <n v="20"/>
    <n v="449"/>
    <n v="400"/>
    <n v="1011.24"/>
    <n v="604.20000000000005"/>
    <n v="115"/>
    <n v="4"/>
    <s v="2026-03-14"/>
    <n v="180"/>
    <n v="1"/>
    <n v="16"/>
    <s v="No"/>
    <x v="2"/>
    <n v="49"/>
    <n v="22.45"/>
    <s v="Low Risk"/>
    <s v="Maintain Stock"/>
  </r>
  <r>
    <n v="269"/>
    <x v="81"/>
    <x v="3"/>
    <x v="1"/>
    <n v="486"/>
    <n v="276"/>
    <n v="292"/>
    <n v="1308.06"/>
    <n v="748.95"/>
    <n v="102"/>
    <n v="3"/>
    <s v="2026-01-13"/>
    <n v="181"/>
    <n v="2"/>
    <n v="6"/>
    <s v="Yes"/>
    <x v="1"/>
    <n v="-16"/>
    <n v="0.5679012345679012"/>
    <s v="Medium Risk"/>
    <s v="Monitor Sales"/>
  </r>
  <r>
    <n v="270"/>
    <x v="54"/>
    <x v="0"/>
    <x v="3"/>
    <n v="389"/>
    <n v="181"/>
    <n v="190"/>
    <n v="4493.96"/>
    <n v="2304.02"/>
    <n v="149"/>
    <n v="6"/>
    <s v="2026-02-26"/>
    <n v="176"/>
    <n v="2"/>
    <n v="18"/>
    <s v="Yes"/>
    <x v="2"/>
    <n v="-9"/>
    <n v="0.4652956298200514"/>
    <s v="High Risk"/>
    <s v="Apply Discount / Promotion"/>
  </r>
  <r>
    <n v="271"/>
    <x v="10"/>
    <x v="2"/>
    <x v="1"/>
    <n v="479"/>
    <n v="227"/>
    <n v="231"/>
    <n v="1516.96"/>
    <n v="879.53"/>
    <n v="104"/>
    <n v="8"/>
    <s v="2026-02-06"/>
    <n v="260"/>
    <n v="4"/>
    <n v="28"/>
    <s v="No"/>
    <x v="1"/>
    <n v="-4"/>
    <n v="0.47390396659707723"/>
    <s v="High Risk"/>
    <s v="Apply Discount / Promotion"/>
  </r>
  <r>
    <n v="272"/>
    <x v="61"/>
    <x v="3"/>
    <x v="0"/>
    <n v="462"/>
    <n v="351"/>
    <n v="379"/>
    <n v="645.88"/>
    <n v="345.14"/>
    <n v="103"/>
    <n v="5"/>
    <s v="2026-03-15"/>
    <n v="88"/>
    <n v="2"/>
    <n v="6"/>
    <s v="No"/>
    <x v="2"/>
    <n v="-28"/>
    <n v="0.75974025974025972"/>
    <s v="Medium Risk"/>
    <s v="Monitor Sales"/>
  </r>
  <r>
    <n v="273"/>
    <x v="62"/>
    <x v="4"/>
    <x v="3"/>
    <n v="165"/>
    <n v="17"/>
    <n v="48"/>
    <n v="1515.03"/>
    <n v="1038.2"/>
    <n v="80"/>
    <n v="1"/>
    <s v="2026-02-06"/>
    <n v="143"/>
    <n v="3"/>
    <n v="6"/>
    <s v="No"/>
    <x v="2"/>
    <n v="-31"/>
    <n v="0.10303030303030303"/>
    <s v="High Risk"/>
    <s v="Apply Discount / Promotion"/>
  </r>
  <r>
    <n v="274"/>
    <x v="40"/>
    <x v="0"/>
    <x v="1"/>
    <n v="490"/>
    <n v="0"/>
    <n v="10"/>
    <n v="3201.36"/>
    <n v="1686.02"/>
    <n v="50"/>
    <n v="1"/>
    <s v="2026-02-09"/>
    <n v="203"/>
    <n v="1"/>
    <n v="44"/>
    <s v="No"/>
    <x v="2"/>
    <n v="-10"/>
    <n v="0"/>
    <s v="High Risk"/>
    <s v="Apply Discount / Promotion"/>
  </r>
  <r>
    <n v="275"/>
    <x v="32"/>
    <x v="0"/>
    <x v="2"/>
    <n v="205"/>
    <n v="141"/>
    <n v="92"/>
    <n v="265.33999999999997"/>
    <n v="153.03"/>
    <n v="75"/>
    <n v="1"/>
    <s v="2026-03-10"/>
    <n v="279"/>
    <n v="1"/>
    <n v="8"/>
    <s v="Yes"/>
    <x v="2"/>
    <n v="49"/>
    <n v="0.68780487804878043"/>
    <s v="Medium Risk"/>
    <s v="Monitor Sales"/>
  </r>
  <r>
    <n v="276"/>
    <x v="37"/>
    <x v="3"/>
    <x v="0"/>
    <n v="412"/>
    <n v="116"/>
    <n v="96"/>
    <n v="1604.66"/>
    <n v="1157.6199999999999"/>
    <n v="89"/>
    <n v="8"/>
    <s v="2026-03-10"/>
    <n v="251"/>
    <n v="1"/>
    <n v="16"/>
    <s v="Yes"/>
    <x v="2"/>
    <n v="20"/>
    <n v="0.28155339805825241"/>
    <s v="High Risk"/>
    <s v="Apply Discount / Promotion"/>
  </r>
  <r>
    <n v="277"/>
    <x v="41"/>
    <x v="2"/>
    <x v="2"/>
    <n v="424"/>
    <n v="122"/>
    <n v="123"/>
    <n v="3449.35"/>
    <n v="2140.09"/>
    <n v="129"/>
    <n v="5"/>
    <s v="2026-02-25"/>
    <n v="189"/>
    <n v="2"/>
    <n v="34"/>
    <s v="Yes"/>
    <x v="2"/>
    <n v="-1"/>
    <n v="0.28773584905660377"/>
    <s v="High Risk"/>
    <s v="Apply Discount / Promotion"/>
  </r>
  <r>
    <n v="278"/>
    <x v="41"/>
    <x v="4"/>
    <x v="0"/>
    <n v="296"/>
    <n v="378"/>
    <n v="394"/>
    <n v="1934.98"/>
    <n v="1338.88"/>
    <n v="106"/>
    <n v="7"/>
    <s v="2026-02-19"/>
    <n v="206"/>
    <n v="4"/>
    <n v="14"/>
    <s v="No"/>
    <x v="0"/>
    <n v="-16"/>
    <n v="1.277027027027027"/>
    <s v="Low Risk"/>
    <s v="Maintain Stock"/>
  </r>
  <r>
    <n v="279"/>
    <x v="84"/>
    <x v="4"/>
    <x v="3"/>
    <n v="198"/>
    <n v="384"/>
    <n v="397"/>
    <n v="2374.39"/>
    <n v="1279.77"/>
    <n v="38"/>
    <n v="2"/>
    <s v="2026-03-27"/>
    <n v="161"/>
    <n v="3"/>
    <n v="3"/>
    <s v="No"/>
    <x v="0"/>
    <n v="-13"/>
    <n v="1.9393939393939394"/>
    <s v="Low Risk"/>
    <s v="Maintain Stock"/>
  </r>
  <r>
    <n v="280"/>
    <x v="60"/>
    <x v="4"/>
    <x v="1"/>
    <n v="276"/>
    <n v="238"/>
    <n v="252"/>
    <n v="3519.58"/>
    <n v="2273.4899999999998"/>
    <n v="47"/>
    <n v="13"/>
    <s v="2026-01-16"/>
    <n v="181"/>
    <n v="5"/>
    <n v="26"/>
    <s v="No"/>
    <x v="1"/>
    <n v="-14"/>
    <n v="0.8623188405797102"/>
    <s v="Medium Risk"/>
    <s v="Monitor Sales"/>
  </r>
  <r>
    <n v="281"/>
    <x v="16"/>
    <x v="4"/>
    <x v="3"/>
    <n v="72"/>
    <n v="241"/>
    <n v="228"/>
    <n v="207.1"/>
    <n v="148.06"/>
    <n v="126"/>
    <n v="8"/>
    <s v="2025-12-30"/>
    <n v="239"/>
    <n v="1"/>
    <n v="3"/>
    <s v="Yes"/>
    <x v="1"/>
    <n v="13"/>
    <n v="3.3472222222222223"/>
    <s v="Low Risk"/>
    <s v="Maintain Stock"/>
  </r>
  <r>
    <n v="282"/>
    <x v="88"/>
    <x v="1"/>
    <x v="3"/>
    <n v="27"/>
    <n v="277"/>
    <n v="297"/>
    <n v="4592.8100000000004"/>
    <n v="2384.7399999999998"/>
    <n v="74"/>
    <n v="3"/>
    <s v="2026-02-06"/>
    <n v="160"/>
    <n v="4"/>
    <n v="9"/>
    <s v="No"/>
    <x v="2"/>
    <n v="-20"/>
    <n v="10.25925925925926"/>
    <s v="Low Risk"/>
    <s v="Maintain Stock"/>
  </r>
  <r>
    <n v="283"/>
    <x v="70"/>
    <x v="0"/>
    <x v="2"/>
    <n v="478"/>
    <n v="392"/>
    <n v="386"/>
    <n v="140.47999999999999"/>
    <n v="80.650000000000006"/>
    <n v="100"/>
    <n v="1"/>
    <s v="2026-03-05"/>
    <n v="351"/>
    <n v="3"/>
    <n v="29"/>
    <s v="No"/>
    <x v="0"/>
    <n v="6"/>
    <n v="0.82008368200836823"/>
    <s v="Medium Risk"/>
    <s v="Monitor Sales"/>
  </r>
  <r>
    <n v="284"/>
    <x v="65"/>
    <x v="0"/>
    <x v="1"/>
    <n v="231"/>
    <n v="179"/>
    <n v="131"/>
    <n v="3978.94"/>
    <n v="2941.94"/>
    <n v="101"/>
    <n v="7"/>
    <s v="2026-01-06"/>
    <n v="184"/>
    <n v="3"/>
    <n v="10"/>
    <s v="No"/>
    <x v="1"/>
    <n v="48"/>
    <n v="0.77489177489177485"/>
    <s v="Medium Risk"/>
    <s v="Monitor Sales"/>
  </r>
  <r>
    <n v="285"/>
    <x v="59"/>
    <x v="2"/>
    <x v="3"/>
    <n v="40"/>
    <n v="85"/>
    <n v="36"/>
    <n v="3676.49"/>
    <n v="2759.24"/>
    <n v="43"/>
    <n v="5"/>
    <s v="2026-03-14"/>
    <n v="259"/>
    <n v="3"/>
    <n v="23"/>
    <s v="No"/>
    <x v="1"/>
    <n v="49"/>
    <n v="2.125"/>
    <s v="Low Risk"/>
    <s v="Maintain Stock"/>
  </r>
  <r>
    <n v="286"/>
    <x v="31"/>
    <x v="1"/>
    <x v="2"/>
    <n v="247"/>
    <n v="157"/>
    <n v="138"/>
    <n v="1751.6"/>
    <n v="1154.57"/>
    <n v="118"/>
    <n v="3"/>
    <s v="2026-01-11"/>
    <n v="352"/>
    <n v="1"/>
    <n v="29"/>
    <s v="Yes"/>
    <x v="2"/>
    <n v="19"/>
    <n v="0.63562753036437247"/>
    <s v="Medium Risk"/>
    <s v="Monitor Sales"/>
  </r>
  <r>
    <n v="287"/>
    <x v="42"/>
    <x v="0"/>
    <x v="2"/>
    <n v="373"/>
    <n v="187"/>
    <n v="186"/>
    <n v="1797.23"/>
    <n v="1318.99"/>
    <n v="122"/>
    <n v="5"/>
    <s v="2026-02-10"/>
    <n v="252"/>
    <n v="3"/>
    <n v="9"/>
    <s v="Yes"/>
    <x v="2"/>
    <n v="1"/>
    <n v="0.50134048257372654"/>
    <s v="Medium Risk"/>
    <s v="Monitor Sales"/>
  </r>
  <r>
    <n v="288"/>
    <x v="78"/>
    <x v="4"/>
    <x v="1"/>
    <n v="44"/>
    <n v="94"/>
    <n v="113"/>
    <n v="1471.58"/>
    <n v="1062.99"/>
    <n v="39"/>
    <n v="6"/>
    <s v="2026-01-07"/>
    <n v="58"/>
    <n v="2"/>
    <n v="44"/>
    <s v="No"/>
    <x v="2"/>
    <n v="-19"/>
    <n v="2.1363636363636362"/>
    <s v="Low Risk"/>
    <s v="Maintain Stock"/>
  </r>
  <r>
    <n v="289"/>
    <x v="91"/>
    <x v="4"/>
    <x v="0"/>
    <n v="111"/>
    <n v="395"/>
    <n v="363"/>
    <n v="1530.24"/>
    <n v="976.62"/>
    <n v="108"/>
    <n v="7"/>
    <s v="2026-02-10"/>
    <n v="75"/>
    <n v="4"/>
    <n v="8"/>
    <s v="Yes"/>
    <x v="2"/>
    <n v="32"/>
    <n v="3.5585585585585586"/>
    <s v="Low Risk"/>
    <s v="Maintain Stock"/>
  </r>
  <r>
    <n v="290"/>
    <x v="85"/>
    <x v="0"/>
    <x v="1"/>
    <n v="141"/>
    <n v="305"/>
    <n v="262"/>
    <n v="1699.25"/>
    <n v="1119.0999999999999"/>
    <n v="63"/>
    <n v="3"/>
    <s v="2026-02-28"/>
    <n v="52"/>
    <n v="1"/>
    <n v="46"/>
    <s v="Yes"/>
    <x v="1"/>
    <n v="43"/>
    <n v="2.1631205673758864"/>
    <s v="Low Risk"/>
    <s v="Maintain Stock"/>
  </r>
  <r>
    <n v="291"/>
    <x v="63"/>
    <x v="3"/>
    <x v="2"/>
    <n v="113"/>
    <n v="366"/>
    <n v="384"/>
    <n v="3231.6"/>
    <n v="2363.34"/>
    <n v="143"/>
    <n v="11"/>
    <s v="2026-01-13"/>
    <n v="37"/>
    <n v="1"/>
    <n v="17"/>
    <s v="Yes"/>
    <x v="0"/>
    <n v="-18"/>
    <n v="3.2389380530973453"/>
    <s v="Low Risk"/>
    <s v="Maintain Stock"/>
  </r>
  <r>
    <n v="292"/>
    <x v="61"/>
    <x v="3"/>
    <x v="0"/>
    <n v="276"/>
    <n v="25"/>
    <n v="32"/>
    <n v="4577.46"/>
    <n v="2820.05"/>
    <n v="82"/>
    <n v="12"/>
    <s v="2026-02-03"/>
    <n v="180"/>
    <n v="5"/>
    <n v="32"/>
    <s v="No"/>
    <x v="0"/>
    <n v="-7"/>
    <n v="9.0579710144927536E-2"/>
    <s v="High Risk"/>
    <s v="Apply Discount / Promotion"/>
  </r>
  <r>
    <n v="293"/>
    <x v="55"/>
    <x v="1"/>
    <x v="3"/>
    <n v="320"/>
    <n v="36"/>
    <n v="80"/>
    <n v="2522.14"/>
    <n v="1435.76"/>
    <n v="31"/>
    <n v="15"/>
    <s v="2026-03-04"/>
    <n v="172"/>
    <n v="3"/>
    <n v="27"/>
    <s v="No"/>
    <x v="1"/>
    <n v="-44"/>
    <n v="0.1125"/>
    <s v="High Risk"/>
    <s v="Apply Discount / Promotion"/>
  </r>
  <r>
    <n v="294"/>
    <x v="33"/>
    <x v="1"/>
    <x v="3"/>
    <n v="79"/>
    <n v="32"/>
    <n v="13"/>
    <n v="4530.26"/>
    <n v="2519.04"/>
    <n v="73"/>
    <n v="15"/>
    <s v="2025-12-29"/>
    <n v="49"/>
    <n v="2"/>
    <n v="12"/>
    <s v="No"/>
    <x v="2"/>
    <n v="19"/>
    <n v="0.4050632911392405"/>
    <s v="High Risk"/>
    <s v="Apply Discount / Promotion"/>
  </r>
  <r>
    <n v="295"/>
    <x v="87"/>
    <x v="2"/>
    <x v="2"/>
    <n v="249"/>
    <n v="148"/>
    <n v="102"/>
    <n v="631.16"/>
    <n v="365.39"/>
    <n v="91"/>
    <n v="3"/>
    <s v="2026-03-24"/>
    <n v="252"/>
    <n v="3"/>
    <n v="41"/>
    <s v="Yes"/>
    <x v="2"/>
    <n v="46"/>
    <n v="0.59437751004016059"/>
    <s v="Medium Risk"/>
    <s v="Monitor Sales"/>
  </r>
  <r>
    <n v="296"/>
    <x v="86"/>
    <x v="0"/>
    <x v="2"/>
    <n v="150"/>
    <n v="370"/>
    <n v="336"/>
    <n v="4199.8999999999996"/>
    <n v="2472.7600000000002"/>
    <n v="43"/>
    <n v="14"/>
    <s v="2026-01-10"/>
    <n v="99"/>
    <n v="2"/>
    <n v="34"/>
    <s v="Yes"/>
    <x v="0"/>
    <n v="34"/>
    <n v="2.4666666666666668"/>
    <s v="Low Risk"/>
    <s v="Maintain Stock"/>
  </r>
  <r>
    <n v="297"/>
    <x v="21"/>
    <x v="0"/>
    <x v="3"/>
    <n v="251"/>
    <n v="292"/>
    <n v="246"/>
    <n v="3337.92"/>
    <n v="2179.4299999999998"/>
    <n v="68"/>
    <n v="12"/>
    <s v="2026-02-28"/>
    <n v="35"/>
    <n v="1"/>
    <n v="25"/>
    <s v="Yes"/>
    <x v="0"/>
    <n v="46"/>
    <n v="1.1633466135458168"/>
    <s v="Low Risk"/>
    <s v="Maintain Stock"/>
  </r>
  <r>
    <n v="298"/>
    <x v="15"/>
    <x v="3"/>
    <x v="3"/>
    <n v="373"/>
    <n v="168"/>
    <n v="178"/>
    <n v="725.69"/>
    <n v="421.92"/>
    <n v="45"/>
    <n v="6"/>
    <s v="2026-03-18"/>
    <n v="210"/>
    <n v="3"/>
    <n v="35"/>
    <s v="Yes"/>
    <x v="1"/>
    <n v="-10"/>
    <n v="0.45040214477211798"/>
    <s v="High Risk"/>
    <s v="Apply Discount / Promotion"/>
  </r>
  <r>
    <n v="299"/>
    <x v="71"/>
    <x v="3"/>
    <x v="1"/>
    <n v="281"/>
    <n v="246"/>
    <n v="252"/>
    <n v="3380.15"/>
    <n v="2689.37"/>
    <n v="114"/>
    <n v="12"/>
    <s v="2026-03-09"/>
    <n v="307"/>
    <n v="4"/>
    <n v="35"/>
    <s v="Yes"/>
    <x v="2"/>
    <n v="-6"/>
    <n v="0.8754448398576512"/>
    <s v="Medium Risk"/>
    <s v="Monitor Sales"/>
  </r>
  <r>
    <n v="300"/>
    <x v="81"/>
    <x v="4"/>
    <x v="3"/>
    <n v="269"/>
    <n v="246"/>
    <n v="258"/>
    <n v="3557.26"/>
    <n v="2267.4299999999998"/>
    <n v="139"/>
    <n v="2"/>
    <s v="2026-03-06"/>
    <n v="268"/>
    <n v="5"/>
    <n v="23"/>
    <s v="Yes"/>
    <x v="0"/>
    <n v="-12"/>
    <n v="0.91449814126394047"/>
    <s v="Medium Risk"/>
    <s v="Monitor Sales"/>
  </r>
  <r>
    <n v="301"/>
    <x v="42"/>
    <x v="2"/>
    <x v="2"/>
    <n v="364"/>
    <n v="207"/>
    <n v="176"/>
    <n v="2029.54"/>
    <n v="1521.4"/>
    <n v="92"/>
    <n v="1"/>
    <s v="2026-01-11"/>
    <n v="42"/>
    <n v="5"/>
    <n v="11"/>
    <s v="No"/>
    <x v="1"/>
    <n v="31"/>
    <n v="0.56868131868131866"/>
    <s v="Medium Risk"/>
    <s v="Monitor Sales"/>
  </r>
  <r>
    <n v="302"/>
    <x v="38"/>
    <x v="4"/>
    <x v="3"/>
    <n v="360"/>
    <n v="18"/>
    <n v="31"/>
    <n v="1020.41"/>
    <n v="700.76"/>
    <n v="102"/>
    <n v="10"/>
    <s v="2026-03-22"/>
    <n v="235"/>
    <n v="3"/>
    <n v="6"/>
    <s v="Yes"/>
    <x v="0"/>
    <n v="-13"/>
    <n v="0.05"/>
    <s v="High Risk"/>
    <s v="Apply Discount / Promotion"/>
  </r>
  <r>
    <n v="303"/>
    <x v="15"/>
    <x v="2"/>
    <x v="3"/>
    <n v="379"/>
    <n v="359"/>
    <n v="372"/>
    <n v="3335.94"/>
    <n v="2615.65"/>
    <n v="128"/>
    <n v="11"/>
    <s v="2026-02-02"/>
    <n v="306"/>
    <n v="2"/>
    <n v="0"/>
    <s v="No"/>
    <x v="0"/>
    <n v="-13"/>
    <n v="0.94722955145118737"/>
    <s v="Medium Risk"/>
    <s v="Monitor Sales"/>
  </r>
  <r>
    <n v="304"/>
    <x v="81"/>
    <x v="1"/>
    <x v="3"/>
    <n v="64"/>
    <n v="249"/>
    <n v="206"/>
    <n v="2329.52"/>
    <n v="1718.86"/>
    <n v="107"/>
    <n v="7"/>
    <s v="2026-01-13"/>
    <n v="135"/>
    <n v="4"/>
    <n v="14"/>
    <s v="No"/>
    <x v="1"/>
    <n v="43"/>
    <n v="3.890625"/>
    <s v="Low Risk"/>
    <s v="Maintain Stock"/>
  </r>
  <r>
    <n v="305"/>
    <x v="71"/>
    <x v="2"/>
    <x v="2"/>
    <n v="246"/>
    <n v="236"/>
    <n v="237"/>
    <n v="1916.06"/>
    <n v="1431.23"/>
    <n v="92"/>
    <n v="12"/>
    <s v="2025-12-31"/>
    <n v="44"/>
    <n v="3"/>
    <n v="49"/>
    <s v="Yes"/>
    <x v="2"/>
    <n v="-1"/>
    <n v="0.95934959349593496"/>
    <s v="Medium Risk"/>
    <s v="Monitor Sales"/>
  </r>
  <r>
    <n v="306"/>
    <x v="2"/>
    <x v="1"/>
    <x v="3"/>
    <n v="142"/>
    <n v="172"/>
    <n v="182"/>
    <n v="634.29999999999995"/>
    <n v="329.21"/>
    <n v="49"/>
    <n v="6"/>
    <s v="2026-02-16"/>
    <n v="248"/>
    <n v="4"/>
    <n v="11"/>
    <s v="Yes"/>
    <x v="1"/>
    <n v="-10"/>
    <n v="1.2112676056338028"/>
    <s v="Low Risk"/>
    <s v="Maintain Stock"/>
  </r>
  <r>
    <n v="307"/>
    <x v="27"/>
    <x v="3"/>
    <x v="1"/>
    <n v="205"/>
    <n v="16"/>
    <n v="37"/>
    <n v="4717.6899999999996"/>
    <n v="2462.63"/>
    <n v="98"/>
    <n v="1"/>
    <s v="2026-01-03"/>
    <n v="261"/>
    <n v="4"/>
    <n v="12"/>
    <s v="Yes"/>
    <x v="2"/>
    <n v="-21"/>
    <n v="7.8048780487804878E-2"/>
    <s v="High Risk"/>
    <s v="Apply Discount / Promotion"/>
  </r>
  <r>
    <n v="308"/>
    <x v="55"/>
    <x v="0"/>
    <x v="3"/>
    <n v="419"/>
    <n v="275"/>
    <n v="264"/>
    <n v="4579.1400000000003"/>
    <n v="2973.42"/>
    <n v="40"/>
    <n v="7"/>
    <s v="2026-01-28"/>
    <n v="209"/>
    <n v="1"/>
    <n v="25"/>
    <s v="No"/>
    <x v="1"/>
    <n v="11"/>
    <n v="0.65632458233890212"/>
    <s v="Medium Risk"/>
    <s v="Monitor Sales"/>
  </r>
  <r>
    <n v="309"/>
    <x v="54"/>
    <x v="0"/>
    <x v="1"/>
    <n v="455"/>
    <n v="162"/>
    <n v="208"/>
    <n v="2844.29"/>
    <n v="1675.61"/>
    <n v="119"/>
    <n v="4"/>
    <s v="2025-12-30"/>
    <n v="187"/>
    <n v="1"/>
    <n v="15"/>
    <s v="Yes"/>
    <x v="0"/>
    <n v="-46"/>
    <n v="0.35604395604395606"/>
    <s v="High Risk"/>
    <s v="Apply Discount / Promotion"/>
  </r>
  <r>
    <n v="310"/>
    <x v="38"/>
    <x v="4"/>
    <x v="1"/>
    <n v="84"/>
    <n v="303"/>
    <n v="352"/>
    <n v="2929.6"/>
    <n v="2186.7600000000002"/>
    <n v="54"/>
    <n v="5"/>
    <s v="2026-03-05"/>
    <n v="234"/>
    <n v="2"/>
    <n v="25"/>
    <s v="Yes"/>
    <x v="0"/>
    <n v="-49"/>
    <n v="3.6071428571428572"/>
    <s v="Low Risk"/>
    <s v="Maintain Stock"/>
  </r>
  <r>
    <n v="311"/>
    <x v="85"/>
    <x v="2"/>
    <x v="2"/>
    <n v="77"/>
    <n v="273"/>
    <n v="306"/>
    <n v="4758.4399999999996"/>
    <n v="2916.76"/>
    <n v="70"/>
    <n v="3"/>
    <s v="2026-01-28"/>
    <n v="140"/>
    <n v="5"/>
    <n v="12"/>
    <s v="Yes"/>
    <x v="1"/>
    <n v="-33"/>
    <n v="3.5454545454545454"/>
    <s v="Low Risk"/>
    <s v="Maintain Stock"/>
  </r>
  <r>
    <n v="312"/>
    <x v="12"/>
    <x v="4"/>
    <x v="3"/>
    <n v="470"/>
    <n v="137"/>
    <n v="150"/>
    <n v="2480.8200000000002"/>
    <n v="1401.44"/>
    <n v="90"/>
    <n v="11"/>
    <s v="2026-03-16"/>
    <n v="207"/>
    <n v="4"/>
    <n v="4"/>
    <s v="No"/>
    <x v="2"/>
    <n v="-13"/>
    <n v="0.29148936170212764"/>
    <s v="High Risk"/>
    <s v="Apply Discount / Promotion"/>
  </r>
  <r>
    <n v="313"/>
    <x v="28"/>
    <x v="3"/>
    <x v="1"/>
    <n v="450"/>
    <n v="3"/>
    <n v="49"/>
    <n v="1677.88"/>
    <n v="1076.8900000000001"/>
    <n v="119"/>
    <n v="1"/>
    <s v="2026-03-07"/>
    <n v="280"/>
    <n v="1"/>
    <n v="6"/>
    <s v="No"/>
    <x v="1"/>
    <n v="-46"/>
    <n v="6.6666666666666671E-3"/>
    <s v="High Risk"/>
    <s v="Apply Discount / Promotion"/>
  </r>
  <r>
    <n v="314"/>
    <x v="2"/>
    <x v="2"/>
    <x v="3"/>
    <n v="489"/>
    <n v="319"/>
    <n v="271"/>
    <n v="1944.76"/>
    <n v="1241.42"/>
    <n v="92"/>
    <n v="11"/>
    <s v="2026-02-01"/>
    <n v="70"/>
    <n v="3"/>
    <n v="38"/>
    <s v="No"/>
    <x v="1"/>
    <n v="48"/>
    <n v="0.65235173824130877"/>
    <s v="Medium Risk"/>
    <s v="Monitor Sales"/>
  </r>
  <r>
    <n v="315"/>
    <x v="90"/>
    <x v="1"/>
    <x v="0"/>
    <n v="492"/>
    <n v="2"/>
    <n v="52"/>
    <n v="1067.04"/>
    <n v="578.79999999999995"/>
    <n v="92"/>
    <n v="5"/>
    <s v="2026-01-11"/>
    <n v="354"/>
    <n v="2"/>
    <n v="18"/>
    <s v="Yes"/>
    <x v="1"/>
    <n v="-50"/>
    <n v="4.0650406504065045E-3"/>
    <s v="High Risk"/>
    <s v="Apply Discount / Promotion"/>
  </r>
  <r>
    <n v="316"/>
    <x v="55"/>
    <x v="1"/>
    <x v="0"/>
    <n v="458"/>
    <n v="360"/>
    <n v="388"/>
    <n v="4180.7299999999996"/>
    <n v="2633.05"/>
    <n v="101"/>
    <n v="10"/>
    <s v="2026-03-19"/>
    <n v="351"/>
    <n v="3"/>
    <n v="20"/>
    <s v="Yes"/>
    <x v="2"/>
    <n v="-28"/>
    <n v="0.78602620087336239"/>
    <s v="Medium Risk"/>
    <s v="Monitor Sales"/>
  </r>
  <r>
    <n v="317"/>
    <x v="26"/>
    <x v="0"/>
    <x v="0"/>
    <n v="416"/>
    <n v="223"/>
    <n v="248"/>
    <n v="1119.1199999999999"/>
    <n v="731.16"/>
    <n v="59"/>
    <n v="9"/>
    <s v="2026-03-24"/>
    <n v="262"/>
    <n v="5"/>
    <n v="37"/>
    <s v="Yes"/>
    <x v="2"/>
    <n v="-25"/>
    <n v="0.53605769230769229"/>
    <s v="Medium Risk"/>
    <s v="Monitor Sales"/>
  </r>
  <r>
    <n v="318"/>
    <x v="83"/>
    <x v="0"/>
    <x v="1"/>
    <n v="282"/>
    <n v="114"/>
    <n v="72"/>
    <n v="2395.41"/>
    <n v="1208.1099999999999"/>
    <n v="98"/>
    <n v="5"/>
    <s v="2026-01-01"/>
    <n v="98"/>
    <n v="4"/>
    <n v="20"/>
    <s v="Yes"/>
    <x v="1"/>
    <n v="42"/>
    <n v="0.40425531914893614"/>
    <s v="High Risk"/>
    <s v="Apply Discount / Promotion"/>
  </r>
  <r>
    <n v="319"/>
    <x v="80"/>
    <x v="2"/>
    <x v="0"/>
    <n v="152"/>
    <n v="310"/>
    <n v="314"/>
    <n v="4439.0600000000004"/>
    <n v="2455.52"/>
    <n v="47"/>
    <n v="8"/>
    <s v="2026-03-20"/>
    <n v="124"/>
    <n v="4"/>
    <n v="35"/>
    <s v="No"/>
    <x v="2"/>
    <n v="-4"/>
    <n v="2.0394736842105261"/>
    <s v="Low Risk"/>
    <s v="Maintain Stock"/>
  </r>
  <r>
    <n v="320"/>
    <x v="54"/>
    <x v="4"/>
    <x v="3"/>
    <n v="335"/>
    <n v="65"/>
    <n v="68"/>
    <n v="254.16"/>
    <n v="127.58"/>
    <n v="127"/>
    <n v="7"/>
    <s v="2026-02-02"/>
    <n v="70"/>
    <n v="3"/>
    <n v="25"/>
    <s v="Yes"/>
    <x v="1"/>
    <n v="-3"/>
    <n v="0.19402985074626866"/>
    <s v="High Risk"/>
    <s v="Apply Discount / Promotion"/>
  </r>
  <r>
    <n v="321"/>
    <x v="86"/>
    <x v="3"/>
    <x v="3"/>
    <n v="128"/>
    <n v="72"/>
    <n v="39"/>
    <n v="2343.69"/>
    <n v="1346.07"/>
    <n v="62"/>
    <n v="7"/>
    <s v="2026-03-27"/>
    <n v="338"/>
    <n v="1"/>
    <n v="40"/>
    <s v="Yes"/>
    <x v="2"/>
    <n v="33"/>
    <n v="0.5625"/>
    <s v="Medium Risk"/>
    <s v="Monitor Sales"/>
  </r>
  <r>
    <n v="322"/>
    <x v="45"/>
    <x v="2"/>
    <x v="2"/>
    <n v="254"/>
    <n v="76"/>
    <n v="98"/>
    <n v="1200.78"/>
    <n v="865.31"/>
    <n v="86"/>
    <n v="7"/>
    <s v="2026-03-22"/>
    <n v="209"/>
    <n v="5"/>
    <n v="15"/>
    <s v="Yes"/>
    <x v="0"/>
    <n v="-22"/>
    <n v="0.29921259842519687"/>
    <s v="High Risk"/>
    <s v="Apply Discount / Promotion"/>
  </r>
  <r>
    <n v="323"/>
    <x v="56"/>
    <x v="1"/>
    <x v="1"/>
    <n v="250"/>
    <n v="307"/>
    <n v="290"/>
    <n v="3705.38"/>
    <n v="2953.56"/>
    <n v="66"/>
    <n v="10"/>
    <s v="2026-01-06"/>
    <n v="144"/>
    <n v="4"/>
    <n v="42"/>
    <s v="Yes"/>
    <x v="2"/>
    <n v="17"/>
    <n v="1.228"/>
    <s v="Low Risk"/>
    <s v="Maintain Stock"/>
  </r>
  <r>
    <n v="324"/>
    <x v="86"/>
    <x v="2"/>
    <x v="0"/>
    <n v="438"/>
    <n v="176"/>
    <n v="176"/>
    <n v="1351.24"/>
    <n v="848.21"/>
    <n v="71"/>
    <n v="2"/>
    <s v="2026-01-04"/>
    <n v="214"/>
    <n v="1"/>
    <n v="46"/>
    <s v="Yes"/>
    <x v="1"/>
    <n v="0"/>
    <n v="0.40182648401826482"/>
    <s v="High Risk"/>
    <s v="Apply Discount / Promotion"/>
  </r>
  <r>
    <n v="325"/>
    <x v="2"/>
    <x v="0"/>
    <x v="3"/>
    <n v="260"/>
    <n v="326"/>
    <n v="319"/>
    <n v="2210.7399999999998"/>
    <n v="1208.95"/>
    <n v="144"/>
    <n v="3"/>
    <s v="2026-01-08"/>
    <n v="269"/>
    <n v="2"/>
    <n v="30"/>
    <s v="No"/>
    <x v="0"/>
    <n v="7"/>
    <n v="1.2538461538461538"/>
    <s v="Low Risk"/>
    <s v="Maintain Stock"/>
  </r>
  <r>
    <n v="326"/>
    <x v="20"/>
    <x v="0"/>
    <x v="3"/>
    <n v="64"/>
    <n v="222"/>
    <n v="248"/>
    <n v="282.87"/>
    <n v="149.63"/>
    <n v="123"/>
    <n v="4"/>
    <s v="2025-12-29"/>
    <n v="202"/>
    <n v="2"/>
    <n v="38"/>
    <s v="Yes"/>
    <x v="2"/>
    <n v="-26"/>
    <n v="3.46875"/>
    <s v="Low Risk"/>
    <s v="Maintain Stock"/>
  </r>
  <r>
    <n v="327"/>
    <x v="6"/>
    <x v="2"/>
    <x v="2"/>
    <n v="95"/>
    <n v="119"/>
    <n v="74"/>
    <n v="2593.35"/>
    <n v="1596.35"/>
    <n v="37"/>
    <n v="5"/>
    <s v="2026-02-16"/>
    <n v="226"/>
    <n v="3"/>
    <n v="24"/>
    <s v="Yes"/>
    <x v="1"/>
    <n v="45"/>
    <n v="1.2526315789473683"/>
    <s v="Low Risk"/>
    <s v="Maintain Stock"/>
  </r>
  <r>
    <n v="328"/>
    <x v="92"/>
    <x v="2"/>
    <x v="3"/>
    <n v="317"/>
    <n v="63"/>
    <n v="57"/>
    <n v="3814.23"/>
    <n v="2343.15"/>
    <n v="109"/>
    <n v="6"/>
    <s v="2026-03-28"/>
    <n v="119"/>
    <n v="5"/>
    <n v="35"/>
    <s v="No"/>
    <x v="0"/>
    <n v="6"/>
    <n v="0.19873817034700317"/>
    <s v="High Risk"/>
    <s v="Apply Discount / Promotion"/>
  </r>
  <r>
    <n v="329"/>
    <x v="27"/>
    <x v="4"/>
    <x v="1"/>
    <n v="31"/>
    <n v="334"/>
    <n v="311"/>
    <n v="391.15"/>
    <n v="298.08999999999997"/>
    <n v="148"/>
    <n v="4"/>
    <s v="2026-03-02"/>
    <n v="91"/>
    <n v="2"/>
    <n v="23"/>
    <s v="Yes"/>
    <x v="0"/>
    <n v="23"/>
    <n v="10.774193548387096"/>
    <s v="Low Risk"/>
    <s v="Maintain Stock"/>
  </r>
  <r>
    <n v="330"/>
    <x v="85"/>
    <x v="0"/>
    <x v="3"/>
    <n v="119"/>
    <n v="184"/>
    <n v="171"/>
    <n v="4909.8900000000003"/>
    <n v="3522.64"/>
    <n v="60"/>
    <n v="9"/>
    <s v="2026-02-02"/>
    <n v="197"/>
    <n v="3"/>
    <n v="37"/>
    <s v="Yes"/>
    <x v="2"/>
    <n v="13"/>
    <n v="1.546218487394958"/>
    <s v="Low Risk"/>
    <s v="Maintain Stock"/>
  </r>
  <r>
    <n v="331"/>
    <x v="93"/>
    <x v="3"/>
    <x v="2"/>
    <n v="210"/>
    <n v="185"/>
    <n v="196"/>
    <n v="1465.07"/>
    <n v="1082.8900000000001"/>
    <n v="54"/>
    <n v="8"/>
    <s v="2026-03-25"/>
    <n v="220"/>
    <n v="2"/>
    <n v="45"/>
    <s v="No"/>
    <x v="0"/>
    <n v="-11"/>
    <n v="0.88095238095238093"/>
    <s v="Medium Risk"/>
    <s v="Monitor Sales"/>
  </r>
  <r>
    <n v="332"/>
    <x v="9"/>
    <x v="3"/>
    <x v="1"/>
    <n v="175"/>
    <n v="155"/>
    <n v="166"/>
    <n v="4396.58"/>
    <n v="3180.63"/>
    <n v="133"/>
    <n v="3"/>
    <s v="2026-01-28"/>
    <n v="177"/>
    <n v="2"/>
    <n v="34"/>
    <s v="Yes"/>
    <x v="0"/>
    <n v="-11"/>
    <n v="0.88571428571428568"/>
    <s v="Medium Risk"/>
    <s v="Monitor Sales"/>
  </r>
  <r>
    <n v="333"/>
    <x v="75"/>
    <x v="0"/>
    <x v="2"/>
    <n v="235"/>
    <n v="187"/>
    <n v="165"/>
    <n v="3726.12"/>
    <n v="2469.89"/>
    <n v="45"/>
    <n v="14"/>
    <s v="2026-01-31"/>
    <n v="211"/>
    <n v="2"/>
    <n v="37"/>
    <s v="Yes"/>
    <x v="0"/>
    <n v="22"/>
    <n v="0.79574468085106387"/>
    <s v="Medium Risk"/>
    <s v="Monitor Sales"/>
  </r>
  <r>
    <n v="334"/>
    <x v="0"/>
    <x v="3"/>
    <x v="1"/>
    <n v="316"/>
    <n v="182"/>
    <n v="177"/>
    <n v="3826.55"/>
    <n v="2692.59"/>
    <n v="147"/>
    <n v="14"/>
    <s v="2026-01-07"/>
    <n v="361"/>
    <n v="3"/>
    <n v="9"/>
    <s v="No"/>
    <x v="1"/>
    <n v="5"/>
    <n v="0.57594936708860756"/>
    <s v="Medium Risk"/>
    <s v="Monitor Sales"/>
  </r>
  <r>
    <n v="335"/>
    <x v="78"/>
    <x v="3"/>
    <x v="1"/>
    <n v="498"/>
    <n v="144"/>
    <n v="161"/>
    <n v="3951.9"/>
    <n v="2652.64"/>
    <n v="40"/>
    <n v="15"/>
    <s v="2026-01-31"/>
    <n v="242"/>
    <n v="2"/>
    <n v="5"/>
    <s v="No"/>
    <x v="2"/>
    <n v="-17"/>
    <n v="0.28915662650602408"/>
    <s v="High Risk"/>
    <s v="Apply Discount / Promotion"/>
  </r>
  <r>
    <n v="336"/>
    <x v="59"/>
    <x v="3"/>
    <x v="2"/>
    <n v="429"/>
    <n v="175"/>
    <n v="141"/>
    <n v="3374.97"/>
    <n v="2480.3200000000002"/>
    <n v="92"/>
    <n v="15"/>
    <s v="2026-01-09"/>
    <n v="78"/>
    <n v="1"/>
    <n v="17"/>
    <s v="No"/>
    <x v="0"/>
    <n v="34"/>
    <n v="0.40792540792540793"/>
    <s v="High Risk"/>
    <s v="Apply Discount / Promotion"/>
  </r>
  <r>
    <n v="337"/>
    <x v="37"/>
    <x v="3"/>
    <x v="0"/>
    <n v="442"/>
    <n v="90"/>
    <n v="108"/>
    <n v="551.82000000000005"/>
    <n v="433.75"/>
    <n v="111"/>
    <n v="14"/>
    <s v="2026-01-31"/>
    <n v="93"/>
    <n v="2"/>
    <n v="3"/>
    <s v="Yes"/>
    <x v="0"/>
    <n v="-18"/>
    <n v="0.20361990950226244"/>
    <s v="High Risk"/>
    <s v="Apply Discount / Promotion"/>
  </r>
  <r>
    <n v="338"/>
    <x v="41"/>
    <x v="1"/>
    <x v="3"/>
    <n v="334"/>
    <n v="408"/>
    <n v="380"/>
    <n v="3495.83"/>
    <n v="2203.8200000000002"/>
    <n v="54"/>
    <n v="10"/>
    <s v="2026-02-11"/>
    <n v="281"/>
    <n v="3"/>
    <n v="43"/>
    <s v="Yes"/>
    <x v="2"/>
    <n v="28"/>
    <n v="1.221556886227545"/>
    <s v="Low Risk"/>
    <s v="Maintain Stock"/>
  </r>
  <r>
    <n v="339"/>
    <x v="32"/>
    <x v="0"/>
    <x v="2"/>
    <n v="460"/>
    <n v="43"/>
    <n v="15"/>
    <n v="4859.66"/>
    <n v="2556.21"/>
    <n v="118"/>
    <n v="15"/>
    <s v="2026-02-11"/>
    <n v="274"/>
    <n v="5"/>
    <n v="38"/>
    <s v="Yes"/>
    <x v="2"/>
    <n v="28"/>
    <n v="9.3478260869565219E-2"/>
    <s v="High Risk"/>
    <s v="Apply Discount / Promotion"/>
  </r>
  <r>
    <n v="340"/>
    <x v="90"/>
    <x v="3"/>
    <x v="3"/>
    <n v="285"/>
    <n v="98"/>
    <n v="106"/>
    <n v="3652.05"/>
    <n v="1854.31"/>
    <n v="49"/>
    <n v="4"/>
    <s v="2026-03-19"/>
    <n v="41"/>
    <n v="1"/>
    <n v="41"/>
    <s v="Yes"/>
    <x v="1"/>
    <n v="-8"/>
    <n v="0.34385964912280703"/>
    <s v="High Risk"/>
    <s v="Apply Discount / Promotion"/>
  </r>
  <r>
    <n v="341"/>
    <x v="1"/>
    <x v="2"/>
    <x v="1"/>
    <n v="159"/>
    <n v="111"/>
    <n v="79"/>
    <n v="4262.4799999999996"/>
    <n v="3008.79"/>
    <n v="115"/>
    <n v="12"/>
    <s v="2026-03-22"/>
    <n v="200"/>
    <n v="3"/>
    <n v="2"/>
    <s v="No"/>
    <x v="2"/>
    <n v="32"/>
    <n v="0.69811320754716977"/>
    <s v="Medium Risk"/>
    <s v="Monitor Sales"/>
  </r>
  <r>
    <n v="342"/>
    <x v="35"/>
    <x v="0"/>
    <x v="2"/>
    <n v="187"/>
    <n v="0"/>
    <n v="45"/>
    <n v="2899.61"/>
    <n v="2064.85"/>
    <n v="68"/>
    <n v="7"/>
    <s v="2026-03-16"/>
    <n v="52"/>
    <n v="4"/>
    <n v="20"/>
    <s v="No"/>
    <x v="1"/>
    <n v="-45"/>
    <n v="0"/>
    <s v="High Risk"/>
    <s v="Apply Discount / Promotion"/>
  </r>
  <r>
    <n v="343"/>
    <x v="21"/>
    <x v="2"/>
    <x v="1"/>
    <n v="293"/>
    <n v="163"/>
    <n v="129"/>
    <n v="4274.8999999999996"/>
    <n v="2815.15"/>
    <n v="91"/>
    <n v="13"/>
    <s v="2026-03-11"/>
    <n v="166"/>
    <n v="4"/>
    <n v="48"/>
    <s v="No"/>
    <x v="2"/>
    <n v="34"/>
    <n v="0.55631399317406138"/>
    <s v="Medium Risk"/>
    <s v="Monitor Sales"/>
  </r>
  <r>
    <n v="344"/>
    <x v="11"/>
    <x v="0"/>
    <x v="0"/>
    <n v="248"/>
    <n v="343"/>
    <n v="389"/>
    <n v="3579.52"/>
    <n v="2018.02"/>
    <n v="119"/>
    <n v="5"/>
    <s v="2026-03-25"/>
    <n v="117"/>
    <n v="4"/>
    <n v="44"/>
    <s v="Yes"/>
    <x v="0"/>
    <n v="-46"/>
    <n v="1.3830645161290323"/>
    <s v="Low Risk"/>
    <s v="Maintain Stock"/>
  </r>
  <r>
    <n v="345"/>
    <x v="88"/>
    <x v="4"/>
    <x v="1"/>
    <n v="407"/>
    <n v="155"/>
    <n v="175"/>
    <n v="1462.06"/>
    <n v="761.9"/>
    <n v="137"/>
    <n v="15"/>
    <s v="2025-12-29"/>
    <n v="123"/>
    <n v="4"/>
    <n v="17"/>
    <s v="Yes"/>
    <x v="2"/>
    <n v="-20"/>
    <n v="0.38083538083538082"/>
    <s v="High Risk"/>
    <s v="Apply Discount / Promotion"/>
  </r>
  <r>
    <n v="346"/>
    <x v="91"/>
    <x v="2"/>
    <x v="1"/>
    <n v="242"/>
    <n v="105"/>
    <n v="70"/>
    <n v="4422.5600000000004"/>
    <n v="3292.52"/>
    <n v="36"/>
    <n v="10"/>
    <s v="2026-03-20"/>
    <n v="178"/>
    <n v="5"/>
    <n v="45"/>
    <s v="Yes"/>
    <x v="0"/>
    <n v="35"/>
    <n v="0.43388429752066116"/>
    <s v="High Risk"/>
    <s v="Apply Discount / Promotion"/>
  </r>
  <r>
    <n v="347"/>
    <x v="17"/>
    <x v="0"/>
    <x v="0"/>
    <n v="314"/>
    <n v="297"/>
    <n v="276"/>
    <n v="3670.28"/>
    <n v="1904.47"/>
    <n v="43"/>
    <n v="7"/>
    <s v="2026-03-19"/>
    <n v="189"/>
    <n v="5"/>
    <n v="26"/>
    <s v="Yes"/>
    <x v="2"/>
    <n v="21"/>
    <n v="0.94585987261146498"/>
    <s v="Medium Risk"/>
    <s v="Monitor Sales"/>
  </r>
  <r>
    <n v="348"/>
    <x v="2"/>
    <x v="3"/>
    <x v="3"/>
    <n v="444"/>
    <n v="318"/>
    <n v="297"/>
    <n v="3708.18"/>
    <n v="2227.66"/>
    <n v="57"/>
    <n v="13"/>
    <s v="2026-03-28"/>
    <n v="133"/>
    <n v="2"/>
    <n v="41"/>
    <s v="No"/>
    <x v="2"/>
    <n v="21"/>
    <n v="0.71621621621621623"/>
    <s v="Medium Risk"/>
    <s v="Monitor Sales"/>
  </r>
  <r>
    <n v="349"/>
    <x v="60"/>
    <x v="3"/>
    <x v="3"/>
    <n v="407"/>
    <n v="194"/>
    <n v="211"/>
    <n v="1274.19"/>
    <n v="804.15"/>
    <n v="132"/>
    <n v="6"/>
    <s v="2026-03-16"/>
    <n v="84"/>
    <n v="1"/>
    <n v="11"/>
    <s v="No"/>
    <x v="1"/>
    <n v="-17"/>
    <n v="0.47665847665847666"/>
    <s v="High Risk"/>
    <s v="Apply Discount / Promotion"/>
  </r>
  <r>
    <n v="350"/>
    <x v="61"/>
    <x v="0"/>
    <x v="2"/>
    <n v="251"/>
    <n v="98"/>
    <n v="70"/>
    <n v="3137.75"/>
    <n v="1649.47"/>
    <n v="37"/>
    <n v="15"/>
    <s v="2026-01-31"/>
    <n v="287"/>
    <n v="5"/>
    <n v="18"/>
    <s v="Yes"/>
    <x v="1"/>
    <n v="28"/>
    <n v="0.39043824701195218"/>
    <s v="High Risk"/>
    <s v="Apply Discount / Promotion"/>
  </r>
  <r>
    <n v="351"/>
    <x v="8"/>
    <x v="2"/>
    <x v="1"/>
    <n v="156"/>
    <n v="158"/>
    <n v="185"/>
    <n v="3919.08"/>
    <n v="2934.76"/>
    <n v="137"/>
    <n v="1"/>
    <s v="2026-01-20"/>
    <n v="107"/>
    <n v="1"/>
    <n v="3"/>
    <s v="Yes"/>
    <x v="2"/>
    <n v="-27"/>
    <n v="1.0128205128205128"/>
    <s v="Low Risk"/>
    <s v="Maintain Stock"/>
  </r>
  <r>
    <n v="352"/>
    <x v="76"/>
    <x v="3"/>
    <x v="3"/>
    <n v="109"/>
    <n v="316"/>
    <n v="278"/>
    <n v="4929.0200000000004"/>
    <n v="3329.27"/>
    <n v="124"/>
    <n v="7"/>
    <s v="2026-03-11"/>
    <n v="88"/>
    <n v="3"/>
    <n v="31"/>
    <s v="Yes"/>
    <x v="0"/>
    <n v="38"/>
    <n v="2.8990825688073394"/>
    <s v="Low Risk"/>
    <s v="Maintain Stock"/>
  </r>
  <r>
    <n v="353"/>
    <x v="12"/>
    <x v="4"/>
    <x v="0"/>
    <n v="337"/>
    <n v="0"/>
    <n v="39"/>
    <n v="4193.6099999999997"/>
    <n v="2284.81"/>
    <n v="115"/>
    <n v="14"/>
    <s v="2026-01-13"/>
    <n v="325"/>
    <n v="4"/>
    <n v="12"/>
    <s v="No"/>
    <x v="0"/>
    <n v="-39"/>
    <n v="0"/>
    <s v="High Risk"/>
    <s v="Apply Discount / Promotion"/>
  </r>
  <r>
    <n v="354"/>
    <x v="52"/>
    <x v="4"/>
    <x v="0"/>
    <n v="329"/>
    <n v="160"/>
    <n v="204"/>
    <n v="3389.65"/>
    <n v="2600.65"/>
    <n v="56"/>
    <n v="2"/>
    <s v="2026-01-29"/>
    <n v="56"/>
    <n v="5"/>
    <n v="46"/>
    <s v="No"/>
    <x v="2"/>
    <n v="-44"/>
    <n v="0.48632218844984804"/>
    <s v="High Risk"/>
    <s v="Apply Discount / Promotion"/>
  </r>
  <r>
    <n v="355"/>
    <x v="36"/>
    <x v="3"/>
    <x v="1"/>
    <n v="228"/>
    <n v="162"/>
    <n v="146"/>
    <n v="368.01"/>
    <n v="186.55"/>
    <n v="37"/>
    <n v="5"/>
    <s v="2025-12-29"/>
    <n v="340"/>
    <n v="2"/>
    <n v="27"/>
    <s v="Yes"/>
    <x v="1"/>
    <n v="16"/>
    <n v="0.71052631578947367"/>
    <s v="Medium Risk"/>
    <s v="Monitor Sales"/>
  </r>
  <r>
    <n v="356"/>
    <x v="90"/>
    <x v="1"/>
    <x v="0"/>
    <n v="442"/>
    <n v="358"/>
    <n v="394"/>
    <n v="2331.89"/>
    <n v="1759.57"/>
    <n v="37"/>
    <n v="14"/>
    <s v="2025-12-30"/>
    <n v="235"/>
    <n v="4"/>
    <n v="35"/>
    <s v="No"/>
    <x v="0"/>
    <n v="-36"/>
    <n v="0.80995475113122173"/>
    <s v="Medium Risk"/>
    <s v="Monitor Sales"/>
  </r>
  <r>
    <n v="357"/>
    <x v="46"/>
    <x v="3"/>
    <x v="0"/>
    <n v="415"/>
    <n v="362"/>
    <n v="339"/>
    <n v="1936.22"/>
    <n v="1131.97"/>
    <n v="55"/>
    <n v="13"/>
    <s v="2026-01-05"/>
    <n v="43"/>
    <n v="1"/>
    <n v="41"/>
    <s v="No"/>
    <x v="0"/>
    <n v="23"/>
    <n v="0.87228915662650608"/>
    <s v="Medium Risk"/>
    <s v="Monitor Sales"/>
  </r>
  <r>
    <n v="358"/>
    <x v="94"/>
    <x v="0"/>
    <x v="0"/>
    <n v="161"/>
    <n v="149"/>
    <n v="172"/>
    <n v="2034.1"/>
    <n v="1468.95"/>
    <n v="133"/>
    <n v="1"/>
    <s v="2026-01-30"/>
    <n v="226"/>
    <n v="5"/>
    <n v="5"/>
    <s v="Yes"/>
    <x v="2"/>
    <n v="-23"/>
    <n v="0.92546583850931674"/>
    <s v="Medium Risk"/>
    <s v="Monitor Sales"/>
  </r>
  <r>
    <n v="359"/>
    <x v="36"/>
    <x v="2"/>
    <x v="0"/>
    <n v="500"/>
    <n v="146"/>
    <n v="195"/>
    <n v="1695.32"/>
    <n v="1292.1400000000001"/>
    <n v="79"/>
    <n v="11"/>
    <s v="2026-03-17"/>
    <n v="337"/>
    <n v="5"/>
    <n v="27"/>
    <s v="Yes"/>
    <x v="1"/>
    <n v="-49"/>
    <n v="0.29199999999999998"/>
    <s v="High Risk"/>
    <s v="Apply Discount / Promotion"/>
  </r>
  <r>
    <n v="360"/>
    <x v="16"/>
    <x v="1"/>
    <x v="3"/>
    <n v="385"/>
    <n v="220"/>
    <n v="247"/>
    <n v="2870.11"/>
    <n v="1583.93"/>
    <n v="52"/>
    <n v="8"/>
    <s v="2026-01-31"/>
    <n v="288"/>
    <n v="5"/>
    <n v="39"/>
    <s v="Yes"/>
    <x v="2"/>
    <n v="-27"/>
    <n v="0.5714285714285714"/>
    <s v="Medium Risk"/>
    <s v="Monitor Sales"/>
  </r>
  <r>
    <n v="361"/>
    <x v="67"/>
    <x v="1"/>
    <x v="1"/>
    <n v="229"/>
    <n v="53"/>
    <n v="78"/>
    <n v="379.25"/>
    <n v="261.06"/>
    <n v="73"/>
    <n v="1"/>
    <s v="2026-03-13"/>
    <n v="344"/>
    <n v="5"/>
    <n v="50"/>
    <s v="Yes"/>
    <x v="1"/>
    <n v="-25"/>
    <n v="0.23144104803493451"/>
    <s v="High Risk"/>
    <s v="Apply Discount / Promotion"/>
  </r>
  <r>
    <n v="362"/>
    <x v="14"/>
    <x v="3"/>
    <x v="2"/>
    <n v="298"/>
    <n v="24"/>
    <n v="16"/>
    <n v="4569.53"/>
    <n v="3200.47"/>
    <n v="136"/>
    <n v="14"/>
    <s v="2026-03-21"/>
    <n v="220"/>
    <n v="2"/>
    <n v="15"/>
    <s v="No"/>
    <x v="1"/>
    <n v="8"/>
    <n v="8.0536912751677847E-2"/>
    <s v="High Risk"/>
    <s v="Apply Discount / Promotion"/>
  </r>
  <r>
    <n v="363"/>
    <x v="1"/>
    <x v="3"/>
    <x v="1"/>
    <n v="232"/>
    <n v="251"/>
    <n v="263"/>
    <n v="4160.78"/>
    <n v="2161.2800000000002"/>
    <n v="55"/>
    <n v="9"/>
    <s v="2026-02-14"/>
    <n v="196"/>
    <n v="5"/>
    <n v="33"/>
    <s v="Yes"/>
    <x v="1"/>
    <n v="-12"/>
    <n v="1.0818965517241379"/>
    <s v="Low Risk"/>
    <s v="Maintain Stock"/>
  </r>
  <r>
    <n v="364"/>
    <x v="95"/>
    <x v="3"/>
    <x v="3"/>
    <n v="58"/>
    <n v="371"/>
    <n v="331"/>
    <n v="847.53"/>
    <n v="529.42999999999995"/>
    <n v="121"/>
    <n v="9"/>
    <s v="2026-02-28"/>
    <n v="219"/>
    <n v="4"/>
    <n v="41"/>
    <s v="Yes"/>
    <x v="0"/>
    <n v="40"/>
    <n v="6.3965517241379306"/>
    <s v="Low Risk"/>
    <s v="Maintain Stock"/>
  </r>
  <r>
    <n v="365"/>
    <x v="18"/>
    <x v="2"/>
    <x v="2"/>
    <n v="326"/>
    <n v="135"/>
    <n v="85"/>
    <n v="4366.2700000000004"/>
    <n v="2312.83"/>
    <n v="64"/>
    <n v="7"/>
    <s v="2026-03-03"/>
    <n v="252"/>
    <n v="1"/>
    <n v="39"/>
    <s v="Yes"/>
    <x v="0"/>
    <n v="50"/>
    <n v="0.41411042944785276"/>
    <s v="High Risk"/>
    <s v="Apply Discount / Promotion"/>
  </r>
  <r>
    <n v="366"/>
    <x v="56"/>
    <x v="3"/>
    <x v="3"/>
    <n v="119"/>
    <n v="81"/>
    <n v="64"/>
    <n v="1263.3499999999999"/>
    <n v="693.13"/>
    <n v="47"/>
    <n v="3"/>
    <s v="2026-02-14"/>
    <n v="199"/>
    <n v="4"/>
    <n v="14"/>
    <s v="Yes"/>
    <x v="1"/>
    <n v="17"/>
    <n v="0.68067226890756305"/>
    <s v="Medium Risk"/>
    <s v="Monitor Sales"/>
  </r>
  <r>
    <n v="367"/>
    <x v="21"/>
    <x v="2"/>
    <x v="2"/>
    <n v="246"/>
    <n v="119"/>
    <n v="81"/>
    <n v="2062.06"/>
    <n v="1538.19"/>
    <n v="150"/>
    <n v="14"/>
    <s v="2026-01-21"/>
    <n v="258"/>
    <n v="5"/>
    <n v="10"/>
    <s v="Yes"/>
    <x v="0"/>
    <n v="38"/>
    <n v="0.48373983739837401"/>
    <s v="High Risk"/>
    <s v="Apply Discount / Promotion"/>
  </r>
  <r>
    <n v="368"/>
    <x v="27"/>
    <x v="2"/>
    <x v="2"/>
    <n v="40"/>
    <n v="29"/>
    <n v="17"/>
    <n v="401.82"/>
    <n v="234.51"/>
    <n v="92"/>
    <n v="2"/>
    <s v="2026-01-10"/>
    <n v="238"/>
    <n v="5"/>
    <n v="7"/>
    <s v="No"/>
    <x v="2"/>
    <n v="12"/>
    <n v="0.72499999999999998"/>
    <s v="Medium Risk"/>
    <s v="Monitor Sales"/>
  </r>
  <r>
    <n v="369"/>
    <x v="43"/>
    <x v="0"/>
    <x v="0"/>
    <n v="65"/>
    <n v="369"/>
    <n v="351"/>
    <n v="4346.6899999999996"/>
    <n v="2235.46"/>
    <n v="41"/>
    <n v="5"/>
    <s v="2026-03-01"/>
    <n v="314"/>
    <n v="1"/>
    <n v="36"/>
    <s v="No"/>
    <x v="2"/>
    <n v="18"/>
    <n v="5.6769230769230772"/>
    <s v="Low Risk"/>
    <s v="Maintain Stock"/>
  </r>
  <r>
    <n v="370"/>
    <x v="13"/>
    <x v="0"/>
    <x v="0"/>
    <n v="299"/>
    <n v="73"/>
    <n v="69"/>
    <n v="2014.59"/>
    <n v="1328.69"/>
    <n v="103"/>
    <n v="4"/>
    <s v="2026-01-17"/>
    <n v="89"/>
    <n v="5"/>
    <n v="42"/>
    <s v="Yes"/>
    <x v="1"/>
    <n v="4"/>
    <n v="0.24414715719063546"/>
    <s v="High Risk"/>
    <s v="Apply Discount / Promotion"/>
  </r>
  <r>
    <n v="371"/>
    <x v="32"/>
    <x v="2"/>
    <x v="2"/>
    <n v="358"/>
    <n v="5"/>
    <n v="41"/>
    <n v="4084.23"/>
    <n v="2442.98"/>
    <n v="40"/>
    <n v="4"/>
    <s v="2026-01-04"/>
    <n v="293"/>
    <n v="1"/>
    <n v="21"/>
    <s v="No"/>
    <x v="0"/>
    <n v="-36"/>
    <n v="1.3966480446927373E-2"/>
    <s v="High Risk"/>
    <s v="Apply Discount / Promotion"/>
  </r>
  <r>
    <n v="372"/>
    <x v="69"/>
    <x v="1"/>
    <x v="3"/>
    <n v="390"/>
    <n v="73"/>
    <n v="36"/>
    <n v="1877.03"/>
    <n v="1254.8699999999999"/>
    <n v="69"/>
    <n v="7"/>
    <s v="2026-03-26"/>
    <n v="182"/>
    <n v="2"/>
    <n v="19"/>
    <s v="Yes"/>
    <x v="1"/>
    <n v="37"/>
    <n v="0.18717948717948718"/>
    <s v="High Risk"/>
    <s v="Apply Discount / Promotion"/>
  </r>
  <r>
    <n v="373"/>
    <x v="19"/>
    <x v="2"/>
    <x v="0"/>
    <n v="382"/>
    <n v="145"/>
    <n v="135"/>
    <n v="246.38"/>
    <n v="186.31"/>
    <n v="61"/>
    <n v="6"/>
    <s v="2026-01-20"/>
    <n v="92"/>
    <n v="4"/>
    <n v="16"/>
    <s v="No"/>
    <x v="0"/>
    <n v="10"/>
    <n v="0.37958115183246072"/>
    <s v="High Risk"/>
    <s v="Apply Discount / Promotion"/>
  </r>
  <r>
    <n v="374"/>
    <x v="59"/>
    <x v="3"/>
    <x v="0"/>
    <n v="454"/>
    <n v="16"/>
    <n v="34"/>
    <n v="4086"/>
    <n v="2913.14"/>
    <n v="31"/>
    <n v="12"/>
    <s v="2026-01-28"/>
    <n v="80"/>
    <n v="5"/>
    <n v="6"/>
    <s v="Yes"/>
    <x v="0"/>
    <n v="-18"/>
    <n v="3.5242290748898682E-2"/>
    <s v="High Risk"/>
    <s v="Apply Discount / Promotion"/>
  </r>
  <r>
    <n v="375"/>
    <x v="28"/>
    <x v="2"/>
    <x v="1"/>
    <n v="220"/>
    <n v="75"/>
    <n v="87"/>
    <n v="3688.88"/>
    <n v="2785.5"/>
    <n v="72"/>
    <n v="4"/>
    <s v="2026-03-19"/>
    <n v="199"/>
    <n v="4"/>
    <n v="28"/>
    <s v="No"/>
    <x v="1"/>
    <n v="-12"/>
    <n v="0.34090909090909088"/>
    <s v="High Risk"/>
    <s v="Apply Discount / Promotion"/>
  </r>
  <r>
    <n v="376"/>
    <x v="33"/>
    <x v="1"/>
    <x v="0"/>
    <n v="267"/>
    <n v="359"/>
    <n v="344"/>
    <n v="4514.45"/>
    <n v="2995.47"/>
    <n v="117"/>
    <n v="1"/>
    <s v="2026-03-05"/>
    <n v="89"/>
    <n v="1"/>
    <n v="49"/>
    <s v="Yes"/>
    <x v="2"/>
    <n v="15"/>
    <n v="1.3445692883895131"/>
    <s v="Low Risk"/>
    <s v="Maintain Stock"/>
  </r>
  <r>
    <n v="377"/>
    <x v="49"/>
    <x v="1"/>
    <x v="0"/>
    <n v="495"/>
    <n v="144"/>
    <n v="191"/>
    <n v="2823.81"/>
    <n v="2174.29"/>
    <n v="59"/>
    <n v="13"/>
    <s v="2026-02-27"/>
    <n v="71"/>
    <n v="5"/>
    <n v="34"/>
    <s v="Yes"/>
    <x v="2"/>
    <n v="-47"/>
    <n v="0.29090909090909089"/>
    <s v="High Risk"/>
    <s v="Apply Discount / Promotion"/>
  </r>
  <r>
    <n v="378"/>
    <x v="65"/>
    <x v="2"/>
    <x v="1"/>
    <n v="89"/>
    <n v="88"/>
    <n v="46"/>
    <n v="478.03"/>
    <n v="361.87"/>
    <n v="32"/>
    <n v="3"/>
    <s v="2026-03-05"/>
    <n v="163"/>
    <n v="5"/>
    <n v="43"/>
    <s v="Yes"/>
    <x v="0"/>
    <n v="42"/>
    <n v="0.9887640449438202"/>
    <s v="Medium Risk"/>
    <s v="Monitor Sales"/>
  </r>
  <r>
    <n v="379"/>
    <x v="12"/>
    <x v="2"/>
    <x v="2"/>
    <n v="114"/>
    <n v="242"/>
    <n v="201"/>
    <n v="3398.21"/>
    <n v="2156.56"/>
    <n v="116"/>
    <n v="9"/>
    <s v="2026-01-21"/>
    <n v="166"/>
    <n v="2"/>
    <n v="14"/>
    <s v="Yes"/>
    <x v="0"/>
    <n v="41"/>
    <n v="2.1228070175438596"/>
    <s v="Low Risk"/>
    <s v="Maintain Stock"/>
  </r>
  <r>
    <n v="380"/>
    <x v="42"/>
    <x v="1"/>
    <x v="1"/>
    <n v="227"/>
    <n v="256"/>
    <n v="248"/>
    <n v="2480.1"/>
    <n v="1979.03"/>
    <n v="120"/>
    <n v="3"/>
    <s v="2026-02-22"/>
    <n v="272"/>
    <n v="1"/>
    <n v="18"/>
    <s v="Yes"/>
    <x v="2"/>
    <n v="8"/>
    <n v="1.1277533039647578"/>
    <s v="Low Risk"/>
    <s v="Maintain Stock"/>
  </r>
  <r>
    <n v="381"/>
    <x v="67"/>
    <x v="1"/>
    <x v="1"/>
    <n v="176"/>
    <n v="195"/>
    <n v="210"/>
    <n v="1395.11"/>
    <n v="990.91"/>
    <n v="139"/>
    <n v="11"/>
    <s v="2026-01-18"/>
    <n v="298"/>
    <n v="5"/>
    <n v="45"/>
    <s v="No"/>
    <x v="0"/>
    <n v="-15"/>
    <n v="1.1079545454545454"/>
    <s v="Low Risk"/>
    <s v="Maintain Stock"/>
  </r>
  <r>
    <n v="382"/>
    <x v="36"/>
    <x v="3"/>
    <x v="0"/>
    <n v="388"/>
    <n v="122"/>
    <n v="147"/>
    <n v="3677.38"/>
    <n v="2181.64"/>
    <n v="32"/>
    <n v="3"/>
    <s v="2026-03-27"/>
    <n v="100"/>
    <n v="4"/>
    <n v="16"/>
    <s v="No"/>
    <x v="2"/>
    <n v="-25"/>
    <n v="0.31443298969072164"/>
    <s v="High Risk"/>
    <s v="Apply Discount / Promotion"/>
  </r>
  <r>
    <n v="383"/>
    <x v="18"/>
    <x v="0"/>
    <x v="1"/>
    <n v="447"/>
    <n v="148"/>
    <n v="184"/>
    <n v="2457.6799999999998"/>
    <n v="1364.65"/>
    <n v="61"/>
    <n v="7"/>
    <s v="2026-03-09"/>
    <n v="165"/>
    <n v="5"/>
    <n v="10"/>
    <s v="No"/>
    <x v="0"/>
    <n v="-36"/>
    <n v="0.33109619686800895"/>
    <s v="High Risk"/>
    <s v="Apply Discount / Promotion"/>
  </r>
  <r>
    <n v="384"/>
    <x v="96"/>
    <x v="1"/>
    <x v="2"/>
    <n v="105"/>
    <n v="168"/>
    <n v="188"/>
    <n v="2838.9"/>
    <n v="1618.35"/>
    <n v="80"/>
    <n v="7"/>
    <s v="2026-03-02"/>
    <n v="62"/>
    <n v="3"/>
    <n v="43"/>
    <s v="No"/>
    <x v="1"/>
    <n v="-20"/>
    <n v="1.6"/>
    <s v="Low Risk"/>
    <s v="Maintain Stock"/>
  </r>
  <r>
    <n v="385"/>
    <x v="70"/>
    <x v="1"/>
    <x v="0"/>
    <n v="335"/>
    <n v="229"/>
    <n v="279"/>
    <n v="4882.2700000000004"/>
    <n v="3007.18"/>
    <n v="65"/>
    <n v="14"/>
    <s v="2026-01-16"/>
    <n v="158"/>
    <n v="2"/>
    <n v="46"/>
    <s v="Yes"/>
    <x v="2"/>
    <n v="-50"/>
    <n v="0.68358208955223876"/>
    <s v="Medium Risk"/>
    <s v="Monitor Sales"/>
  </r>
  <r>
    <n v="386"/>
    <x v="63"/>
    <x v="4"/>
    <x v="1"/>
    <n v="141"/>
    <n v="10"/>
    <n v="38"/>
    <n v="2473.75"/>
    <n v="1864.25"/>
    <n v="38"/>
    <n v="7"/>
    <s v="2026-01-11"/>
    <n v="298"/>
    <n v="2"/>
    <n v="1"/>
    <s v="No"/>
    <x v="0"/>
    <n v="-28"/>
    <n v="7.0921985815602842E-2"/>
    <s v="High Risk"/>
    <s v="Apply Discount / Promotion"/>
  </r>
  <r>
    <n v="387"/>
    <x v="73"/>
    <x v="0"/>
    <x v="1"/>
    <n v="151"/>
    <n v="156"/>
    <n v="106"/>
    <n v="524.75"/>
    <n v="276.93"/>
    <n v="126"/>
    <n v="11"/>
    <s v="2026-03-23"/>
    <n v="73"/>
    <n v="4"/>
    <n v="25"/>
    <s v="No"/>
    <x v="0"/>
    <n v="50"/>
    <n v="1.0331125827814569"/>
    <s v="Low Risk"/>
    <s v="Maintain Stock"/>
  </r>
  <r>
    <n v="388"/>
    <x v="97"/>
    <x v="3"/>
    <x v="1"/>
    <n v="457"/>
    <n v="120"/>
    <n v="166"/>
    <n v="2377.02"/>
    <n v="1685.07"/>
    <n v="103"/>
    <n v="3"/>
    <s v="2026-01-03"/>
    <n v="326"/>
    <n v="1"/>
    <n v="17"/>
    <s v="No"/>
    <x v="0"/>
    <n v="-46"/>
    <n v="0.26258205689277897"/>
    <s v="High Risk"/>
    <s v="Apply Discount / Promotion"/>
  </r>
  <r>
    <n v="389"/>
    <x v="60"/>
    <x v="0"/>
    <x v="1"/>
    <n v="319"/>
    <n v="128"/>
    <n v="149"/>
    <n v="691.25"/>
    <n v="345.76"/>
    <n v="116"/>
    <n v="7"/>
    <s v="2026-01-29"/>
    <n v="160"/>
    <n v="4"/>
    <n v="26"/>
    <s v="Yes"/>
    <x v="1"/>
    <n v="-21"/>
    <n v="0.40125391849529779"/>
    <s v="High Risk"/>
    <s v="Apply Discount / Promotion"/>
  </r>
  <r>
    <n v="390"/>
    <x v="22"/>
    <x v="0"/>
    <x v="2"/>
    <n v="425"/>
    <n v="105"/>
    <n v="92"/>
    <n v="1180.51"/>
    <n v="899.79"/>
    <n v="130"/>
    <n v="15"/>
    <s v="2026-03-22"/>
    <n v="254"/>
    <n v="2"/>
    <n v="2"/>
    <s v="No"/>
    <x v="1"/>
    <n v="13"/>
    <n v="0.24705882352941178"/>
    <s v="High Risk"/>
    <s v="Apply Discount / Promotion"/>
  </r>
  <r>
    <n v="391"/>
    <x v="61"/>
    <x v="4"/>
    <x v="2"/>
    <n v="146"/>
    <n v="134"/>
    <n v="116"/>
    <n v="4932.96"/>
    <n v="3330.17"/>
    <n v="145"/>
    <n v="5"/>
    <s v="2026-02-02"/>
    <n v="153"/>
    <n v="5"/>
    <n v="34"/>
    <s v="Yes"/>
    <x v="2"/>
    <n v="18"/>
    <n v="0.9178082191780822"/>
    <s v="Medium Risk"/>
    <s v="Monitor Sales"/>
  </r>
  <r>
    <n v="392"/>
    <x v="26"/>
    <x v="4"/>
    <x v="3"/>
    <n v="363"/>
    <n v="394"/>
    <n v="374"/>
    <n v="2822.14"/>
    <n v="1493.79"/>
    <n v="105"/>
    <n v="14"/>
    <s v="2026-02-04"/>
    <n v="126"/>
    <n v="4"/>
    <n v="36"/>
    <s v="Yes"/>
    <x v="1"/>
    <n v="20"/>
    <n v="1.0853994490358128"/>
    <s v="Low Risk"/>
    <s v="Maintain Stock"/>
  </r>
  <r>
    <n v="393"/>
    <x v="86"/>
    <x v="4"/>
    <x v="0"/>
    <n v="230"/>
    <n v="368"/>
    <n v="360"/>
    <n v="3251.07"/>
    <n v="2272.1799999999998"/>
    <n v="92"/>
    <n v="1"/>
    <s v="2026-02-11"/>
    <n v="66"/>
    <n v="4"/>
    <n v="10"/>
    <s v="No"/>
    <x v="2"/>
    <n v="8"/>
    <n v="1.6"/>
    <s v="Low Risk"/>
    <s v="Maintain Stock"/>
  </r>
  <r>
    <n v="394"/>
    <x v="62"/>
    <x v="4"/>
    <x v="2"/>
    <n v="166"/>
    <n v="201"/>
    <n v="241"/>
    <n v="1029.26"/>
    <n v="822.22"/>
    <n v="78"/>
    <n v="13"/>
    <s v="2026-01-17"/>
    <n v="178"/>
    <n v="3"/>
    <n v="2"/>
    <s v="No"/>
    <x v="1"/>
    <n v="-40"/>
    <n v="1.2108433734939759"/>
    <s v="Low Risk"/>
    <s v="Maintain Stock"/>
  </r>
  <r>
    <n v="395"/>
    <x v="18"/>
    <x v="1"/>
    <x v="0"/>
    <n v="456"/>
    <n v="303"/>
    <n v="267"/>
    <n v="941.57"/>
    <n v="692.51"/>
    <n v="41"/>
    <n v="7"/>
    <s v="2026-01-27"/>
    <n v="281"/>
    <n v="3"/>
    <n v="38"/>
    <s v="No"/>
    <x v="0"/>
    <n v="36"/>
    <n v="0.66447368421052633"/>
    <s v="Medium Risk"/>
    <s v="Monitor Sales"/>
  </r>
  <r>
    <n v="396"/>
    <x v="50"/>
    <x v="2"/>
    <x v="0"/>
    <n v="57"/>
    <n v="334"/>
    <n v="344"/>
    <n v="375.48"/>
    <n v="239.41"/>
    <n v="148"/>
    <n v="10"/>
    <s v="2026-02-10"/>
    <n v="350"/>
    <n v="3"/>
    <n v="32"/>
    <s v="No"/>
    <x v="0"/>
    <n v="-10"/>
    <n v="5.8596491228070171"/>
    <s v="Low Risk"/>
    <s v="Maintain Stock"/>
  </r>
  <r>
    <n v="397"/>
    <x v="58"/>
    <x v="4"/>
    <x v="3"/>
    <n v="63"/>
    <n v="221"/>
    <n v="203"/>
    <n v="1925.99"/>
    <n v="1213.68"/>
    <n v="95"/>
    <n v="13"/>
    <s v="2026-02-17"/>
    <n v="192"/>
    <n v="4"/>
    <n v="4"/>
    <s v="Yes"/>
    <x v="0"/>
    <n v="18"/>
    <n v="3.5079365079365079"/>
    <s v="Low Risk"/>
    <s v="Maintain Stock"/>
  </r>
  <r>
    <n v="398"/>
    <x v="90"/>
    <x v="0"/>
    <x v="0"/>
    <n v="141"/>
    <n v="379"/>
    <n v="333"/>
    <n v="4337.78"/>
    <n v="3241.61"/>
    <n v="120"/>
    <n v="5"/>
    <s v="2026-03-08"/>
    <n v="271"/>
    <n v="4"/>
    <n v="50"/>
    <s v="No"/>
    <x v="2"/>
    <n v="46"/>
    <n v="2.6879432624113475"/>
    <s v="Low Risk"/>
    <s v="Maintain Stock"/>
  </r>
  <r>
    <n v="399"/>
    <x v="55"/>
    <x v="2"/>
    <x v="2"/>
    <n v="57"/>
    <n v="204"/>
    <n v="168"/>
    <n v="2428.2399999999998"/>
    <n v="1379.39"/>
    <n v="86"/>
    <n v="12"/>
    <s v="2026-02-25"/>
    <n v="35"/>
    <n v="1"/>
    <n v="21"/>
    <s v="Yes"/>
    <x v="1"/>
    <n v="36"/>
    <n v="3.5789473684210527"/>
    <s v="Low Risk"/>
    <s v="Maintain Stock"/>
  </r>
  <r>
    <n v="400"/>
    <x v="31"/>
    <x v="1"/>
    <x v="3"/>
    <n v="28"/>
    <n v="159"/>
    <n v="121"/>
    <n v="1993.22"/>
    <n v="1492.1"/>
    <n v="53"/>
    <n v="8"/>
    <s v="2026-01-21"/>
    <n v="184"/>
    <n v="4"/>
    <n v="13"/>
    <s v="No"/>
    <x v="2"/>
    <n v="38"/>
    <n v="5.6785714285714288"/>
    <s v="Low Risk"/>
    <s v="Maintain Stock"/>
  </r>
  <r>
    <n v="401"/>
    <x v="23"/>
    <x v="1"/>
    <x v="0"/>
    <n v="158"/>
    <n v="132"/>
    <n v="109"/>
    <n v="4639"/>
    <n v="2419.13"/>
    <n v="144"/>
    <n v="11"/>
    <s v="2026-02-06"/>
    <n v="297"/>
    <n v="4"/>
    <n v="24"/>
    <s v="No"/>
    <x v="0"/>
    <n v="23"/>
    <n v="0.83544303797468356"/>
    <s v="Medium Risk"/>
    <s v="Monitor Sales"/>
  </r>
  <r>
    <n v="402"/>
    <x v="28"/>
    <x v="1"/>
    <x v="0"/>
    <n v="73"/>
    <n v="151"/>
    <n v="161"/>
    <n v="3999.44"/>
    <n v="2393.89"/>
    <n v="57"/>
    <n v="3"/>
    <s v="2026-02-21"/>
    <n v="135"/>
    <n v="1"/>
    <n v="8"/>
    <s v="Yes"/>
    <x v="1"/>
    <n v="-10"/>
    <n v="2.0684931506849313"/>
    <s v="Low Risk"/>
    <s v="Maintain Stock"/>
  </r>
  <r>
    <n v="403"/>
    <x v="79"/>
    <x v="1"/>
    <x v="1"/>
    <n v="187"/>
    <n v="251"/>
    <n v="231"/>
    <n v="3477.06"/>
    <n v="2556.96"/>
    <n v="76"/>
    <n v="1"/>
    <s v="2026-03-26"/>
    <n v="310"/>
    <n v="3"/>
    <n v="42"/>
    <s v="Yes"/>
    <x v="1"/>
    <n v="20"/>
    <n v="1.3422459893048129"/>
    <s v="Low Risk"/>
    <s v="Maintain Stock"/>
  </r>
  <r>
    <n v="404"/>
    <x v="31"/>
    <x v="2"/>
    <x v="3"/>
    <n v="216"/>
    <n v="285"/>
    <n v="288"/>
    <n v="4040.39"/>
    <n v="2374.1"/>
    <n v="138"/>
    <n v="10"/>
    <s v="2026-01-26"/>
    <n v="168"/>
    <n v="1"/>
    <n v="38"/>
    <s v="No"/>
    <x v="2"/>
    <n v="-3"/>
    <n v="1.3194444444444444"/>
    <s v="Low Risk"/>
    <s v="Maintain Stock"/>
  </r>
  <r>
    <n v="405"/>
    <x v="33"/>
    <x v="2"/>
    <x v="1"/>
    <n v="354"/>
    <n v="77"/>
    <n v="86"/>
    <n v="3753.37"/>
    <n v="2372.5500000000002"/>
    <n v="44"/>
    <n v="3"/>
    <s v="2026-01-03"/>
    <n v="258"/>
    <n v="1"/>
    <n v="13"/>
    <s v="No"/>
    <x v="0"/>
    <n v="-9"/>
    <n v="0.2175141242937853"/>
    <s v="High Risk"/>
    <s v="Apply Discount / Promotion"/>
  </r>
  <r>
    <n v="406"/>
    <x v="28"/>
    <x v="0"/>
    <x v="3"/>
    <n v="132"/>
    <n v="0"/>
    <n v="10"/>
    <n v="460.62"/>
    <n v="297.89999999999998"/>
    <n v="137"/>
    <n v="8"/>
    <s v="2026-02-12"/>
    <n v="223"/>
    <n v="2"/>
    <n v="25"/>
    <s v="No"/>
    <x v="1"/>
    <n v="-10"/>
    <n v="0"/>
    <s v="High Risk"/>
    <s v="Apply Discount / Promotion"/>
  </r>
  <r>
    <n v="407"/>
    <x v="42"/>
    <x v="0"/>
    <x v="0"/>
    <n v="265"/>
    <n v="103"/>
    <n v="62"/>
    <n v="3514.3"/>
    <n v="2096.39"/>
    <n v="76"/>
    <n v="7"/>
    <s v="2026-03-27"/>
    <n v="356"/>
    <n v="2"/>
    <n v="47"/>
    <s v="Yes"/>
    <x v="1"/>
    <n v="41"/>
    <n v="0.38867924528301889"/>
    <s v="High Risk"/>
    <s v="Apply Discount / Promotion"/>
  </r>
  <r>
    <n v="408"/>
    <x v="28"/>
    <x v="4"/>
    <x v="0"/>
    <n v="234"/>
    <n v="228"/>
    <n v="198"/>
    <n v="2972.35"/>
    <n v="1990.86"/>
    <n v="32"/>
    <n v="14"/>
    <s v="2026-02-01"/>
    <n v="303"/>
    <n v="2"/>
    <n v="23"/>
    <s v="Yes"/>
    <x v="2"/>
    <n v="30"/>
    <n v="0.97435897435897434"/>
    <s v="Medium Risk"/>
    <s v="Monitor Sales"/>
  </r>
  <r>
    <n v="409"/>
    <x v="32"/>
    <x v="4"/>
    <x v="3"/>
    <n v="419"/>
    <n v="121"/>
    <n v="157"/>
    <n v="3414.45"/>
    <n v="2202.0700000000002"/>
    <n v="51"/>
    <n v="13"/>
    <s v="2026-01-10"/>
    <n v="251"/>
    <n v="1"/>
    <n v="31"/>
    <s v="Yes"/>
    <x v="1"/>
    <n v="-36"/>
    <n v="0.28878281622911695"/>
    <s v="High Risk"/>
    <s v="Apply Discount / Promotion"/>
  </r>
  <r>
    <n v="410"/>
    <x v="86"/>
    <x v="1"/>
    <x v="3"/>
    <n v="145"/>
    <n v="365"/>
    <n v="329"/>
    <n v="4576.4399999999996"/>
    <n v="3621.98"/>
    <n v="67"/>
    <n v="14"/>
    <s v="2026-01-07"/>
    <n v="186"/>
    <n v="3"/>
    <n v="29"/>
    <s v="No"/>
    <x v="0"/>
    <n v="36"/>
    <n v="2.5172413793103448"/>
    <s v="Low Risk"/>
    <s v="Maintain Stock"/>
  </r>
  <r>
    <n v="411"/>
    <x v="47"/>
    <x v="2"/>
    <x v="3"/>
    <n v="311"/>
    <n v="382"/>
    <n v="341"/>
    <n v="3692.75"/>
    <n v="2034.48"/>
    <n v="123"/>
    <n v="8"/>
    <s v="2026-02-02"/>
    <n v="143"/>
    <n v="1"/>
    <n v="47"/>
    <s v="No"/>
    <x v="2"/>
    <n v="41"/>
    <n v="1.2282958199356913"/>
    <s v="Low Risk"/>
    <s v="Maintain Stock"/>
  </r>
  <r>
    <n v="412"/>
    <x v="22"/>
    <x v="4"/>
    <x v="0"/>
    <n v="478"/>
    <n v="22"/>
    <n v="24"/>
    <n v="278.91000000000003"/>
    <n v="164.77"/>
    <n v="82"/>
    <n v="13"/>
    <s v="2026-01-26"/>
    <n v="147"/>
    <n v="4"/>
    <n v="25"/>
    <s v="Yes"/>
    <x v="0"/>
    <n v="-2"/>
    <n v="4.6025104602510462E-2"/>
    <s v="High Risk"/>
    <s v="Apply Discount / Promotion"/>
  </r>
  <r>
    <n v="413"/>
    <x v="77"/>
    <x v="2"/>
    <x v="3"/>
    <n v="498"/>
    <n v="348"/>
    <n v="395"/>
    <n v="2445.9699999999998"/>
    <n v="1282.0899999999999"/>
    <n v="96"/>
    <n v="15"/>
    <s v="2026-01-04"/>
    <n v="278"/>
    <n v="1"/>
    <n v="3"/>
    <s v="No"/>
    <x v="2"/>
    <n v="-47"/>
    <n v="0.6987951807228916"/>
    <s v="Medium Risk"/>
    <s v="Monitor Sales"/>
  </r>
  <r>
    <n v="414"/>
    <x v="68"/>
    <x v="0"/>
    <x v="3"/>
    <n v="76"/>
    <n v="58"/>
    <n v="33"/>
    <n v="1118.06"/>
    <n v="883.05"/>
    <n v="62"/>
    <n v="9"/>
    <s v="2026-01-06"/>
    <n v="286"/>
    <n v="3"/>
    <n v="0"/>
    <s v="No"/>
    <x v="0"/>
    <n v="25"/>
    <n v="0.76315789473684215"/>
    <s v="Medium Risk"/>
    <s v="Monitor Sales"/>
  </r>
  <r>
    <n v="415"/>
    <x v="98"/>
    <x v="4"/>
    <x v="1"/>
    <n v="236"/>
    <n v="236"/>
    <n v="195"/>
    <n v="3757.89"/>
    <n v="2759.43"/>
    <n v="133"/>
    <n v="7"/>
    <s v="2026-03-27"/>
    <n v="122"/>
    <n v="2"/>
    <n v="47"/>
    <s v="No"/>
    <x v="2"/>
    <n v="41"/>
    <n v="1"/>
    <s v="Low Risk"/>
    <s v="Maintain Stock"/>
  </r>
  <r>
    <n v="416"/>
    <x v="34"/>
    <x v="4"/>
    <x v="1"/>
    <n v="157"/>
    <n v="379"/>
    <n v="358"/>
    <n v="3396.82"/>
    <n v="1833.43"/>
    <n v="61"/>
    <n v="2"/>
    <s v="2026-02-28"/>
    <n v="91"/>
    <n v="2"/>
    <n v="46"/>
    <s v="No"/>
    <x v="0"/>
    <n v="21"/>
    <n v="2.4140127388535033"/>
    <s v="Low Risk"/>
    <s v="Maintain Stock"/>
  </r>
  <r>
    <n v="417"/>
    <x v="48"/>
    <x v="0"/>
    <x v="0"/>
    <n v="288"/>
    <n v="318"/>
    <n v="360"/>
    <n v="2128.44"/>
    <n v="1275"/>
    <n v="134"/>
    <n v="14"/>
    <s v="2026-01-04"/>
    <n v="60"/>
    <n v="5"/>
    <n v="50"/>
    <s v="No"/>
    <x v="0"/>
    <n v="-42"/>
    <n v="1.1041666666666667"/>
    <s v="Low Risk"/>
    <s v="Maintain Stock"/>
  </r>
  <r>
    <n v="418"/>
    <x v="70"/>
    <x v="1"/>
    <x v="0"/>
    <n v="168"/>
    <n v="355"/>
    <n v="312"/>
    <n v="1697.17"/>
    <n v="1176.51"/>
    <n v="120"/>
    <n v="9"/>
    <s v="2026-02-09"/>
    <n v="359"/>
    <n v="3"/>
    <n v="28"/>
    <s v="No"/>
    <x v="1"/>
    <n v="43"/>
    <n v="2.1130952380952381"/>
    <s v="Low Risk"/>
    <s v="Maintain Stock"/>
  </r>
  <r>
    <n v="419"/>
    <x v="11"/>
    <x v="0"/>
    <x v="0"/>
    <n v="118"/>
    <n v="113"/>
    <n v="136"/>
    <n v="2670.17"/>
    <n v="1916.62"/>
    <n v="114"/>
    <n v="11"/>
    <s v="2026-03-27"/>
    <n v="37"/>
    <n v="4"/>
    <n v="17"/>
    <s v="No"/>
    <x v="1"/>
    <n v="-23"/>
    <n v="0.9576271186440678"/>
    <s v="Medium Risk"/>
    <s v="Monitor Sales"/>
  </r>
  <r>
    <n v="420"/>
    <x v="46"/>
    <x v="4"/>
    <x v="0"/>
    <n v="210"/>
    <n v="0"/>
    <n v="10"/>
    <n v="4399.93"/>
    <n v="2810.3"/>
    <n v="62"/>
    <n v="2"/>
    <s v="2026-01-02"/>
    <n v="350"/>
    <n v="5"/>
    <n v="27"/>
    <s v="No"/>
    <x v="0"/>
    <n v="-10"/>
    <n v="0"/>
    <s v="High Risk"/>
    <s v="Apply Discount / Promotion"/>
  </r>
  <r>
    <n v="421"/>
    <x v="74"/>
    <x v="0"/>
    <x v="2"/>
    <n v="24"/>
    <n v="125"/>
    <n v="129"/>
    <n v="3349.32"/>
    <n v="2552.79"/>
    <n v="130"/>
    <n v="10"/>
    <s v="2026-03-14"/>
    <n v="96"/>
    <n v="2"/>
    <n v="25"/>
    <s v="No"/>
    <x v="0"/>
    <n v="-4"/>
    <n v="5.208333333333333"/>
    <s v="Low Risk"/>
    <s v="Maintain Stock"/>
  </r>
  <r>
    <n v="422"/>
    <x v="59"/>
    <x v="1"/>
    <x v="2"/>
    <n v="73"/>
    <n v="61"/>
    <n v="98"/>
    <n v="2623.46"/>
    <n v="1496.99"/>
    <n v="86"/>
    <n v="1"/>
    <s v="2026-02-22"/>
    <n v="109"/>
    <n v="4"/>
    <n v="37"/>
    <s v="Yes"/>
    <x v="1"/>
    <n v="-37"/>
    <n v="0.83561643835616439"/>
    <s v="Medium Risk"/>
    <s v="Monitor Sales"/>
  </r>
  <r>
    <n v="423"/>
    <x v="85"/>
    <x v="4"/>
    <x v="3"/>
    <n v="273"/>
    <n v="113"/>
    <n v="90"/>
    <n v="2411.23"/>
    <n v="1617.43"/>
    <n v="118"/>
    <n v="13"/>
    <s v="2026-02-02"/>
    <n v="317"/>
    <n v="1"/>
    <n v="25"/>
    <s v="No"/>
    <x v="2"/>
    <n v="23"/>
    <n v="0.41391941391941389"/>
    <s v="High Risk"/>
    <s v="Apply Discount / Promotion"/>
  </r>
  <r>
    <n v="424"/>
    <x v="11"/>
    <x v="3"/>
    <x v="2"/>
    <n v="468"/>
    <n v="45"/>
    <n v="29"/>
    <n v="2070.19"/>
    <n v="1338.66"/>
    <n v="89"/>
    <n v="13"/>
    <s v="2026-03-08"/>
    <n v="251"/>
    <n v="2"/>
    <n v="40"/>
    <s v="Yes"/>
    <x v="0"/>
    <n v="16"/>
    <n v="9.6153846153846159E-2"/>
    <s v="High Risk"/>
    <s v="Apply Discount / Promotion"/>
  </r>
  <r>
    <n v="425"/>
    <x v="9"/>
    <x v="3"/>
    <x v="0"/>
    <n v="20"/>
    <n v="113"/>
    <n v="87"/>
    <n v="905.42"/>
    <n v="703.41"/>
    <n v="140"/>
    <n v="7"/>
    <s v="2026-03-12"/>
    <n v="35"/>
    <n v="2"/>
    <n v="26"/>
    <s v="Yes"/>
    <x v="2"/>
    <n v="26"/>
    <n v="5.65"/>
    <s v="Low Risk"/>
    <s v="Maintain Stock"/>
  </r>
  <r>
    <n v="426"/>
    <x v="81"/>
    <x v="2"/>
    <x v="0"/>
    <n v="391"/>
    <n v="264"/>
    <n v="298"/>
    <n v="2962.21"/>
    <n v="2214.25"/>
    <n v="142"/>
    <n v="2"/>
    <s v="2026-01-12"/>
    <n v="238"/>
    <n v="5"/>
    <n v="40"/>
    <s v="Yes"/>
    <x v="2"/>
    <n v="-34"/>
    <n v="0.67519181585677746"/>
    <s v="Medium Risk"/>
    <s v="Monitor Sales"/>
  </r>
  <r>
    <n v="427"/>
    <x v="80"/>
    <x v="1"/>
    <x v="1"/>
    <n v="423"/>
    <n v="324"/>
    <n v="352"/>
    <n v="4100.41"/>
    <n v="3234.75"/>
    <n v="46"/>
    <n v="3"/>
    <s v="2026-03-16"/>
    <n v="121"/>
    <n v="5"/>
    <n v="15"/>
    <s v="Yes"/>
    <x v="0"/>
    <n v="-28"/>
    <n v="0.76595744680851063"/>
    <s v="Medium Risk"/>
    <s v="Monitor Sales"/>
  </r>
  <r>
    <n v="428"/>
    <x v="82"/>
    <x v="4"/>
    <x v="0"/>
    <n v="418"/>
    <n v="210"/>
    <n v="224"/>
    <n v="154.05000000000001"/>
    <n v="94.15"/>
    <n v="45"/>
    <n v="10"/>
    <s v="2026-01-01"/>
    <n v="215"/>
    <n v="1"/>
    <n v="6"/>
    <s v="No"/>
    <x v="1"/>
    <n v="-14"/>
    <n v="0.50239234449760761"/>
    <s v="Medium Risk"/>
    <s v="Monitor Sales"/>
  </r>
  <r>
    <n v="429"/>
    <x v="89"/>
    <x v="4"/>
    <x v="0"/>
    <n v="246"/>
    <n v="265"/>
    <n v="303"/>
    <n v="2259.62"/>
    <n v="1273.8499999999999"/>
    <n v="63"/>
    <n v="8"/>
    <s v="2026-03-25"/>
    <n v="234"/>
    <n v="5"/>
    <n v="44"/>
    <s v="Yes"/>
    <x v="0"/>
    <n v="-38"/>
    <n v="1.0772357723577235"/>
    <s v="Low Risk"/>
    <s v="Maintain Stock"/>
  </r>
  <r>
    <n v="430"/>
    <x v="38"/>
    <x v="2"/>
    <x v="1"/>
    <n v="288"/>
    <n v="336"/>
    <n v="322"/>
    <n v="3602.56"/>
    <n v="2321.0300000000002"/>
    <n v="145"/>
    <n v="14"/>
    <s v="2026-01-20"/>
    <n v="338"/>
    <n v="3"/>
    <n v="6"/>
    <s v="No"/>
    <x v="0"/>
    <n v="14"/>
    <n v="1.1666666666666667"/>
    <s v="Low Risk"/>
    <s v="Maintain Stock"/>
  </r>
  <r>
    <n v="431"/>
    <x v="12"/>
    <x v="3"/>
    <x v="2"/>
    <n v="378"/>
    <n v="175"/>
    <n v="221"/>
    <n v="3509.24"/>
    <n v="2069.48"/>
    <n v="86"/>
    <n v="4"/>
    <s v="2026-03-21"/>
    <n v="117"/>
    <n v="1"/>
    <n v="10"/>
    <s v="Yes"/>
    <x v="0"/>
    <n v="-46"/>
    <n v="0.46296296296296297"/>
    <s v="High Risk"/>
    <s v="Apply Discount / Promotion"/>
  </r>
  <r>
    <n v="432"/>
    <x v="50"/>
    <x v="2"/>
    <x v="0"/>
    <n v="166"/>
    <n v="77"/>
    <n v="117"/>
    <n v="2259.31"/>
    <n v="1771.78"/>
    <n v="129"/>
    <n v="5"/>
    <s v="2026-02-23"/>
    <n v="249"/>
    <n v="2"/>
    <n v="46"/>
    <s v="No"/>
    <x v="2"/>
    <n v="-40"/>
    <n v="0.46385542168674698"/>
    <s v="High Risk"/>
    <s v="Apply Discount / Promotion"/>
  </r>
  <r>
    <n v="433"/>
    <x v="16"/>
    <x v="3"/>
    <x v="1"/>
    <n v="138"/>
    <n v="294"/>
    <n v="251"/>
    <n v="3471.81"/>
    <n v="2446.59"/>
    <n v="128"/>
    <n v="2"/>
    <s v="2026-03-26"/>
    <n v="134"/>
    <n v="5"/>
    <n v="18"/>
    <s v="Yes"/>
    <x v="1"/>
    <n v="43"/>
    <n v="2.1304347826086958"/>
    <s v="Low Risk"/>
    <s v="Maintain Stock"/>
  </r>
  <r>
    <n v="434"/>
    <x v="78"/>
    <x v="0"/>
    <x v="3"/>
    <n v="146"/>
    <n v="282"/>
    <n v="252"/>
    <n v="2977.31"/>
    <n v="1593.19"/>
    <n v="69"/>
    <n v="13"/>
    <s v="2026-02-15"/>
    <n v="80"/>
    <n v="5"/>
    <n v="32"/>
    <s v="Yes"/>
    <x v="2"/>
    <n v="30"/>
    <n v="1.9315068493150684"/>
    <s v="Low Risk"/>
    <s v="Maintain Stock"/>
  </r>
  <r>
    <n v="435"/>
    <x v="13"/>
    <x v="3"/>
    <x v="0"/>
    <n v="281"/>
    <n v="143"/>
    <n v="109"/>
    <n v="4559.93"/>
    <n v="2903.15"/>
    <n v="69"/>
    <n v="13"/>
    <s v="2026-01-11"/>
    <n v="343"/>
    <n v="4"/>
    <n v="41"/>
    <s v="Yes"/>
    <x v="1"/>
    <n v="34"/>
    <n v="0.50889679715302494"/>
    <s v="Medium Risk"/>
    <s v="Monitor Sales"/>
  </r>
  <r>
    <n v="436"/>
    <x v="17"/>
    <x v="3"/>
    <x v="3"/>
    <n v="124"/>
    <n v="281"/>
    <n v="281"/>
    <n v="3944.82"/>
    <n v="2658.89"/>
    <n v="119"/>
    <n v="1"/>
    <s v="2026-02-10"/>
    <n v="149"/>
    <n v="2"/>
    <n v="39"/>
    <s v="No"/>
    <x v="1"/>
    <n v="0"/>
    <n v="2.2661290322580645"/>
    <s v="Low Risk"/>
    <s v="Maintain Stock"/>
  </r>
  <r>
    <n v="437"/>
    <x v="93"/>
    <x v="2"/>
    <x v="1"/>
    <n v="199"/>
    <n v="67"/>
    <n v="54"/>
    <n v="366.87"/>
    <n v="244.14"/>
    <n v="116"/>
    <n v="14"/>
    <s v="2026-03-22"/>
    <n v="50"/>
    <n v="2"/>
    <n v="22"/>
    <s v="Yes"/>
    <x v="1"/>
    <n v="13"/>
    <n v="0.33668341708542715"/>
    <s v="High Risk"/>
    <s v="Apply Discount / Promotion"/>
  </r>
  <r>
    <n v="438"/>
    <x v="0"/>
    <x v="2"/>
    <x v="1"/>
    <n v="271"/>
    <n v="329"/>
    <n v="307"/>
    <n v="759.16"/>
    <n v="385.12"/>
    <n v="43"/>
    <n v="5"/>
    <s v="2026-02-07"/>
    <n v="240"/>
    <n v="2"/>
    <n v="18"/>
    <s v="No"/>
    <x v="1"/>
    <n v="22"/>
    <n v="1.2140221402214022"/>
    <s v="Low Risk"/>
    <s v="Maintain Stock"/>
  </r>
  <r>
    <n v="439"/>
    <x v="49"/>
    <x v="2"/>
    <x v="3"/>
    <n v="485"/>
    <n v="311"/>
    <n v="340"/>
    <n v="1785.2"/>
    <n v="1307.46"/>
    <n v="68"/>
    <n v="9"/>
    <s v="2026-01-01"/>
    <n v="324"/>
    <n v="2"/>
    <n v="43"/>
    <s v="Yes"/>
    <x v="1"/>
    <n v="-29"/>
    <n v="0.64123711340206191"/>
    <s v="Medium Risk"/>
    <s v="Monitor Sales"/>
  </r>
  <r>
    <n v="440"/>
    <x v="72"/>
    <x v="0"/>
    <x v="1"/>
    <n v="245"/>
    <n v="164"/>
    <n v="213"/>
    <n v="3936.23"/>
    <n v="2232.23"/>
    <n v="139"/>
    <n v="10"/>
    <s v="2026-01-08"/>
    <n v="88"/>
    <n v="3"/>
    <n v="21"/>
    <s v="Yes"/>
    <x v="1"/>
    <n v="-49"/>
    <n v="0.66938775510204085"/>
    <s v="Medium Risk"/>
    <s v="Monitor Sales"/>
  </r>
  <r>
    <n v="441"/>
    <x v="48"/>
    <x v="2"/>
    <x v="2"/>
    <n v="215"/>
    <n v="271"/>
    <n v="267"/>
    <n v="2000.9"/>
    <n v="1559.77"/>
    <n v="65"/>
    <n v="6"/>
    <s v="2026-03-22"/>
    <n v="92"/>
    <n v="1"/>
    <n v="45"/>
    <s v="No"/>
    <x v="1"/>
    <n v="4"/>
    <n v="1.2604651162790699"/>
    <s v="Low Risk"/>
    <s v="Maintain Stock"/>
  </r>
  <r>
    <n v="442"/>
    <x v="0"/>
    <x v="0"/>
    <x v="1"/>
    <n v="101"/>
    <n v="189"/>
    <n v="189"/>
    <n v="1859.1"/>
    <n v="1138.3800000000001"/>
    <n v="34"/>
    <n v="10"/>
    <s v="2026-01-17"/>
    <n v="178"/>
    <n v="4"/>
    <n v="42"/>
    <s v="No"/>
    <x v="0"/>
    <n v="0"/>
    <n v="1.8712871287128714"/>
    <s v="Low Risk"/>
    <s v="Maintain Stock"/>
  </r>
  <r>
    <n v="443"/>
    <x v="95"/>
    <x v="2"/>
    <x v="3"/>
    <n v="71"/>
    <n v="153"/>
    <n v="120"/>
    <n v="1104.8499999999999"/>
    <n v="747.88"/>
    <n v="136"/>
    <n v="1"/>
    <s v="2026-01-30"/>
    <n v="317"/>
    <n v="4"/>
    <n v="40"/>
    <s v="Yes"/>
    <x v="2"/>
    <n v="33"/>
    <n v="2.1549295774647885"/>
    <s v="Low Risk"/>
    <s v="Maintain Stock"/>
  </r>
  <r>
    <n v="444"/>
    <x v="16"/>
    <x v="0"/>
    <x v="0"/>
    <n v="239"/>
    <n v="169"/>
    <n v="191"/>
    <n v="345.87"/>
    <n v="221.37"/>
    <n v="49"/>
    <n v="10"/>
    <s v="2026-02-02"/>
    <n v="59"/>
    <n v="5"/>
    <n v="15"/>
    <s v="No"/>
    <x v="2"/>
    <n v="-22"/>
    <n v="0.70711297071129708"/>
    <s v="Medium Risk"/>
    <s v="Monitor Sales"/>
  </r>
  <r>
    <n v="445"/>
    <x v="95"/>
    <x v="4"/>
    <x v="3"/>
    <n v="351"/>
    <n v="198"/>
    <n v="231"/>
    <n v="4433.8599999999997"/>
    <n v="2265.37"/>
    <n v="72"/>
    <n v="14"/>
    <s v="2026-01-09"/>
    <n v="256"/>
    <n v="3"/>
    <n v="15"/>
    <s v="Yes"/>
    <x v="2"/>
    <n v="-33"/>
    <n v="0.5641025641025641"/>
    <s v="Medium Risk"/>
    <s v="Monitor Sales"/>
  </r>
  <r>
    <n v="446"/>
    <x v="40"/>
    <x v="0"/>
    <x v="0"/>
    <n v="326"/>
    <n v="232"/>
    <n v="182"/>
    <n v="2910.7"/>
    <n v="1570.37"/>
    <n v="78"/>
    <n v="13"/>
    <s v="2026-03-16"/>
    <n v="231"/>
    <n v="1"/>
    <n v="7"/>
    <s v="Yes"/>
    <x v="2"/>
    <n v="50"/>
    <n v="0.71165644171779141"/>
    <s v="Medium Risk"/>
    <s v="Monitor Sales"/>
  </r>
  <r>
    <n v="447"/>
    <x v="26"/>
    <x v="4"/>
    <x v="0"/>
    <n v="477"/>
    <n v="252"/>
    <n v="266"/>
    <n v="4548.3900000000003"/>
    <n v="2785.52"/>
    <n v="61"/>
    <n v="1"/>
    <s v="2026-02-18"/>
    <n v="135"/>
    <n v="1"/>
    <n v="37"/>
    <s v="Yes"/>
    <x v="1"/>
    <n v="-14"/>
    <n v="0.52830188679245282"/>
    <s v="Medium Risk"/>
    <s v="Monitor Sales"/>
  </r>
  <r>
    <n v="448"/>
    <x v="47"/>
    <x v="2"/>
    <x v="2"/>
    <n v="450"/>
    <n v="394"/>
    <n v="372"/>
    <n v="224.4"/>
    <n v="161.06"/>
    <n v="141"/>
    <n v="3"/>
    <s v="2026-02-14"/>
    <n v="84"/>
    <n v="4"/>
    <n v="22"/>
    <s v="Yes"/>
    <x v="0"/>
    <n v="22"/>
    <n v="0.87555555555555553"/>
    <s v="Medium Risk"/>
    <s v="Monitor Sales"/>
  </r>
  <r>
    <n v="449"/>
    <x v="96"/>
    <x v="4"/>
    <x v="3"/>
    <n v="417"/>
    <n v="222"/>
    <n v="195"/>
    <n v="4179.6899999999996"/>
    <n v="2323.2600000000002"/>
    <n v="92"/>
    <n v="6"/>
    <s v="2026-02-23"/>
    <n v="330"/>
    <n v="4"/>
    <n v="30"/>
    <s v="No"/>
    <x v="1"/>
    <n v="27"/>
    <n v="0.53237410071942448"/>
    <s v="Medium Risk"/>
    <s v="Monitor Sales"/>
  </r>
  <r>
    <n v="450"/>
    <x v="6"/>
    <x v="3"/>
    <x v="2"/>
    <n v="241"/>
    <n v="240"/>
    <n v="239"/>
    <n v="3673.33"/>
    <n v="2374.7399999999998"/>
    <n v="80"/>
    <n v="11"/>
    <s v="2026-03-19"/>
    <n v="273"/>
    <n v="5"/>
    <n v="4"/>
    <s v="No"/>
    <x v="0"/>
    <n v="1"/>
    <n v="0.99585062240663902"/>
    <s v="Medium Risk"/>
    <s v="Monitor Sales"/>
  </r>
  <r>
    <n v="451"/>
    <x v="30"/>
    <x v="3"/>
    <x v="0"/>
    <n v="110"/>
    <n v="358"/>
    <n v="375"/>
    <n v="317.39"/>
    <n v="229.97"/>
    <n v="54"/>
    <n v="15"/>
    <s v="2026-03-21"/>
    <n v="352"/>
    <n v="5"/>
    <n v="32"/>
    <s v="No"/>
    <x v="1"/>
    <n v="-17"/>
    <n v="3.2545454545454544"/>
    <s v="Low Risk"/>
    <s v="Maintain Stock"/>
  </r>
  <r>
    <n v="452"/>
    <x v="48"/>
    <x v="3"/>
    <x v="3"/>
    <n v="51"/>
    <n v="233"/>
    <n v="240"/>
    <n v="2805.93"/>
    <n v="2130.5300000000002"/>
    <n v="117"/>
    <n v="1"/>
    <s v="2026-03-28"/>
    <n v="116"/>
    <n v="3"/>
    <n v="46"/>
    <s v="Yes"/>
    <x v="2"/>
    <n v="-7"/>
    <n v="4.5686274509803919"/>
    <s v="Low Risk"/>
    <s v="Maintain Stock"/>
  </r>
  <r>
    <n v="453"/>
    <x v="45"/>
    <x v="1"/>
    <x v="1"/>
    <n v="455"/>
    <n v="320"/>
    <n v="370"/>
    <n v="4939.9399999999996"/>
    <n v="3133.63"/>
    <n v="69"/>
    <n v="11"/>
    <s v="2026-02-16"/>
    <n v="214"/>
    <n v="4"/>
    <n v="27"/>
    <s v="No"/>
    <x v="0"/>
    <n v="-50"/>
    <n v="0.70329670329670335"/>
    <s v="Medium Risk"/>
    <s v="Monitor Sales"/>
  </r>
  <r>
    <n v="454"/>
    <x v="7"/>
    <x v="1"/>
    <x v="2"/>
    <n v="72"/>
    <n v="374"/>
    <n v="329"/>
    <n v="3959.25"/>
    <n v="2327.25"/>
    <n v="39"/>
    <n v="15"/>
    <s v="2026-03-10"/>
    <n v="247"/>
    <n v="5"/>
    <n v="35"/>
    <s v="Yes"/>
    <x v="2"/>
    <n v="45"/>
    <n v="5.1944444444444446"/>
    <s v="Low Risk"/>
    <s v="Maintain Stock"/>
  </r>
  <r>
    <n v="455"/>
    <x v="44"/>
    <x v="1"/>
    <x v="2"/>
    <n v="317"/>
    <n v="162"/>
    <n v="130"/>
    <n v="1251.83"/>
    <n v="707.89"/>
    <n v="43"/>
    <n v="13"/>
    <s v="2026-02-09"/>
    <n v="65"/>
    <n v="2"/>
    <n v="20"/>
    <s v="No"/>
    <x v="2"/>
    <n v="32"/>
    <n v="0.51104100946372244"/>
    <s v="Medium Risk"/>
    <s v="Monitor Sales"/>
  </r>
  <r>
    <n v="456"/>
    <x v="50"/>
    <x v="1"/>
    <x v="3"/>
    <n v="168"/>
    <n v="103"/>
    <n v="137"/>
    <n v="278.14"/>
    <n v="169.88"/>
    <n v="128"/>
    <n v="13"/>
    <s v="2026-02-14"/>
    <n v="348"/>
    <n v="1"/>
    <n v="39"/>
    <s v="Yes"/>
    <x v="1"/>
    <n v="-34"/>
    <n v="0.61309523809523814"/>
    <s v="Medium Risk"/>
    <s v="Monitor Sales"/>
  </r>
  <r>
    <n v="457"/>
    <x v="53"/>
    <x v="2"/>
    <x v="1"/>
    <n v="34"/>
    <n v="253"/>
    <n v="216"/>
    <n v="3418.35"/>
    <n v="2193.48"/>
    <n v="116"/>
    <n v="15"/>
    <s v="2026-01-13"/>
    <n v="100"/>
    <n v="3"/>
    <n v="45"/>
    <s v="Yes"/>
    <x v="1"/>
    <n v="37"/>
    <n v="7.4411764705882355"/>
    <s v="Low Risk"/>
    <s v="Maintain Stock"/>
  </r>
  <r>
    <n v="458"/>
    <x v="50"/>
    <x v="3"/>
    <x v="1"/>
    <n v="152"/>
    <n v="345"/>
    <n v="305"/>
    <n v="540.76"/>
    <n v="343.08"/>
    <n v="40"/>
    <n v="4"/>
    <s v="2026-03-15"/>
    <n v="108"/>
    <n v="5"/>
    <n v="42"/>
    <s v="Yes"/>
    <x v="0"/>
    <n v="40"/>
    <n v="2.2697368421052633"/>
    <s v="Low Risk"/>
    <s v="Maintain Stock"/>
  </r>
  <r>
    <n v="459"/>
    <x v="8"/>
    <x v="4"/>
    <x v="3"/>
    <n v="495"/>
    <n v="99"/>
    <n v="132"/>
    <n v="1109.74"/>
    <n v="698.85"/>
    <n v="117"/>
    <n v="12"/>
    <s v="2026-01-31"/>
    <n v="339"/>
    <n v="4"/>
    <n v="31"/>
    <s v="Yes"/>
    <x v="0"/>
    <n v="-33"/>
    <n v="0.2"/>
    <s v="High Risk"/>
    <s v="Apply Discount / Promotion"/>
  </r>
  <r>
    <n v="460"/>
    <x v="5"/>
    <x v="4"/>
    <x v="1"/>
    <n v="430"/>
    <n v="154"/>
    <n v="121"/>
    <n v="1425.87"/>
    <n v="817.62"/>
    <n v="127"/>
    <n v="3"/>
    <s v="2026-02-26"/>
    <n v="230"/>
    <n v="4"/>
    <n v="39"/>
    <s v="Yes"/>
    <x v="1"/>
    <n v="33"/>
    <n v="0.35813953488372091"/>
    <s v="High Risk"/>
    <s v="Apply Discount / Promotion"/>
  </r>
  <r>
    <n v="461"/>
    <x v="94"/>
    <x v="2"/>
    <x v="2"/>
    <n v="327"/>
    <n v="293"/>
    <n v="246"/>
    <n v="4812.72"/>
    <n v="3759.68"/>
    <n v="64"/>
    <n v="13"/>
    <s v="2026-03-25"/>
    <n v="157"/>
    <n v="5"/>
    <n v="30"/>
    <s v="No"/>
    <x v="0"/>
    <n v="47"/>
    <n v="0.89602446483180431"/>
    <s v="Medium Risk"/>
    <s v="Monitor Sales"/>
  </r>
  <r>
    <n v="462"/>
    <x v="11"/>
    <x v="4"/>
    <x v="3"/>
    <n v="448"/>
    <n v="262"/>
    <n v="223"/>
    <n v="214.97"/>
    <n v="132.02000000000001"/>
    <n v="59"/>
    <n v="2"/>
    <s v="2026-02-11"/>
    <n v="165"/>
    <n v="5"/>
    <n v="15"/>
    <s v="No"/>
    <x v="2"/>
    <n v="39"/>
    <n v="0.5848214285714286"/>
    <s v="Medium Risk"/>
    <s v="Monitor Sales"/>
  </r>
  <r>
    <n v="463"/>
    <x v="27"/>
    <x v="2"/>
    <x v="3"/>
    <n v="379"/>
    <n v="300"/>
    <n v="330"/>
    <n v="399.33"/>
    <n v="304.73"/>
    <n v="46"/>
    <n v="11"/>
    <s v="2026-03-05"/>
    <n v="323"/>
    <n v="3"/>
    <n v="4"/>
    <s v="Yes"/>
    <x v="0"/>
    <n v="-30"/>
    <n v="0.79155672823218992"/>
    <s v="Medium Risk"/>
    <s v="Monitor Sales"/>
  </r>
  <r>
    <n v="464"/>
    <x v="94"/>
    <x v="4"/>
    <x v="3"/>
    <n v="355"/>
    <n v="148"/>
    <n v="159"/>
    <n v="3407.68"/>
    <n v="2379.4899999999998"/>
    <n v="80"/>
    <n v="14"/>
    <s v="2026-01-30"/>
    <n v="186"/>
    <n v="5"/>
    <n v="1"/>
    <s v="Yes"/>
    <x v="0"/>
    <n v="-11"/>
    <n v="0.41690140845070423"/>
    <s v="High Risk"/>
    <s v="Apply Discount / Promotion"/>
  </r>
  <r>
    <n v="465"/>
    <x v="52"/>
    <x v="1"/>
    <x v="1"/>
    <n v="167"/>
    <n v="273"/>
    <n v="227"/>
    <n v="927.02"/>
    <n v="615.79"/>
    <n v="87"/>
    <n v="9"/>
    <s v="2026-02-20"/>
    <n v="287"/>
    <n v="2"/>
    <n v="14"/>
    <s v="Yes"/>
    <x v="1"/>
    <n v="46"/>
    <n v="1.6347305389221556"/>
    <s v="Low Risk"/>
    <s v="Maintain Stock"/>
  </r>
  <r>
    <n v="466"/>
    <x v="63"/>
    <x v="3"/>
    <x v="3"/>
    <n v="380"/>
    <n v="300"/>
    <n v="275"/>
    <n v="1612.28"/>
    <n v="828.63"/>
    <n v="76"/>
    <n v="7"/>
    <s v="2026-01-06"/>
    <n v="182"/>
    <n v="3"/>
    <n v="40"/>
    <s v="No"/>
    <x v="2"/>
    <n v="25"/>
    <n v="0.78947368421052633"/>
    <s v="Medium Risk"/>
    <s v="Monitor Sales"/>
  </r>
  <r>
    <n v="467"/>
    <x v="46"/>
    <x v="0"/>
    <x v="0"/>
    <n v="318"/>
    <n v="63"/>
    <n v="20"/>
    <n v="711.25"/>
    <n v="397.28"/>
    <n v="97"/>
    <n v="11"/>
    <s v="2026-02-09"/>
    <n v="362"/>
    <n v="3"/>
    <n v="11"/>
    <s v="Yes"/>
    <x v="2"/>
    <n v="43"/>
    <n v="0.19811320754716982"/>
    <s v="High Risk"/>
    <s v="Apply Discount / Promotion"/>
  </r>
  <r>
    <n v="468"/>
    <x v="0"/>
    <x v="3"/>
    <x v="1"/>
    <n v="192"/>
    <n v="206"/>
    <n v="215"/>
    <n v="2896.7"/>
    <n v="1821.76"/>
    <n v="120"/>
    <n v="4"/>
    <s v="2026-01-26"/>
    <n v="314"/>
    <n v="4"/>
    <n v="48"/>
    <s v="Yes"/>
    <x v="1"/>
    <n v="-9"/>
    <n v="1.0729166666666667"/>
    <s v="Low Risk"/>
    <s v="Maintain Stock"/>
  </r>
  <r>
    <n v="469"/>
    <x v="12"/>
    <x v="2"/>
    <x v="2"/>
    <n v="89"/>
    <n v="184"/>
    <n v="189"/>
    <n v="2279.66"/>
    <n v="1815.82"/>
    <n v="55"/>
    <n v="13"/>
    <s v="2026-01-23"/>
    <n v="44"/>
    <n v="4"/>
    <n v="40"/>
    <s v="No"/>
    <x v="2"/>
    <n v="-5"/>
    <n v="2.0674157303370788"/>
    <s v="Low Risk"/>
    <s v="Maintain Stock"/>
  </r>
  <r>
    <n v="470"/>
    <x v="96"/>
    <x v="3"/>
    <x v="2"/>
    <n v="352"/>
    <n v="190"/>
    <n v="236"/>
    <n v="3150.78"/>
    <n v="1633.17"/>
    <n v="137"/>
    <n v="9"/>
    <s v="2026-03-25"/>
    <n v="138"/>
    <n v="5"/>
    <n v="2"/>
    <s v="No"/>
    <x v="0"/>
    <n v="-46"/>
    <n v="0.53977272727272729"/>
    <s v="Medium Risk"/>
    <s v="Monitor Sales"/>
  </r>
  <r>
    <n v="471"/>
    <x v="36"/>
    <x v="3"/>
    <x v="3"/>
    <n v="189"/>
    <n v="251"/>
    <n v="297"/>
    <n v="2498.17"/>
    <n v="1348.58"/>
    <n v="58"/>
    <n v="9"/>
    <s v="2026-03-04"/>
    <n v="334"/>
    <n v="2"/>
    <n v="1"/>
    <s v="No"/>
    <x v="1"/>
    <n v="-46"/>
    <n v="1.3280423280423281"/>
    <s v="Low Risk"/>
    <s v="Maintain Stock"/>
  </r>
  <r>
    <n v="472"/>
    <x v="85"/>
    <x v="0"/>
    <x v="2"/>
    <n v="477"/>
    <n v="239"/>
    <n v="265"/>
    <n v="1307.79"/>
    <n v="996.4"/>
    <n v="61"/>
    <n v="15"/>
    <s v="2026-01-06"/>
    <n v="242"/>
    <n v="2"/>
    <n v="15"/>
    <s v="Yes"/>
    <x v="1"/>
    <n v="-26"/>
    <n v="0.50104821802935007"/>
    <s v="Medium Risk"/>
    <s v="Monitor Sales"/>
  </r>
  <r>
    <n v="473"/>
    <x v="83"/>
    <x v="3"/>
    <x v="3"/>
    <n v="132"/>
    <n v="61"/>
    <n v="35"/>
    <n v="4550.07"/>
    <n v="3341.41"/>
    <n v="30"/>
    <n v="11"/>
    <s v="2026-03-24"/>
    <n v="49"/>
    <n v="4"/>
    <n v="15"/>
    <s v="Yes"/>
    <x v="1"/>
    <n v="26"/>
    <n v="0.4621212121212121"/>
    <s v="High Risk"/>
    <s v="Apply Discount / Promotion"/>
  </r>
  <r>
    <n v="474"/>
    <x v="12"/>
    <x v="4"/>
    <x v="2"/>
    <n v="173"/>
    <n v="25"/>
    <n v="67"/>
    <n v="1694.54"/>
    <n v="983.05"/>
    <n v="115"/>
    <n v="12"/>
    <s v="2026-01-11"/>
    <n v="41"/>
    <n v="3"/>
    <n v="10"/>
    <s v="No"/>
    <x v="2"/>
    <n v="-42"/>
    <n v="0.14450867052023122"/>
    <s v="High Risk"/>
    <s v="Apply Discount / Promotion"/>
  </r>
  <r>
    <n v="475"/>
    <x v="97"/>
    <x v="4"/>
    <x v="1"/>
    <n v="28"/>
    <n v="330"/>
    <n v="362"/>
    <n v="3576.62"/>
    <n v="2812.91"/>
    <n v="102"/>
    <n v="12"/>
    <s v="2026-02-16"/>
    <n v="176"/>
    <n v="5"/>
    <n v="13"/>
    <s v="No"/>
    <x v="2"/>
    <n v="-32"/>
    <n v="11.785714285714286"/>
    <s v="Low Risk"/>
    <s v="Maintain Stock"/>
  </r>
  <r>
    <n v="476"/>
    <x v="45"/>
    <x v="4"/>
    <x v="2"/>
    <n v="352"/>
    <n v="352"/>
    <n v="336"/>
    <n v="4258.8599999999997"/>
    <n v="2493.66"/>
    <n v="87"/>
    <n v="10"/>
    <s v="2026-02-14"/>
    <n v="248"/>
    <n v="2"/>
    <n v="32"/>
    <s v="No"/>
    <x v="0"/>
    <n v="16"/>
    <n v="1"/>
    <s v="Low Risk"/>
    <s v="Maintain Stock"/>
  </r>
  <r>
    <n v="477"/>
    <x v="81"/>
    <x v="0"/>
    <x v="2"/>
    <n v="323"/>
    <n v="168"/>
    <n v="166"/>
    <n v="1141.6099999999999"/>
    <n v="812.2"/>
    <n v="33"/>
    <n v="2"/>
    <s v="2026-01-03"/>
    <n v="103"/>
    <n v="2"/>
    <n v="40"/>
    <s v="No"/>
    <x v="2"/>
    <n v="2"/>
    <n v="0.52012383900928794"/>
    <s v="Medium Risk"/>
    <s v="Monitor Sales"/>
  </r>
  <r>
    <n v="478"/>
    <x v="79"/>
    <x v="3"/>
    <x v="1"/>
    <n v="106"/>
    <n v="236"/>
    <n v="277"/>
    <n v="3490.07"/>
    <n v="2325.11"/>
    <n v="57"/>
    <n v="6"/>
    <s v="2026-02-23"/>
    <n v="89"/>
    <n v="2"/>
    <n v="33"/>
    <s v="Yes"/>
    <x v="1"/>
    <n v="-41"/>
    <n v="2.2264150943396226"/>
    <s v="Low Risk"/>
    <s v="Maintain Stock"/>
  </r>
  <r>
    <n v="479"/>
    <x v="77"/>
    <x v="3"/>
    <x v="3"/>
    <n v="162"/>
    <n v="152"/>
    <n v="116"/>
    <n v="2077.5500000000002"/>
    <n v="1463.04"/>
    <n v="112"/>
    <n v="5"/>
    <s v="2026-01-28"/>
    <n v="79"/>
    <n v="2"/>
    <n v="38"/>
    <s v="Yes"/>
    <x v="1"/>
    <n v="36"/>
    <n v="0.93827160493827155"/>
    <s v="Medium Risk"/>
    <s v="Monitor Sales"/>
  </r>
  <r>
    <n v="480"/>
    <x v="84"/>
    <x v="1"/>
    <x v="2"/>
    <n v="439"/>
    <n v="428"/>
    <n v="398"/>
    <n v="2914.05"/>
    <n v="1679"/>
    <n v="109"/>
    <n v="7"/>
    <s v="2026-01-05"/>
    <n v="110"/>
    <n v="1"/>
    <n v="3"/>
    <s v="No"/>
    <x v="0"/>
    <n v="30"/>
    <n v="0.97494305239179957"/>
    <s v="Medium Risk"/>
    <s v="Monitor Sales"/>
  </r>
  <r>
    <n v="481"/>
    <x v="11"/>
    <x v="2"/>
    <x v="0"/>
    <n v="488"/>
    <n v="317"/>
    <n v="344"/>
    <n v="4630.3500000000004"/>
    <n v="3237.5"/>
    <n v="131"/>
    <n v="2"/>
    <s v="2026-03-02"/>
    <n v="156"/>
    <n v="5"/>
    <n v="36"/>
    <s v="No"/>
    <x v="2"/>
    <n v="-27"/>
    <n v="0.64959016393442626"/>
    <s v="Medium Risk"/>
    <s v="Monitor Sales"/>
  </r>
  <r>
    <n v="482"/>
    <x v="48"/>
    <x v="1"/>
    <x v="1"/>
    <n v="340"/>
    <n v="423"/>
    <n v="395"/>
    <n v="2874.23"/>
    <n v="1460.79"/>
    <n v="60"/>
    <n v="14"/>
    <s v="2026-01-22"/>
    <n v="118"/>
    <n v="4"/>
    <n v="44"/>
    <s v="Yes"/>
    <x v="0"/>
    <n v="28"/>
    <n v="1.2441176470588236"/>
    <s v="Low Risk"/>
    <s v="Maintain Stock"/>
  </r>
  <r>
    <n v="483"/>
    <x v="37"/>
    <x v="2"/>
    <x v="1"/>
    <n v="85"/>
    <n v="361"/>
    <n v="318"/>
    <n v="3236.8"/>
    <n v="2457"/>
    <n v="34"/>
    <n v="3"/>
    <s v="2026-02-26"/>
    <n v="146"/>
    <n v="5"/>
    <n v="38"/>
    <s v="Yes"/>
    <x v="2"/>
    <n v="43"/>
    <n v="4.2470588235294118"/>
    <s v="Low Risk"/>
    <s v="Maintain Stock"/>
  </r>
  <r>
    <n v="484"/>
    <x v="39"/>
    <x v="2"/>
    <x v="0"/>
    <n v="409"/>
    <n v="150"/>
    <n v="114"/>
    <n v="2171.8200000000002"/>
    <n v="1697.11"/>
    <n v="147"/>
    <n v="5"/>
    <s v="2026-01-14"/>
    <n v="283"/>
    <n v="4"/>
    <n v="14"/>
    <s v="No"/>
    <x v="0"/>
    <n v="36"/>
    <n v="0.36674816625916873"/>
    <s v="High Risk"/>
    <s v="Apply Discount / Promotion"/>
  </r>
  <r>
    <n v="485"/>
    <x v="16"/>
    <x v="4"/>
    <x v="0"/>
    <n v="477"/>
    <n v="369"/>
    <n v="400"/>
    <n v="2978.71"/>
    <n v="1957.48"/>
    <n v="37"/>
    <n v="12"/>
    <s v="2026-02-23"/>
    <n v="272"/>
    <n v="1"/>
    <n v="47"/>
    <s v="No"/>
    <x v="2"/>
    <n v="-31"/>
    <n v="0.77358490566037741"/>
    <s v="Medium Risk"/>
    <s v="Monitor Sales"/>
  </r>
  <r>
    <n v="486"/>
    <x v="35"/>
    <x v="3"/>
    <x v="1"/>
    <n v="42"/>
    <n v="156"/>
    <n v="129"/>
    <n v="2244.7600000000002"/>
    <n v="1407.64"/>
    <n v="150"/>
    <n v="12"/>
    <s v="2026-02-05"/>
    <n v="150"/>
    <n v="5"/>
    <n v="37"/>
    <s v="No"/>
    <x v="1"/>
    <n v="27"/>
    <n v="3.7142857142857144"/>
    <s v="Low Risk"/>
    <s v="Maintain Stock"/>
  </r>
  <r>
    <n v="487"/>
    <x v="4"/>
    <x v="0"/>
    <x v="3"/>
    <n v="500"/>
    <n v="151"/>
    <n v="137"/>
    <n v="3525.15"/>
    <n v="2043.26"/>
    <n v="146"/>
    <n v="5"/>
    <s v="2026-01-25"/>
    <n v="357"/>
    <n v="4"/>
    <n v="35"/>
    <s v="No"/>
    <x v="2"/>
    <n v="14"/>
    <n v="0.30199999999999999"/>
    <s v="High Risk"/>
    <s v="Apply Discount / Promotion"/>
  </r>
  <r>
    <n v="488"/>
    <x v="44"/>
    <x v="1"/>
    <x v="3"/>
    <n v="82"/>
    <n v="105"/>
    <n v="127"/>
    <n v="1086.3699999999999"/>
    <n v="649.70000000000005"/>
    <n v="49"/>
    <n v="13"/>
    <s v="2026-03-10"/>
    <n v="50"/>
    <n v="1"/>
    <n v="49"/>
    <s v="Yes"/>
    <x v="0"/>
    <n v="-22"/>
    <n v="1.2804878048780488"/>
    <s v="Low Risk"/>
    <s v="Maintain Stock"/>
  </r>
  <r>
    <n v="489"/>
    <x v="93"/>
    <x v="0"/>
    <x v="3"/>
    <n v="439"/>
    <n v="86"/>
    <n v="55"/>
    <n v="2288.25"/>
    <n v="1544.33"/>
    <n v="46"/>
    <n v="7"/>
    <s v="2026-03-18"/>
    <n v="49"/>
    <n v="4"/>
    <n v="3"/>
    <s v="No"/>
    <x v="2"/>
    <n v="31"/>
    <n v="0.1958997722095672"/>
    <s v="High Risk"/>
    <s v="Apply Discount / Promotion"/>
  </r>
  <r>
    <n v="490"/>
    <x v="64"/>
    <x v="2"/>
    <x v="2"/>
    <n v="221"/>
    <n v="265"/>
    <n v="230"/>
    <n v="1272.25"/>
    <n v="918.36"/>
    <n v="89"/>
    <n v="9"/>
    <s v="2026-02-12"/>
    <n v="93"/>
    <n v="5"/>
    <n v="11"/>
    <s v="No"/>
    <x v="2"/>
    <n v="35"/>
    <n v="1.1990950226244343"/>
    <s v="Low Risk"/>
    <s v="Maintain Stock"/>
  </r>
  <r>
    <n v="491"/>
    <x v="37"/>
    <x v="3"/>
    <x v="3"/>
    <n v="91"/>
    <n v="325"/>
    <n v="282"/>
    <n v="2574.64"/>
    <n v="2050.35"/>
    <n v="117"/>
    <n v="12"/>
    <s v="2026-03-10"/>
    <n v="212"/>
    <n v="4"/>
    <n v="40"/>
    <s v="No"/>
    <x v="0"/>
    <n v="43"/>
    <n v="3.5714285714285716"/>
    <s v="Low Risk"/>
    <s v="Maintain Stock"/>
  </r>
  <r>
    <n v="492"/>
    <x v="37"/>
    <x v="2"/>
    <x v="0"/>
    <n v="255"/>
    <n v="150"/>
    <n v="101"/>
    <n v="4217.78"/>
    <n v="2137.0100000000002"/>
    <n v="51"/>
    <n v="10"/>
    <s v="2026-02-20"/>
    <n v="127"/>
    <n v="2"/>
    <n v="49"/>
    <s v="Yes"/>
    <x v="2"/>
    <n v="49"/>
    <n v="0.58823529411764708"/>
    <s v="Medium Risk"/>
    <s v="Monitor Sales"/>
  </r>
  <r>
    <n v="493"/>
    <x v="42"/>
    <x v="2"/>
    <x v="1"/>
    <n v="393"/>
    <n v="255"/>
    <n v="219"/>
    <n v="2854.39"/>
    <n v="2270.0700000000002"/>
    <n v="142"/>
    <n v="14"/>
    <s v="2026-03-16"/>
    <n v="284"/>
    <n v="4"/>
    <n v="1"/>
    <s v="Yes"/>
    <x v="1"/>
    <n v="36"/>
    <n v="0.64885496183206104"/>
    <s v="Medium Risk"/>
    <s v="Monitor Sales"/>
  </r>
  <r>
    <n v="494"/>
    <x v="94"/>
    <x v="4"/>
    <x v="0"/>
    <n v="449"/>
    <n v="126"/>
    <n v="79"/>
    <n v="3422.96"/>
    <n v="1726.16"/>
    <n v="100"/>
    <n v="1"/>
    <s v="2026-01-21"/>
    <n v="240"/>
    <n v="1"/>
    <n v="2"/>
    <s v="Yes"/>
    <x v="2"/>
    <n v="47"/>
    <n v="0.28062360801781738"/>
    <s v="High Risk"/>
    <s v="Apply Discount / Promotion"/>
  </r>
  <r>
    <n v="495"/>
    <x v="26"/>
    <x v="2"/>
    <x v="0"/>
    <n v="448"/>
    <n v="87"/>
    <n v="90"/>
    <n v="3647.24"/>
    <n v="2471.42"/>
    <n v="121"/>
    <n v="15"/>
    <s v="2026-02-02"/>
    <n v="55"/>
    <n v="1"/>
    <n v="49"/>
    <s v="No"/>
    <x v="2"/>
    <n v="-3"/>
    <n v="0.19419642857142858"/>
    <s v="High Risk"/>
    <s v="Apply Discount / Promotion"/>
  </r>
  <r>
    <n v="496"/>
    <x v="47"/>
    <x v="0"/>
    <x v="2"/>
    <n v="446"/>
    <n v="384"/>
    <n v="356"/>
    <n v="1854.33"/>
    <n v="1298.42"/>
    <n v="145"/>
    <n v="7"/>
    <s v="2026-02-09"/>
    <n v="229"/>
    <n v="2"/>
    <n v="2"/>
    <s v="No"/>
    <x v="1"/>
    <n v="28"/>
    <n v="0.86098654708520184"/>
    <s v="Medium Risk"/>
    <s v="Monitor Sales"/>
  </r>
  <r>
    <n v="497"/>
    <x v="38"/>
    <x v="1"/>
    <x v="3"/>
    <n v="333"/>
    <n v="381"/>
    <n v="344"/>
    <n v="1939.17"/>
    <n v="1449.46"/>
    <n v="138"/>
    <n v="4"/>
    <s v="2026-02-24"/>
    <n v="321"/>
    <n v="5"/>
    <n v="37"/>
    <s v="Yes"/>
    <x v="2"/>
    <n v="37"/>
    <n v="1.1441441441441442"/>
    <s v="Low Risk"/>
    <s v="Maintain Stock"/>
  </r>
  <r>
    <n v="498"/>
    <x v="2"/>
    <x v="0"/>
    <x v="1"/>
    <n v="194"/>
    <n v="335"/>
    <n v="331"/>
    <n v="1679.52"/>
    <n v="1291.94"/>
    <n v="48"/>
    <n v="10"/>
    <s v="2026-03-20"/>
    <n v="275"/>
    <n v="4"/>
    <n v="7"/>
    <s v="Yes"/>
    <x v="2"/>
    <n v="4"/>
    <n v="1.7268041237113403"/>
    <s v="Low Risk"/>
    <s v="Maintain Stock"/>
  </r>
  <r>
    <n v="499"/>
    <x v="53"/>
    <x v="3"/>
    <x v="1"/>
    <n v="131"/>
    <n v="350"/>
    <n v="369"/>
    <n v="705.55"/>
    <n v="447.66"/>
    <n v="68"/>
    <n v="14"/>
    <s v="2026-02-27"/>
    <n v="184"/>
    <n v="5"/>
    <n v="28"/>
    <s v="Yes"/>
    <x v="0"/>
    <n v="-19"/>
    <n v="2.6717557251908395"/>
    <s v="Low Risk"/>
    <s v="Maintain Stock"/>
  </r>
  <r>
    <n v="500"/>
    <x v="70"/>
    <x v="0"/>
    <x v="1"/>
    <n v="415"/>
    <n v="277"/>
    <n v="309"/>
    <n v="3038.42"/>
    <n v="2065.94"/>
    <n v="72"/>
    <n v="1"/>
    <s v="2026-02-04"/>
    <n v="94"/>
    <n v="4"/>
    <n v="28"/>
    <s v="No"/>
    <x v="1"/>
    <n v="-32"/>
    <n v="0.66746987951807224"/>
    <s v="Medium Risk"/>
    <s v="Monitor Sales"/>
  </r>
  <r>
    <n v="501"/>
    <x v="33"/>
    <x v="1"/>
    <x v="3"/>
    <n v="428"/>
    <n v="213"/>
    <n v="243"/>
    <n v="377.24"/>
    <n v="236.14"/>
    <n v="78"/>
    <n v="2"/>
    <s v="2026-01-08"/>
    <n v="307"/>
    <n v="1"/>
    <n v="43"/>
    <s v="No"/>
    <x v="1"/>
    <n v="-30"/>
    <n v="0.49766355140186919"/>
    <s v="High Risk"/>
    <s v="Apply Discount / Promotion"/>
  </r>
  <r>
    <n v="502"/>
    <x v="62"/>
    <x v="0"/>
    <x v="3"/>
    <n v="50"/>
    <n v="287"/>
    <n v="323"/>
    <n v="1271.03"/>
    <n v="843.28"/>
    <n v="101"/>
    <n v="4"/>
    <s v="2026-02-23"/>
    <n v="234"/>
    <n v="4"/>
    <n v="25"/>
    <s v="No"/>
    <x v="1"/>
    <n v="-36"/>
    <n v="5.74"/>
    <s v="Low Risk"/>
    <s v="Maintain Stock"/>
  </r>
  <r>
    <n v="503"/>
    <x v="5"/>
    <x v="4"/>
    <x v="2"/>
    <n v="230"/>
    <n v="346"/>
    <n v="318"/>
    <n v="740.54"/>
    <n v="472.01"/>
    <n v="118"/>
    <n v="11"/>
    <s v="2026-02-07"/>
    <n v="59"/>
    <n v="1"/>
    <n v="31"/>
    <s v="Yes"/>
    <x v="2"/>
    <n v="28"/>
    <n v="1.5043478260869565"/>
    <s v="Low Risk"/>
    <s v="Maintain Stock"/>
  </r>
  <r>
    <n v="504"/>
    <x v="30"/>
    <x v="2"/>
    <x v="1"/>
    <n v="186"/>
    <n v="301"/>
    <n v="260"/>
    <n v="2124.5"/>
    <n v="1336.28"/>
    <n v="79"/>
    <n v="7"/>
    <s v="2026-01-08"/>
    <n v="268"/>
    <n v="3"/>
    <n v="28"/>
    <s v="Yes"/>
    <x v="0"/>
    <n v="41"/>
    <n v="1.618279569892473"/>
    <s v="Low Risk"/>
    <s v="Maintain Stock"/>
  </r>
  <r>
    <n v="505"/>
    <x v="23"/>
    <x v="0"/>
    <x v="2"/>
    <n v="138"/>
    <n v="250"/>
    <n v="297"/>
    <n v="2616.0500000000002"/>
    <n v="1420.3"/>
    <n v="144"/>
    <n v="4"/>
    <s v="2026-01-07"/>
    <n v="131"/>
    <n v="2"/>
    <n v="16"/>
    <s v="No"/>
    <x v="1"/>
    <n v="-47"/>
    <n v="1.8115942028985508"/>
    <s v="Low Risk"/>
    <s v="Maintain Stock"/>
  </r>
  <r>
    <n v="506"/>
    <x v="76"/>
    <x v="2"/>
    <x v="0"/>
    <n v="194"/>
    <n v="432"/>
    <n v="388"/>
    <n v="4815.0600000000004"/>
    <n v="3563.2"/>
    <n v="106"/>
    <n v="10"/>
    <s v="2026-01-02"/>
    <n v="248"/>
    <n v="3"/>
    <n v="9"/>
    <s v="Yes"/>
    <x v="1"/>
    <n v="44"/>
    <n v="2.2268041237113403"/>
    <s v="Low Risk"/>
    <s v="Maintain Stock"/>
  </r>
  <r>
    <n v="507"/>
    <x v="54"/>
    <x v="1"/>
    <x v="2"/>
    <n v="434"/>
    <n v="207"/>
    <n v="233"/>
    <n v="3175.12"/>
    <n v="1643.13"/>
    <n v="76"/>
    <n v="7"/>
    <s v="2026-03-21"/>
    <n v="271"/>
    <n v="2"/>
    <n v="36"/>
    <s v="Yes"/>
    <x v="2"/>
    <n v="-26"/>
    <n v="0.47695852534562211"/>
    <s v="High Risk"/>
    <s v="Apply Discount / Promotion"/>
  </r>
  <r>
    <n v="508"/>
    <x v="58"/>
    <x v="3"/>
    <x v="3"/>
    <n v="296"/>
    <n v="282"/>
    <n v="234"/>
    <n v="1565.81"/>
    <n v="1020.51"/>
    <n v="77"/>
    <n v="5"/>
    <s v="2026-03-09"/>
    <n v="178"/>
    <n v="3"/>
    <n v="8"/>
    <s v="No"/>
    <x v="0"/>
    <n v="48"/>
    <n v="0.95270270270270274"/>
    <s v="Medium Risk"/>
    <s v="Monitor Sales"/>
  </r>
  <r>
    <n v="509"/>
    <x v="80"/>
    <x v="2"/>
    <x v="3"/>
    <n v="212"/>
    <n v="49"/>
    <n v="45"/>
    <n v="1293.83"/>
    <n v="852.93"/>
    <n v="118"/>
    <n v="7"/>
    <s v="2026-02-19"/>
    <n v="33"/>
    <n v="4"/>
    <n v="40"/>
    <s v="No"/>
    <x v="2"/>
    <n v="4"/>
    <n v="0.23113207547169812"/>
    <s v="High Risk"/>
    <s v="Apply Discount / Promotion"/>
  </r>
  <r>
    <n v="510"/>
    <x v="1"/>
    <x v="1"/>
    <x v="0"/>
    <n v="246"/>
    <n v="130"/>
    <n v="176"/>
    <n v="3776.72"/>
    <n v="2975.54"/>
    <n v="138"/>
    <n v="3"/>
    <s v="2026-03-05"/>
    <n v="198"/>
    <n v="5"/>
    <n v="5"/>
    <s v="No"/>
    <x v="2"/>
    <n v="-46"/>
    <n v="0.52845528455284552"/>
    <s v="Medium Risk"/>
    <s v="Monitor Sales"/>
  </r>
  <r>
    <n v="511"/>
    <x v="14"/>
    <x v="2"/>
    <x v="3"/>
    <n v="124"/>
    <n v="47"/>
    <n v="38"/>
    <n v="3486.9"/>
    <n v="2392.7600000000002"/>
    <n v="32"/>
    <n v="7"/>
    <s v="2026-01-22"/>
    <n v="123"/>
    <n v="4"/>
    <n v="22"/>
    <s v="No"/>
    <x v="1"/>
    <n v="9"/>
    <n v="0.37903225806451613"/>
    <s v="High Risk"/>
    <s v="Apply Discount / Promotion"/>
  </r>
  <r>
    <n v="512"/>
    <x v="50"/>
    <x v="3"/>
    <x v="1"/>
    <n v="122"/>
    <n v="299"/>
    <n v="287"/>
    <n v="202.53"/>
    <n v="101.64"/>
    <n v="104"/>
    <n v="14"/>
    <s v="2026-03-07"/>
    <n v="265"/>
    <n v="2"/>
    <n v="13"/>
    <s v="Yes"/>
    <x v="1"/>
    <n v="12"/>
    <n v="2.4508196721311477"/>
    <s v="Low Risk"/>
    <s v="Maintain Stock"/>
  </r>
  <r>
    <n v="513"/>
    <x v="13"/>
    <x v="0"/>
    <x v="2"/>
    <n v="94"/>
    <n v="316"/>
    <n v="279"/>
    <n v="3213.51"/>
    <n v="2044.29"/>
    <n v="65"/>
    <n v="2"/>
    <s v="2026-01-27"/>
    <n v="61"/>
    <n v="1"/>
    <n v="34"/>
    <s v="Yes"/>
    <x v="1"/>
    <n v="37"/>
    <n v="3.3617021276595747"/>
    <s v="Low Risk"/>
    <s v="Maintain Stock"/>
  </r>
  <r>
    <n v="514"/>
    <x v="81"/>
    <x v="4"/>
    <x v="1"/>
    <n v="455"/>
    <n v="405"/>
    <n v="381"/>
    <n v="3957.74"/>
    <n v="2744.71"/>
    <n v="133"/>
    <n v="7"/>
    <s v="2026-03-28"/>
    <n v="112"/>
    <n v="2"/>
    <n v="3"/>
    <s v="No"/>
    <x v="1"/>
    <n v="24"/>
    <n v="0.89010989010989006"/>
    <s v="Medium Risk"/>
    <s v="Monitor Sales"/>
  </r>
  <r>
    <n v="515"/>
    <x v="84"/>
    <x v="1"/>
    <x v="2"/>
    <n v="408"/>
    <n v="220"/>
    <n v="198"/>
    <n v="970.2"/>
    <n v="701.2"/>
    <n v="134"/>
    <n v="5"/>
    <s v="2026-01-29"/>
    <n v="42"/>
    <n v="1"/>
    <n v="9"/>
    <s v="Yes"/>
    <x v="0"/>
    <n v="22"/>
    <n v="0.53921568627450978"/>
    <s v="Medium Risk"/>
    <s v="Monitor Sales"/>
  </r>
  <r>
    <n v="516"/>
    <x v="2"/>
    <x v="0"/>
    <x v="0"/>
    <n v="485"/>
    <n v="414"/>
    <n v="400"/>
    <n v="3782.36"/>
    <n v="1895.98"/>
    <n v="71"/>
    <n v="9"/>
    <s v="2026-01-24"/>
    <n v="162"/>
    <n v="3"/>
    <n v="10"/>
    <s v="Yes"/>
    <x v="0"/>
    <n v="14"/>
    <n v="0.85360824742268038"/>
    <s v="Medium Risk"/>
    <s v="Monitor Sales"/>
  </r>
  <r>
    <n v="517"/>
    <x v="0"/>
    <x v="1"/>
    <x v="2"/>
    <n v="207"/>
    <n v="159"/>
    <n v="159"/>
    <n v="2816.01"/>
    <n v="1992.27"/>
    <n v="134"/>
    <n v="13"/>
    <s v="2026-01-30"/>
    <n v="192"/>
    <n v="5"/>
    <n v="7"/>
    <s v="Yes"/>
    <x v="1"/>
    <n v="0"/>
    <n v="0.76811594202898548"/>
    <s v="Medium Risk"/>
    <s v="Monitor Sales"/>
  </r>
  <r>
    <n v="518"/>
    <x v="67"/>
    <x v="0"/>
    <x v="1"/>
    <n v="297"/>
    <n v="231"/>
    <n v="278"/>
    <n v="692.78"/>
    <n v="500.93"/>
    <n v="97"/>
    <n v="14"/>
    <s v="2026-03-19"/>
    <n v="233"/>
    <n v="4"/>
    <n v="30"/>
    <s v="Yes"/>
    <x v="1"/>
    <n v="-47"/>
    <n v="0.77777777777777779"/>
    <s v="Medium Risk"/>
    <s v="Monitor Sales"/>
  </r>
  <r>
    <n v="519"/>
    <x v="53"/>
    <x v="0"/>
    <x v="2"/>
    <n v="106"/>
    <n v="372"/>
    <n v="356"/>
    <n v="699.44"/>
    <n v="513.75"/>
    <n v="76"/>
    <n v="13"/>
    <s v="2026-01-06"/>
    <n v="365"/>
    <n v="4"/>
    <n v="6"/>
    <s v="Yes"/>
    <x v="0"/>
    <n v="16"/>
    <n v="3.5094339622641511"/>
    <s v="Low Risk"/>
    <s v="Maintain Stock"/>
  </r>
  <r>
    <n v="520"/>
    <x v="10"/>
    <x v="0"/>
    <x v="2"/>
    <n v="424"/>
    <n v="255"/>
    <n v="242"/>
    <n v="1746.42"/>
    <n v="1354.81"/>
    <n v="124"/>
    <n v="5"/>
    <s v="2026-03-14"/>
    <n v="212"/>
    <n v="4"/>
    <n v="34"/>
    <s v="No"/>
    <x v="0"/>
    <n v="13"/>
    <n v="0.60141509433962259"/>
    <s v="Medium Risk"/>
    <s v="Monitor Sales"/>
  </r>
  <r>
    <n v="521"/>
    <x v="65"/>
    <x v="4"/>
    <x v="1"/>
    <n v="208"/>
    <n v="238"/>
    <n v="235"/>
    <n v="4016.91"/>
    <n v="2974.57"/>
    <n v="64"/>
    <n v="15"/>
    <s v="2026-01-02"/>
    <n v="242"/>
    <n v="1"/>
    <n v="7"/>
    <s v="Yes"/>
    <x v="2"/>
    <n v="3"/>
    <n v="1.1442307692307692"/>
    <s v="Low Risk"/>
    <s v="Maintain Stock"/>
  </r>
  <r>
    <n v="522"/>
    <x v="31"/>
    <x v="2"/>
    <x v="2"/>
    <n v="292"/>
    <n v="183"/>
    <n v="198"/>
    <n v="3440.7"/>
    <n v="1908.15"/>
    <n v="114"/>
    <n v="14"/>
    <s v="2026-03-18"/>
    <n v="39"/>
    <n v="4"/>
    <n v="28"/>
    <s v="No"/>
    <x v="2"/>
    <n v="-15"/>
    <n v="0.62671232876712324"/>
    <s v="Medium Risk"/>
    <s v="Monitor Sales"/>
  </r>
  <r>
    <n v="523"/>
    <x v="8"/>
    <x v="1"/>
    <x v="2"/>
    <n v="428"/>
    <n v="0"/>
    <n v="14"/>
    <n v="3316.19"/>
    <n v="2326.77"/>
    <n v="61"/>
    <n v="13"/>
    <s v="2026-03-14"/>
    <n v="59"/>
    <n v="3"/>
    <n v="27"/>
    <s v="Yes"/>
    <x v="1"/>
    <n v="-14"/>
    <n v="0"/>
    <s v="High Risk"/>
    <s v="Apply Discount / Promotion"/>
  </r>
  <r>
    <n v="524"/>
    <x v="28"/>
    <x v="2"/>
    <x v="2"/>
    <n v="364"/>
    <n v="141"/>
    <n v="102"/>
    <n v="2647.47"/>
    <n v="1920.64"/>
    <n v="136"/>
    <n v="6"/>
    <s v="2026-01-01"/>
    <n v="115"/>
    <n v="4"/>
    <n v="40"/>
    <s v="Yes"/>
    <x v="1"/>
    <n v="39"/>
    <n v="0.38736263736263737"/>
    <s v="High Risk"/>
    <s v="Apply Discount / Promotion"/>
  </r>
  <r>
    <n v="525"/>
    <x v="1"/>
    <x v="0"/>
    <x v="2"/>
    <n v="47"/>
    <n v="388"/>
    <n v="349"/>
    <n v="4672.2299999999996"/>
    <n v="2586.25"/>
    <n v="58"/>
    <n v="15"/>
    <s v="2026-03-02"/>
    <n v="223"/>
    <n v="5"/>
    <n v="30"/>
    <s v="No"/>
    <x v="1"/>
    <n v="39"/>
    <n v="8.2553191489361701"/>
    <s v="Low Risk"/>
    <s v="Maintain Stock"/>
  </r>
  <r>
    <n v="526"/>
    <x v="85"/>
    <x v="0"/>
    <x v="1"/>
    <n v="167"/>
    <n v="183"/>
    <n v="233"/>
    <n v="4141.29"/>
    <n v="3018.16"/>
    <n v="99"/>
    <n v="8"/>
    <s v="2026-01-14"/>
    <n v="255"/>
    <n v="1"/>
    <n v="25"/>
    <s v="No"/>
    <x v="0"/>
    <n v="-50"/>
    <n v="1.095808383233533"/>
    <s v="Low Risk"/>
    <s v="Maintain Stock"/>
  </r>
  <r>
    <n v="527"/>
    <x v="8"/>
    <x v="4"/>
    <x v="0"/>
    <n v="310"/>
    <n v="140"/>
    <n v="165"/>
    <n v="1333.08"/>
    <n v="864.76"/>
    <n v="36"/>
    <n v="1"/>
    <s v="2026-02-05"/>
    <n v="39"/>
    <n v="3"/>
    <n v="22"/>
    <s v="No"/>
    <x v="1"/>
    <n v="-25"/>
    <n v="0.45161290322580644"/>
    <s v="High Risk"/>
    <s v="Apply Discount / Promotion"/>
  </r>
  <r>
    <n v="528"/>
    <x v="23"/>
    <x v="1"/>
    <x v="1"/>
    <n v="233"/>
    <n v="226"/>
    <n v="250"/>
    <n v="4739.92"/>
    <n v="3037.65"/>
    <n v="88"/>
    <n v="3"/>
    <s v="2026-02-24"/>
    <n v="101"/>
    <n v="1"/>
    <n v="47"/>
    <s v="No"/>
    <x v="2"/>
    <n v="-24"/>
    <n v="0.96995708154506433"/>
    <s v="Medium Risk"/>
    <s v="Monitor Sales"/>
  </r>
  <r>
    <n v="529"/>
    <x v="22"/>
    <x v="0"/>
    <x v="2"/>
    <n v="275"/>
    <n v="149"/>
    <n v="184"/>
    <n v="593.24"/>
    <n v="426.26"/>
    <n v="48"/>
    <n v="1"/>
    <s v="2026-01-06"/>
    <n v="259"/>
    <n v="5"/>
    <n v="4"/>
    <s v="No"/>
    <x v="2"/>
    <n v="-35"/>
    <n v="0.54181818181818187"/>
    <s v="Medium Risk"/>
    <s v="Monitor Sales"/>
  </r>
  <r>
    <n v="530"/>
    <x v="93"/>
    <x v="0"/>
    <x v="0"/>
    <n v="133"/>
    <n v="283"/>
    <n v="253"/>
    <n v="3728.17"/>
    <n v="2404.27"/>
    <n v="54"/>
    <n v="6"/>
    <s v="2026-03-09"/>
    <n v="150"/>
    <n v="1"/>
    <n v="31"/>
    <s v="Yes"/>
    <x v="2"/>
    <n v="30"/>
    <n v="2.1278195488721803"/>
    <s v="Low Risk"/>
    <s v="Maintain Stock"/>
  </r>
  <r>
    <n v="531"/>
    <x v="25"/>
    <x v="2"/>
    <x v="1"/>
    <n v="111"/>
    <n v="261"/>
    <n v="214"/>
    <n v="1773.74"/>
    <n v="1309.6300000000001"/>
    <n v="105"/>
    <n v="14"/>
    <s v="2026-02-06"/>
    <n v="347"/>
    <n v="1"/>
    <n v="13"/>
    <s v="No"/>
    <x v="1"/>
    <n v="47"/>
    <n v="2.3513513513513513"/>
    <s v="Low Risk"/>
    <s v="Maintain Stock"/>
  </r>
  <r>
    <n v="532"/>
    <x v="77"/>
    <x v="0"/>
    <x v="0"/>
    <n v="351"/>
    <n v="214"/>
    <n v="168"/>
    <n v="3981.96"/>
    <n v="2769.57"/>
    <n v="122"/>
    <n v="14"/>
    <s v="2026-03-14"/>
    <n v="324"/>
    <n v="5"/>
    <n v="22"/>
    <s v="Yes"/>
    <x v="0"/>
    <n v="46"/>
    <n v="0.6096866096866097"/>
    <s v="Medium Risk"/>
    <s v="Monitor Sales"/>
  </r>
  <r>
    <n v="533"/>
    <x v="99"/>
    <x v="1"/>
    <x v="0"/>
    <n v="208"/>
    <n v="165"/>
    <n v="159"/>
    <n v="1173.49"/>
    <n v="698.01"/>
    <n v="78"/>
    <n v="1"/>
    <s v="2026-02-20"/>
    <n v="98"/>
    <n v="5"/>
    <n v="26"/>
    <s v="Yes"/>
    <x v="2"/>
    <n v="6"/>
    <n v="0.79326923076923073"/>
    <s v="Medium Risk"/>
    <s v="Monitor Sales"/>
  </r>
  <r>
    <n v="534"/>
    <x v="86"/>
    <x v="2"/>
    <x v="1"/>
    <n v="432"/>
    <n v="19"/>
    <n v="28"/>
    <n v="1335.53"/>
    <n v="955.35"/>
    <n v="48"/>
    <n v="14"/>
    <s v="2026-03-23"/>
    <n v="279"/>
    <n v="2"/>
    <n v="0"/>
    <s v="No"/>
    <x v="2"/>
    <n v="-9"/>
    <n v="4.3981481481481483E-2"/>
    <s v="High Risk"/>
    <s v="Apply Discount / Promotion"/>
  </r>
  <r>
    <n v="535"/>
    <x v="50"/>
    <x v="3"/>
    <x v="1"/>
    <n v="172"/>
    <n v="114"/>
    <n v="94"/>
    <n v="1301.73"/>
    <n v="1040.9000000000001"/>
    <n v="150"/>
    <n v="10"/>
    <s v="2026-01-03"/>
    <n v="75"/>
    <n v="5"/>
    <n v="35"/>
    <s v="No"/>
    <x v="1"/>
    <n v="20"/>
    <n v="0.66279069767441856"/>
    <s v="Medium Risk"/>
    <s v="Monitor Sales"/>
  </r>
  <r>
    <n v="536"/>
    <x v="88"/>
    <x v="3"/>
    <x v="0"/>
    <n v="447"/>
    <n v="39"/>
    <n v="33"/>
    <n v="1327.42"/>
    <n v="1024.1400000000001"/>
    <n v="102"/>
    <n v="15"/>
    <s v="2026-01-31"/>
    <n v="45"/>
    <n v="3"/>
    <n v="22"/>
    <s v="Yes"/>
    <x v="0"/>
    <n v="6"/>
    <n v="8.7248322147651006E-2"/>
    <s v="High Risk"/>
    <s v="Apply Discount / Promotion"/>
  </r>
  <r>
    <n v="537"/>
    <x v="4"/>
    <x v="2"/>
    <x v="0"/>
    <n v="104"/>
    <n v="205"/>
    <n v="245"/>
    <n v="3156.22"/>
    <n v="2407.31"/>
    <n v="141"/>
    <n v="6"/>
    <s v="2026-01-29"/>
    <n v="70"/>
    <n v="4"/>
    <n v="37"/>
    <s v="Yes"/>
    <x v="0"/>
    <n v="-40"/>
    <n v="1.9711538461538463"/>
    <s v="Low Risk"/>
    <s v="Maintain Stock"/>
  </r>
  <r>
    <n v="538"/>
    <x v="21"/>
    <x v="3"/>
    <x v="1"/>
    <n v="32"/>
    <n v="168"/>
    <n v="170"/>
    <n v="3345.63"/>
    <n v="1820.37"/>
    <n v="96"/>
    <n v="6"/>
    <s v="2026-02-11"/>
    <n v="56"/>
    <n v="2"/>
    <n v="3"/>
    <s v="No"/>
    <x v="2"/>
    <n v="-2"/>
    <n v="5.25"/>
    <s v="Low Risk"/>
    <s v="Maintain Stock"/>
  </r>
  <r>
    <n v="539"/>
    <x v="82"/>
    <x v="0"/>
    <x v="3"/>
    <n v="327"/>
    <n v="355"/>
    <n v="388"/>
    <n v="3655.48"/>
    <n v="1872.13"/>
    <n v="50"/>
    <n v="12"/>
    <s v="2026-01-12"/>
    <n v="335"/>
    <n v="2"/>
    <n v="17"/>
    <s v="Yes"/>
    <x v="1"/>
    <n v="-33"/>
    <n v="1.0856269113149848"/>
    <s v="Low Risk"/>
    <s v="Maintain Stock"/>
  </r>
  <r>
    <n v="540"/>
    <x v="49"/>
    <x v="1"/>
    <x v="2"/>
    <n v="441"/>
    <n v="308"/>
    <n v="347"/>
    <n v="3861.44"/>
    <n v="3061.16"/>
    <n v="123"/>
    <n v="4"/>
    <s v="2026-01-15"/>
    <n v="132"/>
    <n v="1"/>
    <n v="29"/>
    <s v="Yes"/>
    <x v="0"/>
    <n v="-39"/>
    <n v="0.69841269841269837"/>
    <s v="Medium Risk"/>
    <s v="Monitor Sales"/>
  </r>
  <r>
    <n v="541"/>
    <x v="59"/>
    <x v="2"/>
    <x v="2"/>
    <n v="111"/>
    <n v="246"/>
    <n v="208"/>
    <n v="2442.5700000000002"/>
    <n v="1406.9"/>
    <n v="76"/>
    <n v="1"/>
    <s v="2026-01-30"/>
    <n v="50"/>
    <n v="5"/>
    <n v="17"/>
    <s v="No"/>
    <x v="1"/>
    <n v="38"/>
    <n v="2.2162162162162162"/>
    <s v="Low Risk"/>
    <s v="Maintain Stock"/>
  </r>
  <r>
    <n v="542"/>
    <x v="89"/>
    <x v="1"/>
    <x v="3"/>
    <n v="243"/>
    <n v="228"/>
    <n v="197"/>
    <n v="3027.05"/>
    <n v="1786.41"/>
    <n v="81"/>
    <n v="6"/>
    <s v="2026-02-21"/>
    <n v="237"/>
    <n v="1"/>
    <n v="14"/>
    <s v="No"/>
    <x v="0"/>
    <n v="31"/>
    <n v="0.93827160493827155"/>
    <s v="Medium Risk"/>
    <s v="Monitor Sales"/>
  </r>
  <r>
    <n v="543"/>
    <x v="37"/>
    <x v="0"/>
    <x v="0"/>
    <n v="57"/>
    <n v="186"/>
    <n v="224"/>
    <n v="1566.74"/>
    <n v="883.8"/>
    <n v="100"/>
    <n v="1"/>
    <s v="2026-01-23"/>
    <n v="156"/>
    <n v="3"/>
    <n v="8"/>
    <s v="No"/>
    <x v="2"/>
    <n v="-38"/>
    <n v="3.263157894736842"/>
    <s v="Low Risk"/>
    <s v="Maintain Stock"/>
  </r>
  <r>
    <n v="544"/>
    <x v="62"/>
    <x v="2"/>
    <x v="0"/>
    <n v="57"/>
    <n v="375"/>
    <n v="354"/>
    <n v="4177.3599999999997"/>
    <n v="2093.94"/>
    <n v="114"/>
    <n v="14"/>
    <s v="2026-03-03"/>
    <n v="68"/>
    <n v="5"/>
    <n v="21"/>
    <s v="No"/>
    <x v="1"/>
    <n v="21"/>
    <n v="6.5789473684210522"/>
    <s v="Low Risk"/>
    <s v="Maintain Stock"/>
  </r>
  <r>
    <n v="545"/>
    <x v="34"/>
    <x v="0"/>
    <x v="3"/>
    <n v="231"/>
    <n v="221"/>
    <n v="266"/>
    <n v="482.37"/>
    <n v="260.48"/>
    <n v="108"/>
    <n v="5"/>
    <s v="2026-03-28"/>
    <n v="216"/>
    <n v="3"/>
    <n v="16"/>
    <s v="Yes"/>
    <x v="0"/>
    <n v="-45"/>
    <n v="0.95670995670995673"/>
    <s v="Medium Risk"/>
    <s v="Monitor Sales"/>
  </r>
  <r>
    <n v="546"/>
    <x v="67"/>
    <x v="0"/>
    <x v="0"/>
    <n v="225"/>
    <n v="267"/>
    <n v="261"/>
    <n v="2438.29"/>
    <n v="1556.36"/>
    <n v="51"/>
    <n v="9"/>
    <s v="2026-03-27"/>
    <n v="46"/>
    <n v="3"/>
    <n v="39"/>
    <s v="Yes"/>
    <x v="2"/>
    <n v="6"/>
    <n v="1.1866666666666668"/>
    <s v="Low Risk"/>
    <s v="Maintain Stock"/>
  </r>
  <r>
    <n v="547"/>
    <x v="38"/>
    <x v="1"/>
    <x v="2"/>
    <n v="118"/>
    <n v="13"/>
    <n v="40"/>
    <n v="1827.16"/>
    <n v="1007.51"/>
    <n v="59"/>
    <n v="7"/>
    <s v="2026-01-20"/>
    <n v="228"/>
    <n v="2"/>
    <n v="34"/>
    <s v="No"/>
    <x v="2"/>
    <n v="-27"/>
    <n v="0.11016949152542373"/>
    <s v="High Risk"/>
    <s v="Apply Discount / Promotion"/>
  </r>
  <r>
    <n v="548"/>
    <x v="49"/>
    <x v="0"/>
    <x v="2"/>
    <n v="304"/>
    <n v="164"/>
    <n v="192"/>
    <n v="4200.1000000000004"/>
    <n v="3034.15"/>
    <n v="75"/>
    <n v="8"/>
    <s v="2026-01-30"/>
    <n v="311"/>
    <n v="1"/>
    <n v="12"/>
    <s v="No"/>
    <x v="2"/>
    <n v="-28"/>
    <n v="0.53947368421052633"/>
    <s v="Medium Risk"/>
    <s v="Monitor Sales"/>
  </r>
  <r>
    <n v="549"/>
    <x v="77"/>
    <x v="3"/>
    <x v="0"/>
    <n v="413"/>
    <n v="343"/>
    <n v="301"/>
    <n v="2691.36"/>
    <n v="1401.21"/>
    <n v="42"/>
    <n v="7"/>
    <s v="2026-01-21"/>
    <n v="239"/>
    <n v="4"/>
    <n v="23"/>
    <s v="No"/>
    <x v="1"/>
    <n v="42"/>
    <n v="0.83050847457627119"/>
    <s v="Medium Risk"/>
    <s v="Monitor Sales"/>
  </r>
  <r>
    <n v="550"/>
    <x v="23"/>
    <x v="2"/>
    <x v="3"/>
    <n v="63"/>
    <n v="103"/>
    <n v="140"/>
    <n v="4379.22"/>
    <n v="2759.35"/>
    <n v="46"/>
    <n v="2"/>
    <s v="2026-01-03"/>
    <n v="162"/>
    <n v="2"/>
    <n v="6"/>
    <s v="No"/>
    <x v="2"/>
    <n v="-37"/>
    <n v="1.6349206349206349"/>
    <s v="Low Risk"/>
    <s v="Maintain Stock"/>
  </r>
  <r>
    <n v="551"/>
    <x v="91"/>
    <x v="1"/>
    <x v="1"/>
    <n v="347"/>
    <n v="197"/>
    <n v="165"/>
    <n v="2933.09"/>
    <n v="2047.36"/>
    <n v="77"/>
    <n v="11"/>
    <s v="2026-01-29"/>
    <n v="101"/>
    <n v="1"/>
    <n v="14"/>
    <s v="No"/>
    <x v="2"/>
    <n v="32"/>
    <n v="0.56772334293948123"/>
    <s v="Medium Risk"/>
    <s v="Monitor Sales"/>
  </r>
  <r>
    <n v="552"/>
    <x v="47"/>
    <x v="2"/>
    <x v="3"/>
    <n v="64"/>
    <n v="254"/>
    <n v="207"/>
    <n v="575.24"/>
    <n v="389.51"/>
    <n v="148"/>
    <n v="14"/>
    <s v="2025-12-30"/>
    <n v="172"/>
    <n v="1"/>
    <n v="43"/>
    <s v="No"/>
    <x v="0"/>
    <n v="47"/>
    <n v="3.96875"/>
    <s v="Low Risk"/>
    <s v="Maintain Stock"/>
  </r>
  <r>
    <n v="553"/>
    <x v="20"/>
    <x v="1"/>
    <x v="2"/>
    <n v="436"/>
    <n v="344"/>
    <n v="295"/>
    <n v="1067.6400000000001"/>
    <n v="615.9"/>
    <n v="78"/>
    <n v="3"/>
    <s v="2026-03-07"/>
    <n v="100"/>
    <n v="5"/>
    <n v="44"/>
    <s v="Yes"/>
    <x v="2"/>
    <n v="49"/>
    <n v="0.78899082568807344"/>
    <s v="Medium Risk"/>
    <s v="Monitor Sales"/>
  </r>
  <r>
    <n v="554"/>
    <x v="42"/>
    <x v="3"/>
    <x v="0"/>
    <n v="209"/>
    <n v="290"/>
    <n v="262"/>
    <n v="1422.99"/>
    <n v="779.62"/>
    <n v="38"/>
    <n v="9"/>
    <s v="2026-03-28"/>
    <n v="196"/>
    <n v="5"/>
    <n v="0"/>
    <s v="Yes"/>
    <x v="0"/>
    <n v="28"/>
    <n v="1.3875598086124401"/>
    <s v="Low Risk"/>
    <s v="Maintain Stock"/>
  </r>
  <r>
    <n v="555"/>
    <x v="8"/>
    <x v="2"/>
    <x v="1"/>
    <n v="412"/>
    <n v="142"/>
    <n v="150"/>
    <n v="481.86"/>
    <n v="325.47000000000003"/>
    <n v="111"/>
    <n v="7"/>
    <s v="2025-12-31"/>
    <n v="46"/>
    <n v="4"/>
    <n v="23"/>
    <s v="No"/>
    <x v="1"/>
    <n v="-8"/>
    <n v="0.3446601941747573"/>
    <s v="High Risk"/>
    <s v="Apply Discount / Promotion"/>
  </r>
  <r>
    <n v="556"/>
    <x v="80"/>
    <x v="2"/>
    <x v="0"/>
    <n v="74"/>
    <n v="336"/>
    <n v="372"/>
    <n v="2078.54"/>
    <n v="1377"/>
    <n v="74"/>
    <n v="11"/>
    <s v="2026-01-16"/>
    <n v="33"/>
    <n v="3"/>
    <n v="49"/>
    <s v="Yes"/>
    <x v="0"/>
    <n v="-36"/>
    <n v="4.5405405405405403"/>
    <s v="Low Risk"/>
    <s v="Maintain Stock"/>
  </r>
  <r>
    <n v="557"/>
    <x v="46"/>
    <x v="1"/>
    <x v="3"/>
    <n v="255"/>
    <n v="281"/>
    <n v="235"/>
    <n v="1898.17"/>
    <n v="1235.57"/>
    <n v="143"/>
    <n v="13"/>
    <s v="2026-03-07"/>
    <n v="300"/>
    <n v="2"/>
    <n v="2"/>
    <s v="Yes"/>
    <x v="0"/>
    <n v="46"/>
    <n v="1.1019607843137256"/>
    <s v="Low Risk"/>
    <s v="Maintain Stock"/>
  </r>
  <r>
    <n v="558"/>
    <x v="94"/>
    <x v="3"/>
    <x v="0"/>
    <n v="488"/>
    <n v="78"/>
    <n v="39"/>
    <n v="3011.06"/>
    <n v="1898.75"/>
    <n v="88"/>
    <n v="3"/>
    <s v="2026-03-02"/>
    <n v="69"/>
    <n v="4"/>
    <n v="18"/>
    <s v="No"/>
    <x v="0"/>
    <n v="39"/>
    <n v="0.1598360655737705"/>
    <s v="High Risk"/>
    <s v="Apply Discount / Promotion"/>
  </r>
  <r>
    <n v="559"/>
    <x v="22"/>
    <x v="0"/>
    <x v="3"/>
    <n v="116"/>
    <n v="188"/>
    <n v="215"/>
    <n v="498.83"/>
    <n v="382.12"/>
    <n v="33"/>
    <n v="6"/>
    <s v="2026-01-20"/>
    <n v="234"/>
    <n v="2"/>
    <n v="49"/>
    <s v="No"/>
    <x v="2"/>
    <n v="-27"/>
    <n v="1.6206896551724137"/>
    <s v="Low Risk"/>
    <s v="Maintain Stock"/>
  </r>
  <r>
    <n v="560"/>
    <x v="9"/>
    <x v="3"/>
    <x v="2"/>
    <n v="293"/>
    <n v="218"/>
    <n v="223"/>
    <n v="1435.4"/>
    <n v="1017.85"/>
    <n v="40"/>
    <n v="13"/>
    <s v="2026-01-25"/>
    <n v="154"/>
    <n v="5"/>
    <n v="2"/>
    <s v="No"/>
    <x v="0"/>
    <n v="-5"/>
    <n v="0.74402730375426618"/>
    <s v="Medium Risk"/>
    <s v="Monitor Sales"/>
  </r>
  <r>
    <n v="561"/>
    <x v="53"/>
    <x v="1"/>
    <x v="3"/>
    <n v="414"/>
    <n v="351"/>
    <n v="302"/>
    <n v="4670.74"/>
    <n v="3006.51"/>
    <n v="101"/>
    <n v="3"/>
    <s v="2026-01-15"/>
    <n v="73"/>
    <n v="5"/>
    <n v="23"/>
    <s v="Yes"/>
    <x v="2"/>
    <n v="49"/>
    <n v="0.84782608695652173"/>
    <s v="Medium Risk"/>
    <s v="Monitor Sales"/>
  </r>
  <r>
    <n v="562"/>
    <x v="74"/>
    <x v="2"/>
    <x v="2"/>
    <n v="293"/>
    <n v="248"/>
    <n v="255"/>
    <n v="971.15"/>
    <n v="760.82"/>
    <n v="83"/>
    <n v="3"/>
    <s v="2026-02-09"/>
    <n v="278"/>
    <n v="4"/>
    <n v="47"/>
    <s v="No"/>
    <x v="1"/>
    <n v="-7"/>
    <n v="0.84641638225255977"/>
    <s v="Medium Risk"/>
    <s v="Monitor Sales"/>
  </r>
  <r>
    <n v="563"/>
    <x v="98"/>
    <x v="0"/>
    <x v="1"/>
    <n v="47"/>
    <n v="240"/>
    <n v="278"/>
    <n v="1551.58"/>
    <n v="959.49"/>
    <n v="60"/>
    <n v="2"/>
    <s v="2026-01-18"/>
    <n v="313"/>
    <n v="3"/>
    <n v="12"/>
    <s v="No"/>
    <x v="2"/>
    <n v="-38"/>
    <n v="5.1063829787234045"/>
    <s v="Low Risk"/>
    <s v="Maintain Stock"/>
  </r>
  <r>
    <n v="564"/>
    <x v="89"/>
    <x v="2"/>
    <x v="3"/>
    <n v="425"/>
    <n v="148"/>
    <n v="115"/>
    <n v="3109.64"/>
    <n v="1874.97"/>
    <n v="79"/>
    <n v="13"/>
    <s v="2026-03-15"/>
    <n v="253"/>
    <n v="2"/>
    <n v="44"/>
    <s v="No"/>
    <x v="0"/>
    <n v="33"/>
    <n v="0.34823529411764703"/>
    <s v="High Risk"/>
    <s v="Apply Discount / Promotion"/>
  </r>
  <r>
    <n v="565"/>
    <x v="80"/>
    <x v="4"/>
    <x v="2"/>
    <n v="282"/>
    <n v="44"/>
    <n v="79"/>
    <n v="3463.35"/>
    <n v="2689.02"/>
    <n v="134"/>
    <n v="1"/>
    <s v="2025-12-30"/>
    <n v="218"/>
    <n v="3"/>
    <n v="38"/>
    <s v="No"/>
    <x v="0"/>
    <n v="-35"/>
    <n v="0.15602836879432624"/>
    <s v="High Risk"/>
    <s v="Apply Discount / Promotion"/>
  </r>
  <r>
    <n v="566"/>
    <x v="73"/>
    <x v="4"/>
    <x v="3"/>
    <n v="299"/>
    <n v="384"/>
    <n v="343"/>
    <n v="1819.95"/>
    <n v="1122.98"/>
    <n v="124"/>
    <n v="10"/>
    <s v="2026-02-06"/>
    <n v="108"/>
    <n v="1"/>
    <n v="3"/>
    <s v="Yes"/>
    <x v="2"/>
    <n v="41"/>
    <n v="1.2842809364548495"/>
    <s v="Low Risk"/>
    <s v="Maintain Stock"/>
  </r>
  <r>
    <n v="567"/>
    <x v="67"/>
    <x v="1"/>
    <x v="1"/>
    <n v="95"/>
    <n v="230"/>
    <n v="180"/>
    <n v="3310.11"/>
    <n v="2019.23"/>
    <n v="33"/>
    <n v="4"/>
    <s v="2026-02-04"/>
    <n v="109"/>
    <n v="1"/>
    <n v="44"/>
    <s v="Yes"/>
    <x v="1"/>
    <n v="50"/>
    <n v="2.4210526315789473"/>
    <s v="Low Risk"/>
    <s v="Maintain Stock"/>
  </r>
  <r>
    <n v="568"/>
    <x v="34"/>
    <x v="1"/>
    <x v="3"/>
    <n v="470"/>
    <n v="196"/>
    <n v="156"/>
    <n v="2772.04"/>
    <n v="2085.09"/>
    <n v="35"/>
    <n v="6"/>
    <s v="2026-03-16"/>
    <n v="222"/>
    <n v="1"/>
    <n v="41"/>
    <s v="No"/>
    <x v="1"/>
    <n v="40"/>
    <n v="0.41702127659574467"/>
    <s v="High Risk"/>
    <s v="Apply Discount / Promotion"/>
  </r>
  <r>
    <n v="569"/>
    <x v="37"/>
    <x v="2"/>
    <x v="2"/>
    <n v="197"/>
    <n v="393"/>
    <n v="377"/>
    <n v="1032.5899999999999"/>
    <n v="618.22"/>
    <n v="100"/>
    <n v="9"/>
    <s v="2026-03-08"/>
    <n v="224"/>
    <n v="5"/>
    <n v="21"/>
    <s v="No"/>
    <x v="2"/>
    <n v="16"/>
    <n v="1.9949238578680204"/>
    <s v="Low Risk"/>
    <s v="Maintain Stock"/>
  </r>
  <r>
    <n v="570"/>
    <x v="79"/>
    <x v="0"/>
    <x v="3"/>
    <n v="422"/>
    <n v="156"/>
    <n v="201"/>
    <n v="3714.69"/>
    <n v="1924.06"/>
    <n v="121"/>
    <n v="8"/>
    <s v="2026-01-26"/>
    <n v="199"/>
    <n v="3"/>
    <n v="27"/>
    <s v="No"/>
    <x v="0"/>
    <n v="-45"/>
    <n v="0.36966824644549762"/>
    <s v="High Risk"/>
    <s v="Apply Discount / Promotion"/>
  </r>
  <r>
    <n v="571"/>
    <x v="49"/>
    <x v="0"/>
    <x v="0"/>
    <n v="194"/>
    <n v="232"/>
    <n v="277"/>
    <n v="1122.55"/>
    <n v="701.81"/>
    <n v="96"/>
    <n v="11"/>
    <s v="2026-03-16"/>
    <n v="125"/>
    <n v="1"/>
    <n v="38"/>
    <s v="No"/>
    <x v="0"/>
    <n v="-45"/>
    <n v="1.1958762886597938"/>
    <s v="Low Risk"/>
    <s v="Maintain Stock"/>
  </r>
  <r>
    <n v="572"/>
    <x v="68"/>
    <x v="1"/>
    <x v="3"/>
    <n v="262"/>
    <n v="351"/>
    <n v="392"/>
    <n v="3722.84"/>
    <n v="2092.08"/>
    <n v="37"/>
    <n v="9"/>
    <s v="2026-01-07"/>
    <n v="325"/>
    <n v="5"/>
    <n v="0"/>
    <s v="Yes"/>
    <x v="0"/>
    <n v="-41"/>
    <n v="1.3396946564885497"/>
    <s v="Low Risk"/>
    <s v="Maintain Stock"/>
  </r>
  <r>
    <n v="573"/>
    <x v="95"/>
    <x v="0"/>
    <x v="1"/>
    <n v="403"/>
    <n v="108"/>
    <n v="77"/>
    <n v="1010.97"/>
    <n v="788.31"/>
    <n v="65"/>
    <n v="14"/>
    <s v="2026-01-23"/>
    <n v="77"/>
    <n v="1"/>
    <n v="18"/>
    <s v="No"/>
    <x v="2"/>
    <n v="31"/>
    <n v="0.26799007444168732"/>
    <s v="High Risk"/>
    <s v="Apply Discount / Promotion"/>
  </r>
  <r>
    <n v="574"/>
    <x v="31"/>
    <x v="1"/>
    <x v="1"/>
    <n v="93"/>
    <n v="195"/>
    <n v="208"/>
    <n v="1755.17"/>
    <n v="1091.78"/>
    <n v="79"/>
    <n v="13"/>
    <s v="2026-03-05"/>
    <n v="272"/>
    <n v="1"/>
    <n v="38"/>
    <s v="Yes"/>
    <x v="1"/>
    <n v="-13"/>
    <n v="2.096774193548387"/>
    <s v="Low Risk"/>
    <s v="Maintain Stock"/>
  </r>
  <r>
    <n v="575"/>
    <x v="2"/>
    <x v="4"/>
    <x v="0"/>
    <n v="472"/>
    <n v="304"/>
    <n v="294"/>
    <n v="4472.9799999999996"/>
    <n v="3152.52"/>
    <n v="140"/>
    <n v="8"/>
    <s v="2026-01-29"/>
    <n v="39"/>
    <n v="2"/>
    <n v="27"/>
    <s v="Yes"/>
    <x v="2"/>
    <n v="10"/>
    <n v="0.64406779661016944"/>
    <s v="Medium Risk"/>
    <s v="Monitor Sales"/>
  </r>
  <r>
    <n v="576"/>
    <x v="58"/>
    <x v="4"/>
    <x v="3"/>
    <n v="493"/>
    <n v="290"/>
    <n v="324"/>
    <n v="1128.3"/>
    <n v="781.7"/>
    <n v="149"/>
    <n v="7"/>
    <s v="2026-01-19"/>
    <n v="85"/>
    <n v="4"/>
    <n v="49"/>
    <s v="Yes"/>
    <x v="0"/>
    <n v="-34"/>
    <n v="0.58823529411764708"/>
    <s v="Medium Risk"/>
    <s v="Monitor Sales"/>
  </r>
  <r>
    <n v="577"/>
    <x v="38"/>
    <x v="4"/>
    <x v="1"/>
    <n v="386"/>
    <n v="232"/>
    <n v="184"/>
    <n v="985.11"/>
    <n v="521.66999999999996"/>
    <n v="95"/>
    <n v="10"/>
    <s v="2026-01-21"/>
    <n v="294"/>
    <n v="4"/>
    <n v="21"/>
    <s v="Yes"/>
    <x v="1"/>
    <n v="48"/>
    <n v="0.60103626943005184"/>
    <s v="Medium Risk"/>
    <s v="Monitor Sales"/>
  </r>
  <r>
    <n v="578"/>
    <x v="43"/>
    <x v="2"/>
    <x v="2"/>
    <n v="371"/>
    <n v="403"/>
    <n v="384"/>
    <n v="2377.56"/>
    <n v="1444.42"/>
    <n v="65"/>
    <n v="11"/>
    <s v="2026-01-22"/>
    <n v="305"/>
    <n v="5"/>
    <n v="9"/>
    <s v="Yes"/>
    <x v="2"/>
    <n v="19"/>
    <n v="1.0862533692722371"/>
    <s v="Low Risk"/>
    <s v="Maintain Stock"/>
  </r>
  <r>
    <n v="579"/>
    <x v="47"/>
    <x v="1"/>
    <x v="3"/>
    <n v="229"/>
    <n v="114"/>
    <n v="116"/>
    <n v="1620.14"/>
    <n v="1171.3599999999999"/>
    <n v="61"/>
    <n v="4"/>
    <s v="2026-03-10"/>
    <n v="310"/>
    <n v="5"/>
    <n v="7"/>
    <s v="No"/>
    <x v="1"/>
    <n v="-2"/>
    <n v="0.49781659388646288"/>
    <s v="High Risk"/>
    <s v="Apply Discount / Promotion"/>
  </r>
  <r>
    <n v="580"/>
    <x v="72"/>
    <x v="0"/>
    <x v="3"/>
    <n v="137"/>
    <n v="251"/>
    <n v="219"/>
    <n v="2607.44"/>
    <n v="2054.2800000000002"/>
    <n v="82"/>
    <n v="13"/>
    <s v="2026-03-01"/>
    <n v="365"/>
    <n v="2"/>
    <n v="4"/>
    <s v="No"/>
    <x v="2"/>
    <n v="32"/>
    <n v="1.832116788321168"/>
    <s v="Low Risk"/>
    <s v="Maintain Stock"/>
  </r>
  <r>
    <n v="581"/>
    <x v="20"/>
    <x v="4"/>
    <x v="2"/>
    <n v="335"/>
    <n v="92"/>
    <n v="134"/>
    <n v="3041.64"/>
    <n v="2379.15"/>
    <n v="32"/>
    <n v="7"/>
    <s v="2026-01-29"/>
    <n v="67"/>
    <n v="1"/>
    <n v="18"/>
    <s v="Yes"/>
    <x v="0"/>
    <n v="-42"/>
    <n v="0.2746268656716418"/>
    <s v="High Risk"/>
    <s v="Apply Discount / Promotion"/>
  </r>
  <r>
    <n v="582"/>
    <x v="47"/>
    <x v="0"/>
    <x v="2"/>
    <n v="273"/>
    <n v="64"/>
    <n v="19"/>
    <n v="1539.48"/>
    <n v="795.39"/>
    <n v="81"/>
    <n v="4"/>
    <s v="2026-02-26"/>
    <n v="218"/>
    <n v="1"/>
    <n v="36"/>
    <s v="No"/>
    <x v="2"/>
    <n v="45"/>
    <n v="0.23443223443223443"/>
    <s v="High Risk"/>
    <s v="Apply Discount / Promotion"/>
  </r>
  <r>
    <n v="583"/>
    <x v="85"/>
    <x v="1"/>
    <x v="2"/>
    <n v="249"/>
    <n v="427"/>
    <n v="395"/>
    <n v="1049.55"/>
    <n v="709.67"/>
    <n v="68"/>
    <n v="9"/>
    <s v="2026-02-08"/>
    <n v="80"/>
    <n v="2"/>
    <n v="22"/>
    <s v="Yes"/>
    <x v="2"/>
    <n v="32"/>
    <n v="1.714859437751004"/>
    <s v="Low Risk"/>
    <s v="Maintain Stock"/>
  </r>
  <r>
    <n v="584"/>
    <x v="63"/>
    <x v="2"/>
    <x v="2"/>
    <n v="68"/>
    <n v="304"/>
    <n v="275"/>
    <n v="1633.89"/>
    <n v="877.51"/>
    <n v="132"/>
    <n v="13"/>
    <s v="2026-02-20"/>
    <n v="285"/>
    <n v="3"/>
    <n v="45"/>
    <s v="Yes"/>
    <x v="2"/>
    <n v="29"/>
    <n v="4.4705882352941178"/>
    <s v="Low Risk"/>
    <s v="Maintain Stock"/>
  </r>
  <r>
    <n v="585"/>
    <x v="43"/>
    <x v="0"/>
    <x v="2"/>
    <n v="431"/>
    <n v="235"/>
    <n v="218"/>
    <n v="1596.38"/>
    <n v="896.44"/>
    <n v="34"/>
    <n v="11"/>
    <s v="2026-03-09"/>
    <n v="335"/>
    <n v="5"/>
    <n v="11"/>
    <s v="Yes"/>
    <x v="2"/>
    <n v="17"/>
    <n v="0.54524361948955913"/>
    <s v="Medium Risk"/>
    <s v="Monitor Sales"/>
  </r>
  <r>
    <n v="586"/>
    <x v="27"/>
    <x v="1"/>
    <x v="2"/>
    <n v="196"/>
    <n v="361"/>
    <n v="349"/>
    <n v="705.36"/>
    <n v="440.61"/>
    <n v="126"/>
    <n v="1"/>
    <s v="2026-02-03"/>
    <n v="343"/>
    <n v="1"/>
    <n v="12"/>
    <s v="No"/>
    <x v="0"/>
    <n v="12"/>
    <n v="1.8418367346938775"/>
    <s v="Low Risk"/>
    <s v="Maintain Stock"/>
  </r>
  <r>
    <n v="587"/>
    <x v="18"/>
    <x v="1"/>
    <x v="2"/>
    <n v="336"/>
    <n v="80"/>
    <n v="68"/>
    <n v="413.84"/>
    <n v="315.5"/>
    <n v="38"/>
    <n v="14"/>
    <s v="2026-01-14"/>
    <n v="233"/>
    <n v="5"/>
    <n v="31"/>
    <s v="Yes"/>
    <x v="0"/>
    <n v="12"/>
    <n v="0.23809523809523808"/>
    <s v="High Risk"/>
    <s v="Apply Discount / Promotion"/>
  </r>
  <r>
    <n v="588"/>
    <x v="93"/>
    <x v="0"/>
    <x v="0"/>
    <n v="89"/>
    <n v="204"/>
    <n v="173"/>
    <n v="2608.29"/>
    <n v="2077.6"/>
    <n v="41"/>
    <n v="4"/>
    <s v="2026-02-08"/>
    <n v="68"/>
    <n v="3"/>
    <n v="8"/>
    <s v="No"/>
    <x v="2"/>
    <n v="31"/>
    <n v="2.292134831460674"/>
    <s v="Low Risk"/>
    <s v="Maintain Stock"/>
  </r>
  <r>
    <n v="589"/>
    <x v="33"/>
    <x v="0"/>
    <x v="2"/>
    <n v="196"/>
    <n v="101"/>
    <n v="109"/>
    <n v="1997.22"/>
    <n v="1522.67"/>
    <n v="54"/>
    <n v="13"/>
    <s v="2026-03-16"/>
    <n v="241"/>
    <n v="4"/>
    <n v="21"/>
    <s v="Yes"/>
    <x v="0"/>
    <n v="-8"/>
    <n v="0.51530612244897955"/>
    <s v="Medium Risk"/>
    <s v="Monitor Sales"/>
  </r>
  <r>
    <n v="590"/>
    <x v="9"/>
    <x v="0"/>
    <x v="0"/>
    <n v="111"/>
    <n v="220"/>
    <n v="250"/>
    <n v="4435.3599999999997"/>
    <n v="3209.14"/>
    <n v="127"/>
    <n v="7"/>
    <s v="2026-03-28"/>
    <n v="299"/>
    <n v="1"/>
    <n v="24"/>
    <s v="Yes"/>
    <x v="2"/>
    <n v="-30"/>
    <n v="1.9819819819819819"/>
    <s v="Low Risk"/>
    <s v="Maintain Stock"/>
  </r>
  <r>
    <n v="591"/>
    <x v="86"/>
    <x v="1"/>
    <x v="1"/>
    <n v="61"/>
    <n v="386"/>
    <n v="399"/>
    <n v="2787.06"/>
    <n v="1633.81"/>
    <n v="108"/>
    <n v="3"/>
    <s v="2026-02-09"/>
    <n v="247"/>
    <n v="3"/>
    <n v="37"/>
    <s v="No"/>
    <x v="2"/>
    <n v="-13"/>
    <n v="6.3278688524590168"/>
    <s v="Low Risk"/>
    <s v="Maintain Stock"/>
  </r>
  <r>
    <n v="592"/>
    <x v="69"/>
    <x v="2"/>
    <x v="2"/>
    <n v="235"/>
    <n v="191"/>
    <n v="173"/>
    <n v="1654.56"/>
    <n v="1297.33"/>
    <n v="64"/>
    <n v="1"/>
    <s v="2026-03-10"/>
    <n v="276"/>
    <n v="1"/>
    <n v="22"/>
    <s v="No"/>
    <x v="2"/>
    <n v="18"/>
    <n v="0.81276595744680846"/>
    <s v="Medium Risk"/>
    <s v="Monitor Sales"/>
  </r>
  <r>
    <n v="593"/>
    <x v="72"/>
    <x v="4"/>
    <x v="2"/>
    <n v="473"/>
    <n v="90"/>
    <n v="100"/>
    <n v="4742.8500000000004"/>
    <n v="3337.43"/>
    <n v="66"/>
    <n v="10"/>
    <s v="2026-01-13"/>
    <n v="49"/>
    <n v="5"/>
    <n v="45"/>
    <s v="No"/>
    <x v="2"/>
    <n v="-10"/>
    <n v="0.19027484143763213"/>
    <s v="High Risk"/>
    <s v="Apply Discount / Promotion"/>
  </r>
  <r>
    <n v="594"/>
    <x v="50"/>
    <x v="1"/>
    <x v="2"/>
    <n v="344"/>
    <n v="155"/>
    <n v="192"/>
    <n v="2972.27"/>
    <n v="2155.69"/>
    <n v="109"/>
    <n v="12"/>
    <s v="2026-03-25"/>
    <n v="269"/>
    <n v="5"/>
    <n v="27"/>
    <s v="No"/>
    <x v="0"/>
    <n v="-37"/>
    <n v="0.45058139534883723"/>
    <s v="High Risk"/>
    <s v="Apply Discount / Promotion"/>
  </r>
  <r>
    <n v="595"/>
    <x v="53"/>
    <x v="2"/>
    <x v="3"/>
    <n v="362"/>
    <n v="316"/>
    <n v="286"/>
    <n v="378.61"/>
    <n v="249.42"/>
    <n v="51"/>
    <n v="8"/>
    <s v="2026-01-08"/>
    <n v="355"/>
    <n v="3"/>
    <n v="13"/>
    <s v="No"/>
    <x v="2"/>
    <n v="30"/>
    <n v="0.8729281767955801"/>
    <s v="Medium Risk"/>
    <s v="Monitor Sales"/>
  </r>
  <r>
    <n v="596"/>
    <x v="34"/>
    <x v="0"/>
    <x v="3"/>
    <n v="313"/>
    <n v="248"/>
    <n v="251"/>
    <n v="2797.63"/>
    <n v="2051.65"/>
    <n v="91"/>
    <n v="13"/>
    <s v="2026-02-10"/>
    <n v="347"/>
    <n v="2"/>
    <n v="40"/>
    <s v="No"/>
    <x v="0"/>
    <n v="-3"/>
    <n v="0.792332268370607"/>
    <s v="Medium Risk"/>
    <s v="Monitor Sales"/>
  </r>
  <r>
    <n v="597"/>
    <x v="87"/>
    <x v="0"/>
    <x v="1"/>
    <n v="102"/>
    <n v="51"/>
    <n v="72"/>
    <n v="4116.71"/>
    <n v="2655.63"/>
    <n v="126"/>
    <n v="8"/>
    <s v="2026-03-11"/>
    <n v="290"/>
    <n v="5"/>
    <n v="19"/>
    <s v="Yes"/>
    <x v="1"/>
    <n v="-21"/>
    <n v="0.5"/>
    <s v="Medium Risk"/>
    <s v="Monitor Sales"/>
  </r>
  <r>
    <n v="598"/>
    <x v="34"/>
    <x v="3"/>
    <x v="2"/>
    <n v="121"/>
    <n v="279"/>
    <n v="271"/>
    <n v="451.46"/>
    <n v="354.02"/>
    <n v="99"/>
    <n v="8"/>
    <s v="2026-02-06"/>
    <n v="290"/>
    <n v="1"/>
    <n v="12"/>
    <s v="No"/>
    <x v="1"/>
    <n v="8"/>
    <n v="2.3057851239669422"/>
    <s v="Low Risk"/>
    <s v="Maintain Stock"/>
  </r>
  <r>
    <n v="599"/>
    <x v="7"/>
    <x v="3"/>
    <x v="3"/>
    <n v="126"/>
    <n v="21"/>
    <n v="10"/>
    <n v="4656.6400000000003"/>
    <n v="2727.55"/>
    <n v="83"/>
    <n v="10"/>
    <s v="2026-01-09"/>
    <n v="205"/>
    <n v="5"/>
    <n v="41"/>
    <s v="No"/>
    <x v="2"/>
    <n v="11"/>
    <n v="0.16666666666666666"/>
    <s v="High Risk"/>
    <s v="Apply Discount / Promotion"/>
  </r>
  <r>
    <n v="600"/>
    <x v="2"/>
    <x v="2"/>
    <x v="2"/>
    <n v="445"/>
    <n v="360"/>
    <n v="352"/>
    <n v="211.04"/>
    <n v="160.87"/>
    <n v="43"/>
    <n v="9"/>
    <s v="2026-03-22"/>
    <n v="279"/>
    <n v="4"/>
    <n v="18"/>
    <s v="No"/>
    <x v="2"/>
    <n v="8"/>
    <n v="0.8089887640449438"/>
    <s v="Medium Risk"/>
    <s v="Monitor Sales"/>
  </r>
  <r>
    <n v="601"/>
    <x v="99"/>
    <x v="3"/>
    <x v="3"/>
    <n v="413"/>
    <n v="76"/>
    <n v="82"/>
    <n v="1967.27"/>
    <n v="1046.08"/>
    <n v="76"/>
    <n v="15"/>
    <s v="2026-01-05"/>
    <n v="258"/>
    <n v="5"/>
    <n v="3"/>
    <s v="No"/>
    <x v="2"/>
    <n v="-6"/>
    <n v="0.18401937046004843"/>
    <s v="High Risk"/>
    <s v="Apply Discount / Promotion"/>
  </r>
  <r>
    <n v="602"/>
    <x v="1"/>
    <x v="4"/>
    <x v="3"/>
    <n v="22"/>
    <n v="385"/>
    <n v="345"/>
    <n v="2038.3"/>
    <n v="1243.44"/>
    <n v="138"/>
    <n v="9"/>
    <s v="2026-01-30"/>
    <n v="67"/>
    <n v="2"/>
    <n v="38"/>
    <s v="Yes"/>
    <x v="0"/>
    <n v="40"/>
    <n v="17.5"/>
    <s v="Low Risk"/>
    <s v="Maintain Stock"/>
  </r>
  <r>
    <n v="603"/>
    <x v="24"/>
    <x v="1"/>
    <x v="3"/>
    <n v="102"/>
    <n v="254"/>
    <n v="272"/>
    <n v="171.5"/>
    <n v="122.52"/>
    <n v="136"/>
    <n v="10"/>
    <s v="2026-03-08"/>
    <n v="139"/>
    <n v="1"/>
    <n v="30"/>
    <s v="No"/>
    <x v="1"/>
    <n v="-18"/>
    <n v="2.4901960784313726"/>
    <s v="Low Risk"/>
    <s v="Maintain Stock"/>
  </r>
  <r>
    <n v="604"/>
    <x v="34"/>
    <x v="4"/>
    <x v="3"/>
    <n v="73"/>
    <n v="111"/>
    <n v="66"/>
    <n v="402.1"/>
    <n v="220.1"/>
    <n v="141"/>
    <n v="2"/>
    <s v="2026-01-02"/>
    <n v="303"/>
    <n v="1"/>
    <n v="1"/>
    <s v="No"/>
    <x v="1"/>
    <n v="45"/>
    <n v="1.5205479452054795"/>
    <s v="Low Risk"/>
    <s v="Maintain Stock"/>
  </r>
  <r>
    <n v="605"/>
    <x v="28"/>
    <x v="4"/>
    <x v="3"/>
    <n v="422"/>
    <n v="200"/>
    <n v="207"/>
    <n v="1623.61"/>
    <n v="826.13"/>
    <n v="43"/>
    <n v="4"/>
    <s v="2026-01-24"/>
    <n v="204"/>
    <n v="4"/>
    <n v="3"/>
    <s v="Yes"/>
    <x v="1"/>
    <n v="-7"/>
    <n v="0.47393364928909953"/>
    <s v="High Risk"/>
    <s v="Apply Discount / Promotion"/>
  </r>
  <r>
    <n v="606"/>
    <x v="0"/>
    <x v="4"/>
    <x v="2"/>
    <n v="254"/>
    <n v="157"/>
    <n v="124"/>
    <n v="4919.74"/>
    <n v="3584.2"/>
    <n v="121"/>
    <n v="15"/>
    <s v="2026-01-23"/>
    <n v="37"/>
    <n v="3"/>
    <n v="3"/>
    <s v="Yes"/>
    <x v="0"/>
    <n v="33"/>
    <n v="0.61811023622047245"/>
    <s v="Medium Risk"/>
    <s v="Monitor Sales"/>
  </r>
  <r>
    <n v="607"/>
    <x v="6"/>
    <x v="4"/>
    <x v="0"/>
    <n v="496"/>
    <n v="226"/>
    <n v="272"/>
    <n v="3619.03"/>
    <n v="2487.92"/>
    <n v="57"/>
    <n v="8"/>
    <s v="2026-01-04"/>
    <n v="160"/>
    <n v="3"/>
    <n v="12"/>
    <s v="Yes"/>
    <x v="0"/>
    <n v="-46"/>
    <n v="0.45564516129032256"/>
    <s v="High Risk"/>
    <s v="Apply Discount / Promotion"/>
  </r>
  <r>
    <n v="608"/>
    <x v="95"/>
    <x v="1"/>
    <x v="2"/>
    <n v="140"/>
    <n v="292"/>
    <n v="327"/>
    <n v="3447.48"/>
    <n v="1862.89"/>
    <n v="63"/>
    <n v="14"/>
    <s v="2026-01-01"/>
    <n v="112"/>
    <n v="5"/>
    <n v="11"/>
    <s v="No"/>
    <x v="1"/>
    <n v="-35"/>
    <n v="2.0857142857142859"/>
    <s v="Low Risk"/>
    <s v="Maintain Stock"/>
  </r>
  <r>
    <n v="609"/>
    <x v="5"/>
    <x v="4"/>
    <x v="0"/>
    <n v="283"/>
    <n v="364"/>
    <n v="361"/>
    <n v="606.35"/>
    <n v="459.59"/>
    <n v="50"/>
    <n v="9"/>
    <s v="2026-01-10"/>
    <n v="226"/>
    <n v="1"/>
    <n v="32"/>
    <s v="Yes"/>
    <x v="0"/>
    <n v="3"/>
    <n v="1.2862190812720848"/>
    <s v="Low Risk"/>
    <s v="Maintain Stock"/>
  </r>
  <r>
    <n v="610"/>
    <x v="9"/>
    <x v="3"/>
    <x v="0"/>
    <n v="227"/>
    <n v="351"/>
    <n v="387"/>
    <n v="2544.9899999999998"/>
    <n v="1580.45"/>
    <n v="56"/>
    <n v="1"/>
    <s v="2026-01-16"/>
    <n v="68"/>
    <n v="1"/>
    <n v="12"/>
    <s v="Yes"/>
    <x v="0"/>
    <n v="-36"/>
    <n v="1.5462555066079295"/>
    <s v="Low Risk"/>
    <s v="Maintain Stock"/>
  </r>
  <r>
    <n v="611"/>
    <x v="89"/>
    <x v="2"/>
    <x v="0"/>
    <n v="322"/>
    <n v="370"/>
    <n v="381"/>
    <n v="2997.37"/>
    <n v="1682.66"/>
    <n v="59"/>
    <n v="7"/>
    <s v="2026-02-10"/>
    <n v="40"/>
    <n v="2"/>
    <n v="3"/>
    <s v="No"/>
    <x v="0"/>
    <n v="-11"/>
    <n v="1.1490683229813665"/>
    <s v="Low Risk"/>
    <s v="Maintain Stock"/>
  </r>
  <r>
    <n v="612"/>
    <x v="27"/>
    <x v="0"/>
    <x v="1"/>
    <n v="417"/>
    <n v="310"/>
    <n v="357"/>
    <n v="4300.9799999999996"/>
    <n v="3215.08"/>
    <n v="45"/>
    <n v="9"/>
    <s v="2026-01-11"/>
    <n v="187"/>
    <n v="1"/>
    <n v="45"/>
    <s v="No"/>
    <x v="2"/>
    <n v="-47"/>
    <n v="0.74340527577937654"/>
    <s v="Medium Risk"/>
    <s v="Monitor Sales"/>
  </r>
  <r>
    <n v="613"/>
    <x v="22"/>
    <x v="3"/>
    <x v="2"/>
    <n v="123"/>
    <n v="267"/>
    <n v="297"/>
    <n v="2470.81"/>
    <n v="1689.5"/>
    <n v="31"/>
    <n v="12"/>
    <s v="2026-01-25"/>
    <n v="61"/>
    <n v="1"/>
    <n v="4"/>
    <s v="No"/>
    <x v="2"/>
    <n v="-30"/>
    <n v="2.1707317073170733"/>
    <s v="Low Risk"/>
    <s v="Maintain Stock"/>
  </r>
  <r>
    <n v="614"/>
    <x v="87"/>
    <x v="3"/>
    <x v="0"/>
    <n v="197"/>
    <n v="244"/>
    <n v="224"/>
    <n v="2277.23"/>
    <n v="1636.68"/>
    <n v="131"/>
    <n v="4"/>
    <s v="2026-03-10"/>
    <n v="153"/>
    <n v="1"/>
    <n v="14"/>
    <s v="No"/>
    <x v="1"/>
    <n v="20"/>
    <n v="1.2385786802030456"/>
    <s v="Low Risk"/>
    <s v="Maintain Stock"/>
  </r>
  <r>
    <n v="615"/>
    <x v="33"/>
    <x v="1"/>
    <x v="3"/>
    <n v="31"/>
    <n v="328"/>
    <n v="305"/>
    <n v="2052.9899999999998"/>
    <n v="1135.27"/>
    <n v="119"/>
    <n v="5"/>
    <s v="2026-02-08"/>
    <n v="304"/>
    <n v="4"/>
    <n v="2"/>
    <s v="No"/>
    <x v="2"/>
    <n v="23"/>
    <n v="10.580645161290322"/>
    <s v="Low Risk"/>
    <s v="Maintain Stock"/>
  </r>
  <r>
    <n v="616"/>
    <x v="88"/>
    <x v="0"/>
    <x v="0"/>
    <n v="372"/>
    <n v="77"/>
    <n v="27"/>
    <n v="2102.35"/>
    <n v="1478.56"/>
    <n v="125"/>
    <n v="7"/>
    <s v="2026-01-10"/>
    <n v="240"/>
    <n v="1"/>
    <n v="15"/>
    <s v="Yes"/>
    <x v="1"/>
    <n v="50"/>
    <n v="0.20698924731182797"/>
    <s v="High Risk"/>
    <s v="Apply Discount / Promotion"/>
  </r>
  <r>
    <n v="617"/>
    <x v="44"/>
    <x v="0"/>
    <x v="1"/>
    <n v="23"/>
    <n v="411"/>
    <n v="365"/>
    <n v="1989.66"/>
    <n v="1018.18"/>
    <n v="49"/>
    <n v="3"/>
    <s v="2026-03-25"/>
    <n v="82"/>
    <n v="5"/>
    <n v="35"/>
    <s v="Yes"/>
    <x v="0"/>
    <n v="46"/>
    <n v="17.869565217391305"/>
    <s v="Low Risk"/>
    <s v="Maintain Stock"/>
  </r>
  <r>
    <n v="618"/>
    <x v="36"/>
    <x v="2"/>
    <x v="1"/>
    <n v="161"/>
    <n v="401"/>
    <n v="371"/>
    <n v="2579.56"/>
    <n v="1613.06"/>
    <n v="99"/>
    <n v="8"/>
    <s v="2026-02-03"/>
    <n v="62"/>
    <n v="2"/>
    <n v="19"/>
    <s v="Yes"/>
    <x v="0"/>
    <n v="30"/>
    <n v="2.4906832298136647"/>
    <s v="Low Risk"/>
    <s v="Maintain Stock"/>
  </r>
  <r>
    <n v="619"/>
    <x v="8"/>
    <x v="2"/>
    <x v="2"/>
    <n v="203"/>
    <n v="380"/>
    <n v="347"/>
    <n v="3795.66"/>
    <n v="2498.85"/>
    <n v="85"/>
    <n v="15"/>
    <s v="2026-01-05"/>
    <n v="214"/>
    <n v="3"/>
    <n v="9"/>
    <s v="No"/>
    <x v="2"/>
    <n v="33"/>
    <n v="1.8719211822660098"/>
    <s v="Low Risk"/>
    <s v="Maintain Stock"/>
  </r>
  <r>
    <n v="620"/>
    <x v="24"/>
    <x v="4"/>
    <x v="1"/>
    <n v="182"/>
    <n v="196"/>
    <n v="190"/>
    <n v="4796.67"/>
    <n v="2442.23"/>
    <n v="44"/>
    <n v="11"/>
    <s v="2026-03-20"/>
    <n v="292"/>
    <n v="4"/>
    <n v="24"/>
    <s v="No"/>
    <x v="0"/>
    <n v="6"/>
    <n v="1.0769230769230769"/>
    <s v="Low Risk"/>
    <s v="Maintain Stock"/>
  </r>
  <r>
    <n v="621"/>
    <x v="28"/>
    <x v="1"/>
    <x v="0"/>
    <n v="317"/>
    <n v="82"/>
    <n v="56"/>
    <n v="2717.12"/>
    <n v="1772.88"/>
    <n v="102"/>
    <n v="13"/>
    <s v="2026-02-02"/>
    <n v="199"/>
    <n v="5"/>
    <n v="50"/>
    <s v="Yes"/>
    <x v="2"/>
    <n v="26"/>
    <n v="0.25867507886435331"/>
    <s v="High Risk"/>
    <s v="Apply Discount / Promotion"/>
  </r>
  <r>
    <n v="622"/>
    <x v="9"/>
    <x v="2"/>
    <x v="3"/>
    <n v="249"/>
    <n v="347"/>
    <n v="303"/>
    <n v="3240.33"/>
    <n v="2413.75"/>
    <n v="56"/>
    <n v="15"/>
    <s v="2026-02-19"/>
    <n v="41"/>
    <n v="3"/>
    <n v="27"/>
    <s v="Yes"/>
    <x v="0"/>
    <n v="44"/>
    <n v="1.393574297188755"/>
    <s v="Low Risk"/>
    <s v="Maintain Stock"/>
  </r>
  <r>
    <n v="623"/>
    <x v="68"/>
    <x v="1"/>
    <x v="3"/>
    <n v="96"/>
    <n v="285"/>
    <n v="270"/>
    <n v="3119.54"/>
    <n v="2451.08"/>
    <n v="68"/>
    <n v="10"/>
    <s v="2026-01-04"/>
    <n v="195"/>
    <n v="5"/>
    <n v="33"/>
    <s v="No"/>
    <x v="1"/>
    <n v="15"/>
    <n v="2.96875"/>
    <s v="Low Risk"/>
    <s v="Maintain Stock"/>
  </r>
  <r>
    <n v="624"/>
    <x v="60"/>
    <x v="4"/>
    <x v="1"/>
    <n v="35"/>
    <n v="369"/>
    <n v="348"/>
    <n v="679.73"/>
    <n v="538.71"/>
    <n v="45"/>
    <n v="2"/>
    <s v="2026-01-18"/>
    <n v="209"/>
    <n v="1"/>
    <n v="38"/>
    <s v="Yes"/>
    <x v="1"/>
    <n v="21"/>
    <n v="10.542857142857143"/>
    <s v="Low Risk"/>
    <s v="Maintain Stock"/>
  </r>
  <r>
    <n v="625"/>
    <x v="54"/>
    <x v="3"/>
    <x v="3"/>
    <n v="422"/>
    <n v="267"/>
    <n v="303"/>
    <n v="1546.1"/>
    <n v="1179.97"/>
    <n v="91"/>
    <n v="6"/>
    <s v="2026-03-12"/>
    <n v="283"/>
    <n v="1"/>
    <n v="28"/>
    <s v="No"/>
    <x v="1"/>
    <n v="-36"/>
    <n v="0.63270142180094791"/>
    <s v="Medium Risk"/>
    <s v="Monitor Sales"/>
  </r>
  <r>
    <n v="626"/>
    <x v="92"/>
    <x v="0"/>
    <x v="0"/>
    <n v="336"/>
    <n v="37"/>
    <n v="32"/>
    <n v="1025.4000000000001"/>
    <n v="799.76"/>
    <n v="89"/>
    <n v="13"/>
    <s v="2026-01-23"/>
    <n v="224"/>
    <n v="5"/>
    <n v="3"/>
    <s v="Yes"/>
    <x v="2"/>
    <n v="5"/>
    <n v="0.11011904761904762"/>
    <s v="High Risk"/>
    <s v="Apply Discount / Promotion"/>
  </r>
  <r>
    <n v="627"/>
    <x v="37"/>
    <x v="4"/>
    <x v="3"/>
    <n v="55"/>
    <n v="95"/>
    <n v="115"/>
    <n v="777.05"/>
    <n v="391.07"/>
    <n v="119"/>
    <n v="7"/>
    <s v="2026-03-24"/>
    <n v="284"/>
    <n v="4"/>
    <n v="3"/>
    <s v="Yes"/>
    <x v="0"/>
    <n v="-20"/>
    <n v="1.7272727272727273"/>
    <s v="Low Risk"/>
    <s v="Maintain Stock"/>
  </r>
  <r>
    <n v="628"/>
    <x v="94"/>
    <x v="3"/>
    <x v="2"/>
    <n v="480"/>
    <n v="314"/>
    <n v="266"/>
    <n v="4789.63"/>
    <n v="2788.63"/>
    <n v="149"/>
    <n v="3"/>
    <s v="2026-03-04"/>
    <n v="284"/>
    <n v="1"/>
    <n v="43"/>
    <s v="Yes"/>
    <x v="0"/>
    <n v="48"/>
    <n v="0.65416666666666667"/>
    <s v="Medium Risk"/>
    <s v="Monitor Sales"/>
  </r>
  <r>
    <n v="629"/>
    <x v="45"/>
    <x v="4"/>
    <x v="2"/>
    <n v="131"/>
    <n v="248"/>
    <n v="211"/>
    <n v="3534.52"/>
    <n v="2421.88"/>
    <n v="50"/>
    <n v="12"/>
    <s v="2026-03-04"/>
    <n v="151"/>
    <n v="3"/>
    <n v="21"/>
    <s v="Yes"/>
    <x v="0"/>
    <n v="37"/>
    <n v="1.8931297709923665"/>
    <s v="Low Risk"/>
    <s v="Maintain Stock"/>
  </r>
  <r>
    <n v="630"/>
    <x v="0"/>
    <x v="1"/>
    <x v="1"/>
    <n v="365"/>
    <n v="160"/>
    <n v="178"/>
    <n v="1537.15"/>
    <n v="1152.6500000000001"/>
    <n v="47"/>
    <n v="4"/>
    <s v="2026-01-11"/>
    <n v="52"/>
    <n v="2"/>
    <n v="14"/>
    <s v="No"/>
    <x v="0"/>
    <n v="-18"/>
    <n v="0.43835616438356162"/>
    <s v="High Risk"/>
    <s v="Apply Discount / Promotion"/>
  </r>
  <r>
    <n v="631"/>
    <x v="95"/>
    <x v="4"/>
    <x v="3"/>
    <n v="401"/>
    <n v="196"/>
    <n v="156"/>
    <n v="1457.72"/>
    <n v="958.25"/>
    <n v="137"/>
    <n v="1"/>
    <s v="2026-01-11"/>
    <n v="330"/>
    <n v="4"/>
    <n v="28"/>
    <s v="No"/>
    <x v="1"/>
    <n v="40"/>
    <n v="0.48877805486284287"/>
    <s v="High Risk"/>
    <s v="Apply Discount / Promotion"/>
  </r>
  <r>
    <n v="632"/>
    <x v="25"/>
    <x v="0"/>
    <x v="3"/>
    <n v="284"/>
    <n v="325"/>
    <n v="362"/>
    <n v="4886.1000000000004"/>
    <n v="2564.19"/>
    <n v="70"/>
    <n v="9"/>
    <s v="2026-03-14"/>
    <n v="179"/>
    <n v="2"/>
    <n v="7"/>
    <s v="Yes"/>
    <x v="2"/>
    <n v="-37"/>
    <n v="1.1443661971830985"/>
    <s v="Low Risk"/>
    <s v="Maintain Stock"/>
  </r>
  <r>
    <n v="633"/>
    <x v="45"/>
    <x v="0"/>
    <x v="1"/>
    <n v="419"/>
    <n v="97"/>
    <n v="49"/>
    <n v="2832"/>
    <n v="1803"/>
    <n v="81"/>
    <n v="15"/>
    <s v="2026-01-04"/>
    <n v="272"/>
    <n v="4"/>
    <n v="12"/>
    <s v="Yes"/>
    <x v="0"/>
    <n v="48"/>
    <n v="0.23150357995226731"/>
    <s v="High Risk"/>
    <s v="Apply Discount / Promotion"/>
  </r>
  <r>
    <n v="634"/>
    <x v="44"/>
    <x v="0"/>
    <x v="1"/>
    <n v="335"/>
    <n v="231"/>
    <n v="214"/>
    <n v="1837.24"/>
    <n v="989.16"/>
    <n v="73"/>
    <n v="7"/>
    <s v="2026-03-25"/>
    <n v="191"/>
    <n v="4"/>
    <n v="9"/>
    <s v="No"/>
    <x v="2"/>
    <n v="17"/>
    <n v="0.68955223880597016"/>
    <s v="Medium Risk"/>
    <s v="Monitor Sales"/>
  </r>
  <r>
    <n v="635"/>
    <x v="45"/>
    <x v="2"/>
    <x v="0"/>
    <n v="240"/>
    <n v="58"/>
    <n v="53"/>
    <n v="4189.17"/>
    <n v="2533.62"/>
    <n v="60"/>
    <n v="8"/>
    <s v="2026-03-27"/>
    <n v="165"/>
    <n v="4"/>
    <n v="11"/>
    <s v="No"/>
    <x v="0"/>
    <n v="5"/>
    <n v="0.24166666666666667"/>
    <s v="High Risk"/>
    <s v="Apply Discount / Promotion"/>
  </r>
  <r>
    <n v="636"/>
    <x v="83"/>
    <x v="2"/>
    <x v="1"/>
    <n v="427"/>
    <n v="2"/>
    <n v="50"/>
    <n v="3740.01"/>
    <n v="2876.41"/>
    <n v="114"/>
    <n v="14"/>
    <s v="2026-03-07"/>
    <n v="48"/>
    <n v="5"/>
    <n v="21"/>
    <s v="Yes"/>
    <x v="0"/>
    <n v="-48"/>
    <n v="4.6838407494145199E-3"/>
    <s v="High Risk"/>
    <s v="Apply Discount / Promotion"/>
  </r>
  <r>
    <n v="637"/>
    <x v="76"/>
    <x v="0"/>
    <x v="2"/>
    <n v="455"/>
    <n v="343"/>
    <n v="377"/>
    <n v="1423.16"/>
    <n v="1058.27"/>
    <n v="32"/>
    <n v="8"/>
    <s v="2026-03-06"/>
    <n v="219"/>
    <n v="3"/>
    <n v="36"/>
    <s v="No"/>
    <x v="1"/>
    <n v="-34"/>
    <n v="0.75384615384615383"/>
    <s v="Medium Risk"/>
    <s v="Monitor Sales"/>
  </r>
  <r>
    <n v="638"/>
    <x v="76"/>
    <x v="1"/>
    <x v="1"/>
    <n v="379"/>
    <n v="398"/>
    <n v="386"/>
    <n v="1335.63"/>
    <n v="850.5"/>
    <n v="104"/>
    <n v="3"/>
    <s v="2026-02-24"/>
    <n v="222"/>
    <n v="3"/>
    <n v="45"/>
    <s v="No"/>
    <x v="0"/>
    <n v="12"/>
    <n v="1.050131926121372"/>
    <s v="Low Risk"/>
    <s v="Maintain Stock"/>
  </r>
  <r>
    <n v="639"/>
    <x v="53"/>
    <x v="1"/>
    <x v="3"/>
    <n v="381"/>
    <n v="183"/>
    <n v="155"/>
    <n v="2775.59"/>
    <n v="2190.58"/>
    <n v="90"/>
    <n v="4"/>
    <s v="2026-01-20"/>
    <n v="240"/>
    <n v="3"/>
    <n v="24"/>
    <s v="Yes"/>
    <x v="2"/>
    <n v="28"/>
    <n v="0.48031496062992124"/>
    <s v="High Risk"/>
    <s v="Apply Discount / Promotion"/>
  </r>
  <r>
    <n v="640"/>
    <x v="11"/>
    <x v="2"/>
    <x v="0"/>
    <n v="308"/>
    <n v="347"/>
    <n v="395"/>
    <n v="4955.32"/>
    <n v="3556.91"/>
    <n v="129"/>
    <n v="4"/>
    <s v="2026-03-28"/>
    <n v="314"/>
    <n v="4"/>
    <n v="47"/>
    <s v="Yes"/>
    <x v="0"/>
    <n v="-48"/>
    <n v="1.1266233766233766"/>
    <s v="Low Risk"/>
    <s v="Maintain Stock"/>
  </r>
  <r>
    <n v="641"/>
    <x v="45"/>
    <x v="0"/>
    <x v="3"/>
    <n v="218"/>
    <n v="0"/>
    <n v="21"/>
    <n v="3552.44"/>
    <n v="2288.31"/>
    <n v="121"/>
    <n v="2"/>
    <s v="2026-02-10"/>
    <n v="356"/>
    <n v="5"/>
    <n v="33"/>
    <s v="No"/>
    <x v="2"/>
    <n v="-21"/>
    <n v="0"/>
    <s v="High Risk"/>
    <s v="Apply Discount / Promotion"/>
  </r>
  <r>
    <n v="642"/>
    <x v="18"/>
    <x v="3"/>
    <x v="2"/>
    <n v="467"/>
    <n v="93"/>
    <n v="58"/>
    <n v="3365.97"/>
    <n v="1772.95"/>
    <n v="31"/>
    <n v="10"/>
    <s v="2026-01-20"/>
    <n v="232"/>
    <n v="1"/>
    <n v="41"/>
    <s v="Yes"/>
    <x v="2"/>
    <n v="35"/>
    <n v="0.19914346895074947"/>
    <s v="High Risk"/>
    <s v="Apply Discount / Promotion"/>
  </r>
  <r>
    <n v="643"/>
    <x v="71"/>
    <x v="1"/>
    <x v="2"/>
    <n v="275"/>
    <n v="248"/>
    <n v="243"/>
    <n v="4698.8"/>
    <n v="3608.75"/>
    <n v="116"/>
    <n v="7"/>
    <s v="2026-03-03"/>
    <n v="78"/>
    <n v="4"/>
    <n v="32"/>
    <s v="Yes"/>
    <x v="2"/>
    <n v="5"/>
    <n v="0.90181818181818185"/>
    <s v="Medium Risk"/>
    <s v="Monitor Sales"/>
  </r>
  <r>
    <n v="644"/>
    <x v="1"/>
    <x v="0"/>
    <x v="3"/>
    <n v="419"/>
    <n v="321"/>
    <n v="288"/>
    <n v="2853.39"/>
    <n v="2224.59"/>
    <n v="91"/>
    <n v="14"/>
    <s v="2026-02-22"/>
    <n v="298"/>
    <n v="4"/>
    <n v="2"/>
    <s v="No"/>
    <x v="1"/>
    <n v="33"/>
    <n v="0.76610978520286399"/>
    <s v="Medium Risk"/>
    <s v="Monitor Sales"/>
  </r>
  <r>
    <n v="645"/>
    <x v="20"/>
    <x v="3"/>
    <x v="1"/>
    <n v="430"/>
    <n v="188"/>
    <n v="176"/>
    <n v="4370.49"/>
    <n v="2815.19"/>
    <n v="112"/>
    <n v="11"/>
    <s v="2026-01-02"/>
    <n v="307"/>
    <n v="2"/>
    <n v="49"/>
    <s v="No"/>
    <x v="2"/>
    <n v="12"/>
    <n v="0.43720930232558142"/>
    <s v="High Risk"/>
    <s v="Apply Discount / Promotion"/>
  </r>
  <r>
    <n v="646"/>
    <x v="45"/>
    <x v="4"/>
    <x v="0"/>
    <n v="109"/>
    <n v="272"/>
    <n v="234"/>
    <n v="645.09"/>
    <n v="470.56"/>
    <n v="60"/>
    <n v="8"/>
    <s v="2026-03-12"/>
    <n v="294"/>
    <n v="5"/>
    <n v="40"/>
    <s v="Yes"/>
    <x v="2"/>
    <n v="38"/>
    <n v="2.4954128440366974"/>
    <s v="Low Risk"/>
    <s v="Maintain Stock"/>
  </r>
  <r>
    <n v="647"/>
    <x v="21"/>
    <x v="0"/>
    <x v="2"/>
    <n v="498"/>
    <n v="92"/>
    <n v="74"/>
    <n v="3626.51"/>
    <n v="2899.59"/>
    <n v="140"/>
    <n v="7"/>
    <s v="2026-02-26"/>
    <n v="48"/>
    <n v="5"/>
    <n v="34"/>
    <s v="No"/>
    <x v="1"/>
    <n v="18"/>
    <n v="0.18473895582329317"/>
    <s v="High Risk"/>
    <s v="Apply Discount / Promotion"/>
  </r>
  <r>
    <n v="648"/>
    <x v="34"/>
    <x v="3"/>
    <x v="2"/>
    <n v="437"/>
    <n v="333"/>
    <n v="347"/>
    <n v="1679.4"/>
    <n v="1030.54"/>
    <n v="61"/>
    <n v="9"/>
    <s v="2026-03-02"/>
    <n v="330"/>
    <n v="1"/>
    <n v="2"/>
    <s v="No"/>
    <x v="0"/>
    <n v="-14"/>
    <n v="0.76201372997711669"/>
    <s v="Medium Risk"/>
    <s v="Monitor Sales"/>
  </r>
  <r>
    <n v="649"/>
    <x v="15"/>
    <x v="4"/>
    <x v="3"/>
    <n v="370"/>
    <n v="277"/>
    <n v="308"/>
    <n v="2640.34"/>
    <n v="1351.99"/>
    <n v="54"/>
    <n v="14"/>
    <s v="2026-03-14"/>
    <n v="300"/>
    <n v="3"/>
    <n v="18"/>
    <s v="Yes"/>
    <x v="1"/>
    <n v="-31"/>
    <n v="0.74864864864864866"/>
    <s v="Medium Risk"/>
    <s v="Monitor Sales"/>
  </r>
  <r>
    <n v="650"/>
    <x v="65"/>
    <x v="4"/>
    <x v="0"/>
    <n v="275"/>
    <n v="215"/>
    <n v="168"/>
    <n v="4213.4799999999996"/>
    <n v="2836.04"/>
    <n v="147"/>
    <n v="9"/>
    <s v="2026-02-20"/>
    <n v="221"/>
    <n v="1"/>
    <n v="46"/>
    <s v="No"/>
    <x v="1"/>
    <n v="47"/>
    <n v="0.78181818181818186"/>
    <s v="Medium Risk"/>
    <s v="Monitor Sales"/>
  </r>
  <r>
    <n v="651"/>
    <x v="80"/>
    <x v="0"/>
    <x v="0"/>
    <n v="402"/>
    <n v="223"/>
    <n v="243"/>
    <n v="1765.21"/>
    <n v="1030.94"/>
    <n v="127"/>
    <n v="13"/>
    <s v="2026-03-04"/>
    <n v="183"/>
    <n v="1"/>
    <n v="8"/>
    <s v="No"/>
    <x v="0"/>
    <n v="-20"/>
    <n v="0.55472636815920395"/>
    <s v="Medium Risk"/>
    <s v="Monitor Sales"/>
  </r>
  <r>
    <n v="652"/>
    <x v="61"/>
    <x v="4"/>
    <x v="1"/>
    <n v="380"/>
    <n v="125"/>
    <n v="173"/>
    <n v="2619.54"/>
    <n v="1575.33"/>
    <n v="66"/>
    <n v="12"/>
    <s v="2026-03-13"/>
    <n v="42"/>
    <n v="3"/>
    <n v="17"/>
    <s v="Yes"/>
    <x v="0"/>
    <n v="-48"/>
    <n v="0.32894736842105265"/>
    <s v="High Risk"/>
    <s v="Apply Discount / Promotion"/>
  </r>
  <r>
    <n v="653"/>
    <x v="42"/>
    <x v="2"/>
    <x v="1"/>
    <n v="150"/>
    <n v="134"/>
    <n v="103"/>
    <n v="4466.83"/>
    <n v="3565.64"/>
    <n v="97"/>
    <n v="12"/>
    <s v="2026-03-20"/>
    <n v="217"/>
    <n v="2"/>
    <n v="5"/>
    <s v="No"/>
    <x v="0"/>
    <n v="31"/>
    <n v="0.89333333333333331"/>
    <s v="Medium Risk"/>
    <s v="Monitor Sales"/>
  </r>
  <r>
    <n v="654"/>
    <x v="58"/>
    <x v="1"/>
    <x v="2"/>
    <n v="122"/>
    <n v="186"/>
    <n v="212"/>
    <n v="3121.05"/>
    <n v="2312.4299999999998"/>
    <n v="66"/>
    <n v="5"/>
    <s v="2026-01-30"/>
    <n v="158"/>
    <n v="5"/>
    <n v="42"/>
    <s v="Yes"/>
    <x v="2"/>
    <n v="-26"/>
    <n v="1.5245901639344261"/>
    <s v="Low Risk"/>
    <s v="Maintain Stock"/>
  </r>
  <r>
    <n v="655"/>
    <x v="72"/>
    <x v="0"/>
    <x v="1"/>
    <n v="495"/>
    <n v="265"/>
    <n v="246"/>
    <n v="1182.21"/>
    <n v="858.71"/>
    <n v="130"/>
    <n v="6"/>
    <s v="2026-03-03"/>
    <n v="139"/>
    <n v="5"/>
    <n v="47"/>
    <s v="Yes"/>
    <x v="1"/>
    <n v="19"/>
    <n v="0.53535353535353536"/>
    <s v="Medium Risk"/>
    <s v="Monitor Sales"/>
  </r>
  <r>
    <n v="656"/>
    <x v="26"/>
    <x v="1"/>
    <x v="1"/>
    <n v="85"/>
    <n v="259"/>
    <n v="232"/>
    <n v="3592.38"/>
    <n v="2492.8000000000002"/>
    <n v="139"/>
    <n v="15"/>
    <s v="2026-01-03"/>
    <n v="154"/>
    <n v="2"/>
    <n v="35"/>
    <s v="Yes"/>
    <x v="0"/>
    <n v="27"/>
    <n v="3.0470588235294116"/>
    <s v="Low Risk"/>
    <s v="Maintain Stock"/>
  </r>
  <r>
    <n v="657"/>
    <x v="32"/>
    <x v="1"/>
    <x v="0"/>
    <n v="213"/>
    <n v="434"/>
    <n v="384"/>
    <n v="2269.9"/>
    <n v="1343.24"/>
    <n v="134"/>
    <n v="3"/>
    <s v="2026-03-20"/>
    <n v="58"/>
    <n v="2"/>
    <n v="43"/>
    <s v="Yes"/>
    <x v="2"/>
    <n v="50"/>
    <n v="2.0375586854460095"/>
    <s v="Low Risk"/>
    <s v="Maintain Stock"/>
  </r>
  <r>
    <n v="658"/>
    <x v="50"/>
    <x v="4"/>
    <x v="1"/>
    <n v="176"/>
    <n v="90"/>
    <n v="120"/>
    <n v="4878.1899999999996"/>
    <n v="2510.4"/>
    <n v="55"/>
    <n v="14"/>
    <s v="2026-01-27"/>
    <n v="274"/>
    <n v="3"/>
    <n v="45"/>
    <s v="Yes"/>
    <x v="0"/>
    <n v="-30"/>
    <n v="0.51136363636363635"/>
    <s v="Medium Risk"/>
    <s v="Monitor Sales"/>
  </r>
  <r>
    <n v="659"/>
    <x v="2"/>
    <x v="2"/>
    <x v="2"/>
    <n v="111"/>
    <n v="159"/>
    <n v="133"/>
    <n v="535.23"/>
    <n v="378.33"/>
    <n v="102"/>
    <n v="10"/>
    <s v="2026-03-15"/>
    <n v="298"/>
    <n v="3"/>
    <n v="11"/>
    <s v="No"/>
    <x v="0"/>
    <n v="26"/>
    <n v="1.4324324324324325"/>
    <s v="Low Risk"/>
    <s v="Maintain Stock"/>
  </r>
  <r>
    <n v="660"/>
    <x v="63"/>
    <x v="2"/>
    <x v="0"/>
    <n v="249"/>
    <n v="421"/>
    <n v="375"/>
    <n v="3994.88"/>
    <n v="3112.67"/>
    <n v="97"/>
    <n v="11"/>
    <s v="2026-02-10"/>
    <n v="232"/>
    <n v="2"/>
    <n v="43"/>
    <s v="No"/>
    <x v="1"/>
    <n v="46"/>
    <n v="1.6907630522088353"/>
    <s v="Low Risk"/>
    <s v="Maintain Stock"/>
  </r>
  <r>
    <n v="661"/>
    <x v="97"/>
    <x v="3"/>
    <x v="2"/>
    <n v="117"/>
    <n v="275"/>
    <n v="284"/>
    <n v="1269.73"/>
    <n v="803.54"/>
    <n v="59"/>
    <n v="2"/>
    <s v="2026-01-19"/>
    <n v="132"/>
    <n v="3"/>
    <n v="24"/>
    <s v="Yes"/>
    <x v="1"/>
    <n v="-9"/>
    <n v="2.3504273504273505"/>
    <s v="Low Risk"/>
    <s v="Maintain Stock"/>
  </r>
  <r>
    <n v="662"/>
    <x v="97"/>
    <x v="3"/>
    <x v="3"/>
    <n v="289"/>
    <n v="353"/>
    <n v="313"/>
    <n v="2397.69"/>
    <n v="1404.19"/>
    <n v="119"/>
    <n v="5"/>
    <s v="2026-02-06"/>
    <n v="255"/>
    <n v="4"/>
    <n v="9"/>
    <s v="Yes"/>
    <x v="0"/>
    <n v="40"/>
    <n v="1.2214532871972319"/>
    <s v="Low Risk"/>
    <s v="Maintain Stock"/>
  </r>
  <r>
    <n v="663"/>
    <x v="17"/>
    <x v="4"/>
    <x v="3"/>
    <n v="198"/>
    <n v="157"/>
    <n v="129"/>
    <n v="1983.52"/>
    <n v="1482.3"/>
    <n v="102"/>
    <n v="14"/>
    <s v="2026-02-27"/>
    <n v="273"/>
    <n v="4"/>
    <n v="20"/>
    <s v="Yes"/>
    <x v="0"/>
    <n v="28"/>
    <n v="0.79292929292929293"/>
    <s v="Medium Risk"/>
    <s v="Monitor Sales"/>
  </r>
  <r>
    <n v="664"/>
    <x v="95"/>
    <x v="2"/>
    <x v="2"/>
    <n v="385"/>
    <n v="336"/>
    <n v="318"/>
    <n v="1845.36"/>
    <n v="1446.73"/>
    <n v="133"/>
    <n v="9"/>
    <s v="2026-01-10"/>
    <n v="173"/>
    <n v="3"/>
    <n v="12"/>
    <s v="No"/>
    <x v="0"/>
    <n v="18"/>
    <n v="0.87272727272727268"/>
    <s v="Medium Risk"/>
    <s v="Monitor Sales"/>
  </r>
  <r>
    <n v="665"/>
    <x v="64"/>
    <x v="1"/>
    <x v="2"/>
    <n v="361"/>
    <n v="155"/>
    <n v="131"/>
    <n v="542.5"/>
    <n v="364.55"/>
    <n v="95"/>
    <n v="13"/>
    <s v="2026-02-28"/>
    <n v="356"/>
    <n v="1"/>
    <n v="13"/>
    <s v="No"/>
    <x v="0"/>
    <n v="24"/>
    <n v="0.4293628808864266"/>
    <s v="High Risk"/>
    <s v="Apply Discount / Promotion"/>
  </r>
  <r>
    <n v="666"/>
    <x v="75"/>
    <x v="4"/>
    <x v="1"/>
    <n v="427"/>
    <n v="36"/>
    <n v="54"/>
    <n v="1338.44"/>
    <n v="951.03"/>
    <n v="149"/>
    <n v="1"/>
    <s v="2026-03-13"/>
    <n v="36"/>
    <n v="5"/>
    <n v="26"/>
    <s v="No"/>
    <x v="0"/>
    <n v="-18"/>
    <n v="8.4309133489461355E-2"/>
    <s v="High Risk"/>
    <s v="Apply Discount / Promotion"/>
  </r>
  <r>
    <n v="667"/>
    <x v="1"/>
    <x v="3"/>
    <x v="2"/>
    <n v="78"/>
    <n v="91"/>
    <n v="125"/>
    <n v="4345.8100000000004"/>
    <n v="2313.98"/>
    <n v="138"/>
    <n v="14"/>
    <s v="2026-02-17"/>
    <n v="309"/>
    <n v="5"/>
    <n v="44"/>
    <s v="No"/>
    <x v="2"/>
    <n v="-34"/>
    <n v="1.1666666666666667"/>
    <s v="Low Risk"/>
    <s v="Maintain Stock"/>
  </r>
  <r>
    <n v="668"/>
    <x v="73"/>
    <x v="4"/>
    <x v="0"/>
    <n v="286"/>
    <n v="121"/>
    <n v="91"/>
    <n v="4304.59"/>
    <n v="2530.67"/>
    <n v="66"/>
    <n v="1"/>
    <s v="2026-03-18"/>
    <n v="253"/>
    <n v="3"/>
    <n v="21"/>
    <s v="Yes"/>
    <x v="0"/>
    <n v="30"/>
    <n v="0.42307692307692307"/>
    <s v="High Risk"/>
    <s v="Apply Discount / Promotion"/>
  </r>
  <r>
    <n v="669"/>
    <x v="48"/>
    <x v="2"/>
    <x v="2"/>
    <n v="159"/>
    <n v="224"/>
    <n v="274"/>
    <n v="4124"/>
    <n v="3150.69"/>
    <n v="128"/>
    <n v="2"/>
    <s v="2026-03-03"/>
    <n v="168"/>
    <n v="2"/>
    <n v="36"/>
    <s v="No"/>
    <x v="0"/>
    <n v="-50"/>
    <n v="1.4088050314465408"/>
    <s v="Low Risk"/>
    <s v="Maintain Stock"/>
  </r>
  <r>
    <n v="670"/>
    <x v="34"/>
    <x v="1"/>
    <x v="0"/>
    <n v="205"/>
    <n v="86"/>
    <n v="129"/>
    <n v="758.7"/>
    <n v="431.94"/>
    <n v="82"/>
    <n v="9"/>
    <s v="2026-01-07"/>
    <n v="46"/>
    <n v="3"/>
    <n v="50"/>
    <s v="Yes"/>
    <x v="1"/>
    <n v="-43"/>
    <n v="0.4195121951219512"/>
    <s v="High Risk"/>
    <s v="Apply Discount / Promotion"/>
  </r>
  <r>
    <n v="671"/>
    <x v="94"/>
    <x v="2"/>
    <x v="0"/>
    <n v="433"/>
    <n v="139"/>
    <n v="164"/>
    <n v="2565.71"/>
    <n v="1921.04"/>
    <n v="51"/>
    <n v="10"/>
    <s v="2026-02-27"/>
    <n v="322"/>
    <n v="5"/>
    <n v="39"/>
    <s v="Yes"/>
    <x v="0"/>
    <n v="-25"/>
    <n v="0.32101616628175522"/>
    <s v="High Risk"/>
    <s v="Apply Discount / Promotion"/>
  </r>
  <r>
    <n v="672"/>
    <x v="23"/>
    <x v="2"/>
    <x v="2"/>
    <n v="213"/>
    <n v="11"/>
    <n v="58"/>
    <n v="772.5"/>
    <n v="415.15"/>
    <n v="46"/>
    <n v="3"/>
    <s v="2026-03-14"/>
    <n v="211"/>
    <n v="3"/>
    <n v="30"/>
    <s v="No"/>
    <x v="2"/>
    <n v="-47"/>
    <n v="5.1643192488262914E-2"/>
    <s v="High Risk"/>
    <s v="Apply Discount / Promotion"/>
  </r>
  <r>
    <n v="673"/>
    <x v="85"/>
    <x v="0"/>
    <x v="1"/>
    <n v="419"/>
    <n v="126"/>
    <n v="89"/>
    <n v="303.07"/>
    <n v="196.72"/>
    <n v="115"/>
    <n v="2"/>
    <s v="2026-02-28"/>
    <n v="364"/>
    <n v="5"/>
    <n v="42"/>
    <s v="Yes"/>
    <x v="0"/>
    <n v="37"/>
    <n v="0.30071599045346065"/>
    <s v="High Risk"/>
    <s v="Apply Discount / Promotion"/>
  </r>
  <r>
    <n v="674"/>
    <x v="89"/>
    <x v="1"/>
    <x v="3"/>
    <n v="150"/>
    <n v="123"/>
    <n v="79"/>
    <n v="3894.71"/>
    <n v="2362.17"/>
    <n v="30"/>
    <n v="7"/>
    <s v="2026-03-16"/>
    <n v="271"/>
    <n v="3"/>
    <n v="18"/>
    <s v="Yes"/>
    <x v="0"/>
    <n v="44"/>
    <n v="0.82"/>
    <s v="Medium Risk"/>
    <s v="Monitor Sales"/>
  </r>
  <r>
    <n v="675"/>
    <x v="16"/>
    <x v="1"/>
    <x v="2"/>
    <n v="294"/>
    <n v="271"/>
    <n v="296"/>
    <n v="831.76"/>
    <n v="567.02"/>
    <n v="73"/>
    <n v="3"/>
    <s v="2026-03-26"/>
    <n v="156"/>
    <n v="1"/>
    <n v="37"/>
    <s v="No"/>
    <x v="0"/>
    <n v="-25"/>
    <n v="0.92176870748299322"/>
    <s v="Medium Risk"/>
    <s v="Monitor Sales"/>
  </r>
  <r>
    <n v="676"/>
    <x v="82"/>
    <x v="2"/>
    <x v="3"/>
    <n v="331"/>
    <n v="85"/>
    <n v="76"/>
    <n v="3036.2"/>
    <n v="2264.4"/>
    <n v="60"/>
    <n v="10"/>
    <s v="2026-01-13"/>
    <n v="335"/>
    <n v="3"/>
    <n v="18"/>
    <s v="Yes"/>
    <x v="0"/>
    <n v="9"/>
    <n v="0.25679758308157102"/>
    <s v="High Risk"/>
    <s v="Apply Discount / Promotion"/>
  </r>
  <r>
    <n v="677"/>
    <x v="53"/>
    <x v="0"/>
    <x v="1"/>
    <n v="202"/>
    <n v="348"/>
    <n v="319"/>
    <n v="2790.78"/>
    <n v="1730.46"/>
    <n v="130"/>
    <n v="7"/>
    <s v="2026-03-28"/>
    <n v="206"/>
    <n v="2"/>
    <n v="30"/>
    <s v="No"/>
    <x v="2"/>
    <n v="29"/>
    <n v="1.7227722772277227"/>
    <s v="Low Risk"/>
    <s v="Maintain Stock"/>
  </r>
  <r>
    <n v="678"/>
    <x v="16"/>
    <x v="1"/>
    <x v="2"/>
    <n v="347"/>
    <n v="66"/>
    <n v="112"/>
    <n v="3032.49"/>
    <n v="1832.45"/>
    <n v="52"/>
    <n v="10"/>
    <s v="2026-01-27"/>
    <n v="318"/>
    <n v="3"/>
    <n v="44"/>
    <s v="Yes"/>
    <x v="2"/>
    <n v="-46"/>
    <n v="0.19020172910662825"/>
    <s v="High Risk"/>
    <s v="Apply Discount / Promotion"/>
  </r>
  <r>
    <n v="679"/>
    <x v="65"/>
    <x v="2"/>
    <x v="3"/>
    <n v="325"/>
    <n v="87"/>
    <n v="42"/>
    <n v="1255.5"/>
    <n v="916.76"/>
    <n v="68"/>
    <n v="13"/>
    <s v="2026-01-15"/>
    <n v="365"/>
    <n v="2"/>
    <n v="25"/>
    <s v="Yes"/>
    <x v="0"/>
    <n v="45"/>
    <n v="0.26769230769230767"/>
    <s v="High Risk"/>
    <s v="Apply Discount / Promotion"/>
  </r>
  <r>
    <n v="680"/>
    <x v="7"/>
    <x v="1"/>
    <x v="0"/>
    <n v="494"/>
    <n v="98"/>
    <n v="110"/>
    <n v="2912.78"/>
    <n v="2224.42"/>
    <n v="74"/>
    <n v="4"/>
    <s v="2026-02-20"/>
    <n v="53"/>
    <n v="2"/>
    <n v="21"/>
    <s v="Yes"/>
    <x v="1"/>
    <n v="-12"/>
    <n v="0.19838056680161945"/>
    <s v="High Risk"/>
    <s v="Apply Discount / Promotion"/>
  </r>
  <r>
    <n v="681"/>
    <x v="66"/>
    <x v="3"/>
    <x v="2"/>
    <n v="106"/>
    <n v="274"/>
    <n v="312"/>
    <n v="993.65"/>
    <n v="506.8"/>
    <n v="59"/>
    <n v="14"/>
    <s v="2026-01-27"/>
    <n v="72"/>
    <n v="4"/>
    <n v="24"/>
    <s v="Yes"/>
    <x v="2"/>
    <n v="-38"/>
    <n v="2.5849056603773586"/>
    <s v="Low Risk"/>
    <s v="Maintain Stock"/>
  </r>
  <r>
    <n v="682"/>
    <x v="79"/>
    <x v="1"/>
    <x v="3"/>
    <n v="368"/>
    <n v="74"/>
    <n v="87"/>
    <n v="240.35"/>
    <n v="159.31"/>
    <n v="113"/>
    <n v="5"/>
    <s v="2026-01-08"/>
    <n v="239"/>
    <n v="1"/>
    <n v="35"/>
    <s v="Yes"/>
    <x v="0"/>
    <n v="-13"/>
    <n v="0.20108695652173914"/>
    <s v="High Risk"/>
    <s v="Apply Discount / Promotion"/>
  </r>
  <r>
    <n v="683"/>
    <x v="30"/>
    <x v="4"/>
    <x v="3"/>
    <n v="188"/>
    <n v="94"/>
    <n v="65"/>
    <n v="856.76"/>
    <n v="574.83000000000004"/>
    <n v="105"/>
    <n v="8"/>
    <s v="2026-02-19"/>
    <n v="301"/>
    <n v="3"/>
    <n v="5"/>
    <s v="Yes"/>
    <x v="2"/>
    <n v="29"/>
    <n v="0.5"/>
    <s v="Medium Risk"/>
    <s v="Monitor Sales"/>
  </r>
  <r>
    <n v="684"/>
    <x v="51"/>
    <x v="3"/>
    <x v="3"/>
    <n v="339"/>
    <n v="335"/>
    <n v="290"/>
    <n v="3023.27"/>
    <n v="1819.55"/>
    <n v="112"/>
    <n v="13"/>
    <s v="2026-01-04"/>
    <n v="229"/>
    <n v="2"/>
    <n v="33"/>
    <s v="Yes"/>
    <x v="2"/>
    <n v="45"/>
    <n v="0.98820058997050142"/>
    <s v="Medium Risk"/>
    <s v="Monitor Sales"/>
  </r>
  <r>
    <n v="685"/>
    <x v="49"/>
    <x v="2"/>
    <x v="2"/>
    <n v="112"/>
    <n v="190"/>
    <n v="178"/>
    <n v="4370.78"/>
    <n v="2804.46"/>
    <n v="117"/>
    <n v="6"/>
    <s v="2026-02-16"/>
    <n v="144"/>
    <n v="5"/>
    <n v="23"/>
    <s v="No"/>
    <x v="2"/>
    <n v="12"/>
    <n v="1.6964285714285714"/>
    <s v="Low Risk"/>
    <s v="Maintain Stock"/>
  </r>
  <r>
    <n v="686"/>
    <x v="47"/>
    <x v="4"/>
    <x v="2"/>
    <n v="400"/>
    <n v="299"/>
    <n v="273"/>
    <n v="4707.76"/>
    <n v="2666.73"/>
    <n v="54"/>
    <n v="10"/>
    <s v="2026-01-21"/>
    <n v="77"/>
    <n v="1"/>
    <n v="50"/>
    <s v="No"/>
    <x v="2"/>
    <n v="26"/>
    <n v="0.74750000000000005"/>
    <s v="Medium Risk"/>
    <s v="Monitor Sales"/>
  </r>
  <r>
    <n v="687"/>
    <x v="73"/>
    <x v="0"/>
    <x v="2"/>
    <n v="149"/>
    <n v="245"/>
    <n v="267"/>
    <n v="1626.77"/>
    <n v="1198.6199999999999"/>
    <n v="121"/>
    <n v="6"/>
    <s v="2026-03-07"/>
    <n v="130"/>
    <n v="1"/>
    <n v="49"/>
    <s v="No"/>
    <x v="1"/>
    <n v="-22"/>
    <n v="1.6442953020134228"/>
    <s v="Low Risk"/>
    <s v="Maintain Stock"/>
  </r>
  <r>
    <n v="688"/>
    <x v="50"/>
    <x v="4"/>
    <x v="2"/>
    <n v="88"/>
    <n v="73"/>
    <n v="107"/>
    <n v="3565.05"/>
    <n v="2450.9299999999998"/>
    <n v="57"/>
    <n v="15"/>
    <s v="2026-03-15"/>
    <n v="196"/>
    <n v="2"/>
    <n v="24"/>
    <s v="No"/>
    <x v="1"/>
    <n v="-34"/>
    <n v="0.82954545454545459"/>
    <s v="Medium Risk"/>
    <s v="Monitor Sales"/>
  </r>
  <r>
    <n v="689"/>
    <x v="33"/>
    <x v="4"/>
    <x v="3"/>
    <n v="326"/>
    <n v="143"/>
    <n v="127"/>
    <n v="2093.89"/>
    <n v="1311.78"/>
    <n v="115"/>
    <n v="5"/>
    <s v="2026-01-14"/>
    <n v="216"/>
    <n v="1"/>
    <n v="7"/>
    <s v="No"/>
    <x v="2"/>
    <n v="16"/>
    <n v="0.43865030674846628"/>
    <s v="High Risk"/>
    <s v="Apply Discount / Promotion"/>
  </r>
  <r>
    <n v="690"/>
    <x v="0"/>
    <x v="0"/>
    <x v="1"/>
    <n v="92"/>
    <n v="208"/>
    <n v="255"/>
    <n v="3703.71"/>
    <n v="2080.67"/>
    <n v="46"/>
    <n v="4"/>
    <s v="2026-03-20"/>
    <n v="337"/>
    <n v="2"/>
    <n v="27"/>
    <s v="Yes"/>
    <x v="0"/>
    <n v="-47"/>
    <n v="2.2608695652173911"/>
    <s v="Low Risk"/>
    <s v="Maintain Stock"/>
  </r>
  <r>
    <n v="691"/>
    <x v="99"/>
    <x v="0"/>
    <x v="1"/>
    <n v="60"/>
    <n v="174"/>
    <n v="178"/>
    <n v="2607.0300000000002"/>
    <n v="1655.32"/>
    <n v="116"/>
    <n v="1"/>
    <s v="2026-02-14"/>
    <n v="149"/>
    <n v="1"/>
    <n v="10"/>
    <s v="Yes"/>
    <x v="2"/>
    <n v="-4"/>
    <n v="2.9"/>
    <s v="Low Risk"/>
    <s v="Maintain Stock"/>
  </r>
  <r>
    <n v="692"/>
    <x v="96"/>
    <x v="0"/>
    <x v="1"/>
    <n v="246"/>
    <n v="16"/>
    <n v="26"/>
    <n v="4642.42"/>
    <n v="2911.5"/>
    <n v="110"/>
    <n v="11"/>
    <s v="2026-02-17"/>
    <n v="348"/>
    <n v="3"/>
    <n v="22"/>
    <s v="No"/>
    <x v="2"/>
    <n v="-10"/>
    <n v="6.5040650406504072E-2"/>
    <s v="High Risk"/>
    <s v="Apply Discount / Promotion"/>
  </r>
  <r>
    <n v="693"/>
    <x v="44"/>
    <x v="0"/>
    <x v="3"/>
    <n v="233"/>
    <n v="295"/>
    <n v="305"/>
    <n v="2008.51"/>
    <n v="1583.85"/>
    <n v="95"/>
    <n v="6"/>
    <s v="2026-01-30"/>
    <n v="187"/>
    <n v="1"/>
    <n v="47"/>
    <s v="Yes"/>
    <x v="0"/>
    <n v="-10"/>
    <n v="1.2660944206008584"/>
    <s v="Low Risk"/>
    <s v="Maintain Stock"/>
  </r>
  <r>
    <n v="694"/>
    <x v="93"/>
    <x v="3"/>
    <x v="2"/>
    <n v="98"/>
    <n v="431"/>
    <n v="384"/>
    <n v="2600.34"/>
    <n v="1856.55"/>
    <n v="146"/>
    <n v="11"/>
    <s v="2026-03-26"/>
    <n v="205"/>
    <n v="1"/>
    <n v="22"/>
    <s v="No"/>
    <x v="2"/>
    <n v="47"/>
    <n v="4.3979591836734695"/>
    <s v="Low Risk"/>
    <s v="Maintain Stock"/>
  </r>
  <r>
    <n v="695"/>
    <x v="59"/>
    <x v="2"/>
    <x v="3"/>
    <n v="175"/>
    <n v="182"/>
    <n v="184"/>
    <n v="2604.42"/>
    <n v="1699.1"/>
    <n v="147"/>
    <n v="2"/>
    <s v="2026-03-18"/>
    <n v="75"/>
    <n v="4"/>
    <n v="24"/>
    <s v="Yes"/>
    <x v="2"/>
    <n v="-2"/>
    <n v="1.04"/>
    <s v="Low Risk"/>
    <s v="Maintain Stock"/>
  </r>
  <r>
    <n v="696"/>
    <x v="89"/>
    <x v="4"/>
    <x v="1"/>
    <n v="386"/>
    <n v="299"/>
    <n v="349"/>
    <n v="1171.02"/>
    <n v="588.23"/>
    <n v="98"/>
    <n v="10"/>
    <s v="2026-02-07"/>
    <n v="136"/>
    <n v="5"/>
    <n v="39"/>
    <s v="No"/>
    <x v="2"/>
    <n v="-50"/>
    <n v="0.77461139896373055"/>
    <s v="Medium Risk"/>
    <s v="Monitor Sales"/>
  </r>
  <r>
    <n v="697"/>
    <x v="31"/>
    <x v="2"/>
    <x v="2"/>
    <n v="38"/>
    <n v="318"/>
    <n v="298"/>
    <n v="551.67999999999995"/>
    <n v="318.63"/>
    <n v="131"/>
    <n v="7"/>
    <s v="2026-01-24"/>
    <n v="114"/>
    <n v="2"/>
    <n v="23"/>
    <s v="No"/>
    <x v="2"/>
    <n v="20"/>
    <n v="8.3684210526315788"/>
    <s v="Low Risk"/>
    <s v="Maintain Stock"/>
  </r>
  <r>
    <n v="698"/>
    <x v="48"/>
    <x v="2"/>
    <x v="2"/>
    <n v="123"/>
    <n v="123"/>
    <n v="125"/>
    <n v="363.58"/>
    <n v="235.6"/>
    <n v="93"/>
    <n v="7"/>
    <s v="2026-02-18"/>
    <n v="42"/>
    <n v="4"/>
    <n v="21"/>
    <s v="No"/>
    <x v="2"/>
    <n v="-2"/>
    <n v="1"/>
    <s v="Low Risk"/>
    <s v="Maintain Stock"/>
  </r>
  <r>
    <n v="699"/>
    <x v="0"/>
    <x v="1"/>
    <x v="1"/>
    <n v="407"/>
    <n v="324"/>
    <n v="370"/>
    <n v="1416.1"/>
    <n v="1079.97"/>
    <n v="58"/>
    <n v="3"/>
    <s v="2026-03-25"/>
    <n v="98"/>
    <n v="5"/>
    <n v="50"/>
    <s v="Yes"/>
    <x v="1"/>
    <n v="-46"/>
    <n v="0.7960687960687961"/>
    <s v="Medium Risk"/>
    <s v="Monitor Sales"/>
  </r>
  <r>
    <n v="700"/>
    <x v="14"/>
    <x v="4"/>
    <x v="3"/>
    <n v="254"/>
    <n v="311"/>
    <n v="354"/>
    <n v="2581.4499999999998"/>
    <n v="1373.22"/>
    <n v="62"/>
    <n v="15"/>
    <s v="2026-01-08"/>
    <n v="166"/>
    <n v="2"/>
    <n v="24"/>
    <s v="Yes"/>
    <x v="0"/>
    <n v="-43"/>
    <n v="1.2244094488188977"/>
    <s v="Low Risk"/>
    <s v="Maintain Stock"/>
  </r>
  <r>
    <n v="701"/>
    <x v="55"/>
    <x v="1"/>
    <x v="1"/>
    <n v="258"/>
    <n v="318"/>
    <n v="360"/>
    <n v="2934.47"/>
    <n v="2182.38"/>
    <n v="142"/>
    <n v="8"/>
    <s v="2026-01-18"/>
    <n v="346"/>
    <n v="3"/>
    <n v="19"/>
    <s v="Yes"/>
    <x v="2"/>
    <n v="-42"/>
    <n v="1.2325581395348837"/>
    <s v="Low Risk"/>
    <s v="Maintain Stock"/>
  </r>
  <r>
    <n v="702"/>
    <x v="58"/>
    <x v="3"/>
    <x v="2"/>
    <n v="338"/>
    <n v="344"/>
    <n v="318"/>
    <n v="3313.96"/>
    <n v="2097.92"/>
    <n v="64"/>
    <n v="13"/>
    <s v="2026-02-17"/>
    <n v="279"/>
    <n v="4"/>
    <n v="29"/>
    <s v="No"/>
    <x v="2"/>
    <n v="26"/>
    <n v="1.0177514792899409"/>
    <s v="Low Risk"/>
    <s v="Maintain Stock"/>
  </r>
  <r>
    <n v="703"/>
    <x v="83"/>
    <x v="3"/>
    <x v="1"/>
    <n v="277"/>
    <n v="118"/>
    <n v="150"/>
    <n v="4440.54"/>
    <n v="3037.22"/>
    <n v="31"/>
    <n v="4"/>
    <s v="2026-03-06"/>
    <n v="296"/>
    <n v="2"/>
    <n v="49"/>
    <s v="No"/>
    <x v="1"/>
    <n v="-32"/>
    <n v="0.4259927797833935"/>
    <s v="High Risk"/>
    <s v="Apply Discount / Promotion"/>
  </r>
  <r>
    <n v="704"/>
    <x v="89"/>
    <x v="3"/>
    <x v="1"/>
    <n v="217"/>
    <n v="238"/>
    <n v="268"/>
    <n v="1876.03"/>
    <n v="1330.22"/>
    <n v="107"/>
    <n v="13"/>
    <s v="2026-01-10"/>
    <n v="298"/>
    <n v="1"/>
    <n v="43"/>
    <s v="No"/>
    <x v="1"/>
    <n v="-30"/>
    <n v="1.096774193548387"/>
    <s v="Low Risk"/>
    <s v="Maintain Stock"/>
  </r>
  <r>
    <n v="705"/>
    <x v="53"/>
    <x v="4"/>
    <x v="3"/>
    <n v="464"/>
    <n v="235"/>
    <n v="270"/>
    <n v="1906.98"/>
    <n v="1033.19"/>
    <n v="129"/>
    <n v="6"/>
    <s v="2026-01-08"/>
    <n v="175"/>
    <n v="1"/>
    <n v="40"/>
    <s v="No"/>
    <x v="0"/>
    <n v="-35"/>
    <n v="0.50646551724137934"/>
    <s v="Medium Risk"/>
    <s v="Monitor Sales"/>
  </r>
  <r>
    <n v="706"/>
    <x v="56"/>
    <x v="1"/>
    <x v="0"/>
    <n v="162"/>
    <n v="368"/>
    <n v="391"/>
    <n v="3398.33"/>
    <n v="2618.67"/>
    <n v="82"/>
    <n v="8"/>
    <s v="2026-01-29"/>
    <n v="343"/>
    <n v="3"/>
    <n v="31"/>
    <s v="No"/>
    <x v="1"/>
    <n v="-23"/>
    <n v="2.2716049382716048"/>
    <s v="Low Risk"/>
    <s v="Maintain Stock"/>
  </r>
  <r>
    <n v="707"/>
    <x v="48"/>
    <x v="1"/>
    <x v="3"/>
    <n v="156"/>
    <n v="260"/>
    <n v="277"/>
    <n v="825.39"/>
    <n v="512.53"/>
    <n v="135"/>
    <n v="10"/>
    <s v="2026-02-13"/>
    <n v="91"/>
    <n v="4"/>
    <n v="13"/>
    <s v="No"/>
    <x v="1"/>
    <n v="-17"/>
    <n v="1.6666666666666667"/>
    <s v="Low Risk"/>
    <s v="Maintain Stock"/>
  </r>
  <r>
    <n v="708"/>
    <x v="30"/>
    <x v="1"/>
    <x v="3"/>
    <n v="150"/>
    <n v="390"/>
    <n v="348"/>
    <n v="323.44"/>
    <n v="240.34"/>
    <n v="79"/>
    <n v="9"/>
    <s v="2026-01-24"/>
    <n v="36"/>
    <n v="3"/>
    <n v="26"/>
    <s v="No"/>
    <x v="2"/>
    <n v="42"/>
    <n v="2.6"/>
    <s v="Low Risk"/>
    <s v="Maintain Stock"/>
  </r>
  <r>
    <n v="709"/>
    <x v="8"/>
    <x v="4"/>
    <x v="1"/>
    <n v="476"/>
    <n v="351"/>
    <n v="388"/>
    <n v="2131.31"/>
    <n v="1077.47"/>
    <n v="75"/>
    <n v="10"/>
    <s v="2026-03-15"/>
    <n v="134"/>
    <n v="4"/>
    <n v="43"/>
    <s v="No"/>
    <x v="0"/>
    <n v="-37"/>
    <n v="0.73739495798319332"/>
    <s v="Medium Risk"/>
    <s v="Monitor Sales"/>
  </r>
  <r>
    <n v="710"/>
    <x v="43"/>
    <x v="1"/>
    <x v="2"/>
    <n v="416"/>
    <n v="42"/>
    <n v="77"/>
    <n v="3097.44"/>
    <n v="2086.25"/>
    <n v="126"/>
    <n v="3"/>
    <s v="2026-01-10"/>
    <n v="191"/>
    <n v="1"/>
    <n v="15"/>
    <s v="No"/>
    <x v="1"/>
    <n v="-35"/>
    <n v="0.10096153846153846"/>
    <s v="High Risk"/>
    <s v="Apply Discount / Promotion"/>
  </r>
  <r>
    <n v="711"/>
    <x v="94"/>
    <x v="4"/>
    <x v="1"/>
    <n v="391"/>
    <n v="224"/>
    <n v="226"/>
    <n v="2453.2800000000002"/>
    <n v="1866.18"/>
    <n v="46"/>
    <n v="9"/>
    <s v="2026-01-24"/>
    <n v="162"/>
    <n v="4"/>
    <n v="5"/>
    <s v="Yes"/>
    <x v="0"/>
    <n v="-2"/>
    <n v="0.57289002557544755"/>
    <s v="Medium Risk"/>
    <s v="Monitor Sales"/>
  </r>
  <r>
    <n v="712"/>
    <x v="90"/>
    <x v="1"/>
    <x v="0"/>
    <n v="261"/>
    <n v="346"/>
    <n v="357"/>
    <n v="3544.67"/>
    <n v="2044.23"/>
    <n v="70"/>
    <n v="6"/>
    <s v="2026-03-20"/>
    <n v="215"/>
    <n v="2"/>
    <n v="8"/>
    <s v="Yes"/>
    <x v="1"/>
    <n v="-11"/>
    <n v="1.3256704980842913"/>
    <s v="Low Risk"/>
    <s v="Maintain Stock"/>
  </r>
  <r>
    <n v="713"/>
    <x v="47"/>
    <x v="0"/>
    <x v="0"/>
    <n v="85"/>
    <n v="95"/>
    <n v="128"/>
    <n v="2529.8200000000002"/>
    <n v="1656"/>
    <n v="60"/>
    <n v="13"/>
    <s v="2026-01-19"/>
    <n v="36"/>
    <n v="4"/>
    <n v="30"/>
    <s v="No"/>
    <x v="2"/>
    <n v="-33"/>
    <n v="1.1176470588235294"/>
    <s v="Low Risk"/>
    <s v="Maintain Stock"/>
  </r>
  <r>
    <n v="714"/>
    <x v="74"/>
    <x v="0"/>
    <x v="2"/>
    <n v="318"/>
    <n v="70"/>
    <n v="87"/>
    <n v="3191.28"/>
    <n v="1642.22"/>
    <n v="77"/>
    <n v="7"/>
    <s v="2026-01-11"/>
    <n v="115"/>
    <n v="5"/>
    <n v="27"/>
    <s v="No"/>
    <x v="0"/>
    <n v="-17"/>
    <n v="0.22012578616352202"/>
    <s v="High Risk"/>
    <s v="Apply Discount / Promotion"/>
  </r>
  <r>
    <n v="715"/>
    <x v="63"/>
    <x v="2"/>
    <x v="0"/>
    <n v="42"/>
    <n v="0"/>
    <n v="13"/>
    <n v="2393.8000000000002"/>
    <n v="1561.06"/>
    <n v="142"/>
    <n v="14"/>
    <s v="2026-03-03"/>
    <n v="212"/>
    <n v="3"/>
    <n v="37"/>
    <s v="No"/>
    <x v="2"/>
    <n v="-13"/>
    <n v="0"/>
    <s v="High Risk"/>
    <s v="Apply Discount / Promotion"/>
  </r>
  <r>
    <n v="716"/>
    <x v="10"/>
    <x v="0"/>
    <x v="2"/>
    <n v="99"/>
    <n v="307"/>
    <n v="356"/>
    <n v="622.53"/>
    <n v="414.87"/>
    <n v="110"/>
    <n v="15"/>
    <s v="2026-02-10"/>
    <n v="117"/>
    <n v="1"/>
    <n v="38"/>
    <s v="No"/>
    <x v="2"/>
    <n v="-49"/>
    <n v="3.1010101010101012"/>
    <s v="Low Risk"/>
    <s v="Maintain Stock"/>
  </r>
  <r>
    <n v="717"/>
    <x v="67"/>
    <x v="1"/>
    <x v="0"/>
    <n v="493"/>
    <n v="296"/>
    <n v="272"/>
    <n v="4324.3500000000004"/>
    <n v="3121.87"/>
    <n v="34"/>
    <n v="2"/>
    <s v="2026-02-15"/>
    <n v="258"/>
    <n v="4"/>
    <n v="4"/>
    <s v="No"/>
    <x v="0"/>
    <n v="24"/>
    <n v="0.60040567951318458"/>
    <s v="Medium Risk"/>
    <s v="Monitor Sales"/>
  </r>
  <r>
    <n v="718"/>
    <x v="73"/>
    <x v="0"/>
    <x v="1"/>
    <n v="349"/>
    <n v="315"/>
    <n v="286"/>
    <n v="2122.87"/>
    <n v="1496.97"/>
    <n v="41"/>
    <n v="1"/>
    <s v="2026-02-08"/>
    <n v="293"/>
    <n v="1"/>
    <n v="30"/>
    <s v="No"/>
    <x v="2"/>
    <n v="29"/>
    <n v="0.90257879656160456"/>
    <s v="Medium Risk"/>
    <s v="Monitor Sales"/>
  </r>
  <r>
    <n v="719"/>
    <x v="29"/>
    <x v="2"/>
    <x v="2"/>
    <n v="81"/>
    <n v="223"/>
    <n v="220"/>
    <n v="977.86"/>
    <n v="672.82"/>
    <n v="108"/>
    <n v="3"/>
    <s v="2026-03-24"/>
    <n v="276"/>
    <n v="5"/>
    <n v="5"/>
    <s v="No"/>
    <x v="1"/>
    <n v="3"/>
    <n v="2.7530864197530862"/>
    <s v="Low Risk"/>
    <s v="Maintain Stock"/>
  </r>
  <r>
    <n v="720"/>
    <x v="77"/>
    <x v="4"/>
    <x v="0"/>
    <n v="22"/>
    <n v="83"/>
    <n v="124"/>
    <n v="1053.67"/>
    <n v="555.32000000000005"/>
    <n v="103"/>
    <n v="8"/>
    <s v="2026-02-25"/>
    <n v="189"/>
    <n v="2"/>
    <n v="47"/>
    <s v="No"/>
    <x v="1"/>
    <n v="-41"/>
    <n v="3.7727272727272729"/>
    <s v="Low Risk"/>
    <s v="Maintain Stock"/>
  </r>
  <r>
    <n v="721"/>
    <x v="1"/>
    <x v="2"/>
    <x v="3"/>
    <n v="377"/>
    <n v="333"/>
    <n v="317"/>
    <n v="4706.96"/>
    <n v="3238.02"/>
    <n v="32"/>
    <n v="5"/>
    <s v="2026-03-25"/>
    <n v="192"/>
    <n v="1"/>
    <n v="23"/>
    <s v="Yes"/>
    <x v="2"/>
    <n v="16"/>
    <n v="0.88328912466843501"/>
    <s v="Medium Risk"/>
    <s v="Monitor Sales"/>
  </r>
  <r>
    <n v="722"/>
    <x v="43"/>
    <x v="4"/>
    <x v="1"/>
    <n v="296"/>
    <n v="113"/>
    <n v="162"/>
    <n v="2659.87"/>
    <n v="2049.88"/>
    <n v="148"/>
    <n v="11"/>
    <s v="2026-02-12"/>
    <n v="92"/>
    <n v="4"/>
    <n v="9"/>
    <s v="Yes"/>
    <x v="0"/>
    <n v="-49"/>
    <n v="0.38175675675675674"/>
    <s v="High Risk"/>
    <s v="Apply Discount / Promotion"/>
  </r>
  <r>
    <n v="723"/>
    <x v="75"/>
    <x v="2"/>
    <x v="2"/>
    <n v="500"/>
    <n v="249"/>
    <n v="225"/>
    <n v="2479.2199999999998"/>
    <n v="1325.18"/>
    <n v="125"/>
    <n v="14"/>
    <s v="2026-03-14"/>
    <n v="178"/>
    <n v="1"/>
    <n v="10"/>
    <s v="Yes"/>
    <x v="1"/>
    <n v="24"/>
    <n v="0.498"/>
    <s v="High Risk"/>
    <s v="Apply Discount / Promotion"/>
  </r>
  <r>
    <n v="724"/>
    <x v="68"/>
    <x v="4"/>
    <x v="1"/>
    <n v="127"/>
    <n v="323"/>
    <n v="364"/>
    <n v="2178.38"/>
    <n v="1089.6300000000001"/>
    <n v="63"/>
    <n v="10"/>
    <s v="2026-03-09"/>
    <n v="279"/>
    <n v="5"/>
    <n v="0"/>
    <s v="Yes"/>
    <x v="1"/>
    <n v="-41"/>
    <n v="2.5433070866141732"/>
    <s v="Low Risk"/>
    <s v="Maintain Stock"/>
  </r>
  <r>
    <n v="725"/>
    <x v="68"/>
    <x v="3"/>
    <x v="0"/>
    <n v="266"/>
    <n v="285"/>
    <n v="266"/>
    <n v="2799.87"/>
    <n v="2144.92"/>
    <n v="66"/>
    <n v="3"/>
    <s v="2026-02-10"/>
    <n v="355"/>
    <n v="1"/>
    <n v="8"/>
    <s v="Yes"/>
    <x v="1"/>
    <n v="19"/>
    <n v="1.0714285714285714"/>
    <s v="Low Risk"/>
    <s v="Maintain Stock"/>
  </r>
  <r>
    <n v="726"/>
    <x v="57"/>
    <x v="2"/>
    <x v="3"/>
    <n v="320"/>
    <n v="379"/>
    <n v="375"/>
    <n v="207.86"/>
    <n v="120.83"/>
    <n v="104"/>
    <n v="1"/>
    <s v="2026-03-08"/>
    <n v="306"/>
    <n v="1"/>
    <n v="26"/>
    <s v="No"/>
    <x v="2"/>
    <n v="4"/>
    <n v="1.184375"/>
    <s v="Low Risk"/>
    <s v="Maintain Stock"/>
  </r>
  <r>
    <n v="727"/>
    <x v="81"/>
    <x v="0"/>
    <x v="3"/>
    <n v="360"/>
    <n v="426"/>
    <n v="378"/>
    <n v="4536.41"/>
    <n v="3181.03"/>
    <n v="122"/>
    <n v="11"/>
    <s v="2026-01-27"/>
    <n v="109"/>
    <n v="1"/>
    <n v="36"/>
    <s v="Yes"/>
    <x v="1"/>
    <n v="48"/>
    <n v="1.1833333333333333"/>
    <s v="Low Risk"/>
    <s v="Maintain Stock"/>
  </r>
  <r>
    <n v="728"/>
    <x v="89"/>
    <x v="1"/>
    <x v="0"/>
    <n v="333"/>
    <n v="369"/>
    <n v="387"/>
    <n v="577.91999999999996"/>
    <n v="305.69"/>
    <n v="91"/>
    <n v="15"/>
    <s v="2026-01-07"/>
    <n v="203"/>
    <n v="1"/>
    <n v="36"/>
    <s v="No"/>
    <x v="2"/>
    <n v="-18"/>
    <n v="1.1081081081081081"/>
    <s v="Low Risk"/>
    <s v="Maintain Stock"/>
  </r>
  <r>
    <n v="729"/>
    <x v="19"/>
    <x v="3"/>
    <x v="1"/>
    <n v="253"/>
    <n v="136"/>
    <n v="102"/>
    <n v="3449.72"/>
    <n v="1791.08"/>
    <n v="70"/>
    <n v="9"/>
    <s v="2026-02-26"/>
    <n v="325"/>
    <n v="2"/>
    <n v="44"/>
    <s v="Yes"/>
    <x v="0"/>
    <n v="34"/>
    <n v="0.53754940711462451"/>
    <s v="Medium Risk"/>
    <s v="Monitor Sales"/>
  </r>
  <r>
    <n v="730"/>
    <x v="31"/>
    <x v="1"/>
    <x v="3"/>
    <n v="255"/>
    <n v="424"/>
    <n v="396"/>
    <n v="2797.29"/>
    <n v="1938.7"/>
    <n v="53"/>
    <n v="3"/>
    <s v="2026-01-02"/>
    <n v="132"/>
    <n v="4"/>
    <n v="31"/>
    <s v="Yes"/>
    <x v="0"/>
    <n v="28"/>
    <n v="1.6627450980392158"/>
    <s v="Low Risk"/>
    <s v="Maintain Stock"/>
  </r>
  <r>
    <n v="731"/>
    <x v="73"/>
    <x v="3"/>
    <x v="3"/>
    <n v="487"/>
    <n v="314"/>
    <n v="356"/>
    <n v="2532.1"/>
    <n v="1826.84"/>
    <n v="139"/>
    <n v="5"/>
    <s v="2026-02-08"/>
    <n v="88"/>
    <n v="5"/>
    <n v="2"/>
    <s v="No"/>
    <x v="1"/>
    <n v="-42"/>
    <n v="0.64476386036960986"/>
    <s v="Medium Risk"/>
    <s v="Monitor Sales"/>
  </r>
  <r>
    <n v="732"/>
    <x v="91"/>
    <x v="2"/>
    <x v="3"/>
    <n v="259"/>
    <n v="200"/>
    <n v="216"/>
    <n v="2589.31"/>
    <n v="1699.21"/>
    <n v="97"/>
    <n v="10"/>
    <s v="2026-01-23"/>
    <n v="254"/>
    <n v="1"/>
    <n v="23"/>
    <s v="No"/>
    <x v="2"/>
    <n v="-16"/>
    <n v="0.77220077220077221"/>
    <s v="Medium Risk"/>
    <s v="Monitor Sales"/>
  </r>
  <r>
    <n v="733"/>
    <x v="60"/>
    <x v="2"/>
    <x v="2"/>
    <n v="48"/>
    <n v="32"/>
    <n v="22"/>
    <n v="3490.29"/>
    <n v="2087.65"/>
    <n v="65"/>
    <n v="13"/>
    <s v="2026-01-06"/>
    <n v="342"/>
    <n v="3"/>
    <n v="9"/>
    <s v="No"/>
    <x v="0"/>
    <n v="10"/>
    <n v="0.66666666666666663"/>
    <s v="Medium Risk"/>
    <s v="Monitor Sales"/>
  </r>
  <r>
    <n v="734"/>
    <x v="29"/>
    <x v="2"/>
    <x v="1"/>
    <n v="32"/>
    <n v="77"/>
    <n v="60"/>
    <n v="968.61"/>
    <n v="664.26"/>
    <n v="114"/>
    <n v="8"/>
    <s v="2026-02-08"/>
    <n v="310"/>
    <n v="2"/>
    <n v="41"/>
    <s v="No"/>
    <x v="2"/>
    <n v="17"/>
    <n v="2.40625"/>
    <s v="Low Risk"/>
    <s v="Maintain Stock"/>
  </r>
  <r>
    <n v="735"/>
    <x v="37"/>
    <x v="4"/>
    <x v="3"/>
    <n v="370"/>
    <n v="258"/>
    <n v="292"/>
    <n v="4624.76"/>
    <n v="2760.25"/>
    <n v="57"/>
    <n v="13"/>
    <s v="2026-02-28"/>
    <n v="78"/>
    <n v="4"/>
    <n v="16"/>
    <s v="Yes"/>
    <x v="0"/>
    <n v="-34"/>
    <n v="0.69729729729729728"/>
    <s v="Medium Risk"/>
    <s v="Monitor Sales"/>
  </r>
  <r>
    <n v="736"/>
    <x v="43"/>
    <x v="3"/>
    <x v="1"/>
    <n v="450"/>
    <n v="236"/>
    <n v="200"/>
    <n v="4432.55"/>
    <n v="3332.71"/>
    <n v="75"/>
    <n v="3"/>
    <s v="2026-03-13"/>
    <n v="173"/>
    <n v="3"/>
    <n v="33"/>
    <s v="Yes"/>
    <x v="0"/>
    <n v="36"/>
    <n v="0.52444444444444449"/>
    <s v="Medium Risk"/>
    <s v="Monitor Sales"/>
  </r>
  <r>
    <n v="737"/>
    <x v="31"/>
    <x v="0"/>
    <x v="1"/>
    <n v="199"/>
    <n v="32"/>
    <n v="71"/>
    <n v="3136.39"/>
    <n v="1659.33"/>
    <n v="75"/>
    <n v="1"/>
    <s v="2026-03-01"/>
    <n v="236"/>
    <n v="3"/>
    <n v="16"/>
    <s v="Yes"/>
    <x v="2"/>
    <n v="-39"/>
    <n v="0.16080402010050251"/>
    <s v="High Risk"/>
    <s v="Apply Discount / Promotion"/>
  </r>
  <r>
    <n v="738"/>
    <x v="39"/>
    <x v="4"/>
    <x v="0"/>
    <n v="470"/>
    <n v="169"/>
    <n v="180"/>
    <n v="2370.2399999999998"/>
    <n v="1718.04"/>
    <n v="33"/>
    <n v="6"/>
    <s v="2026-02-14"/>
    <n v="170"/>
    <n v="3"/>
    <n v="48"/>
    <s v="No"/>
    <x v="2"/>
    <n v="-11"/>
    <n v="0.3595744680851064"/>
    <s v="High Risk"/>
    <s v="Apply Discount / Promotion"/>
  </r>
  <r>
    <n v="739"/>
    <x v="81"/>
    <x v="3"/>
    <x v="3"/>
    <n v="48"/>
    <n v="366"/>
    <n v="369"/>
    <n v="1184.3800000000001"/>
    <n v="693.18"/>
    <n v="92"/>
    <n v="9"/>
    <s v="2026-03-07"/>
    <n v="181"/>
    <n v="1"/>
    <n v="33"/>
    <s v="No"/>
    <x v="1"/>
    <n v="-3"/>
    <n v="7.625"/>
    <s v="Low Risk"/>
    <s v="Maintain Stock"/>
  </r>
  <r>
    <n v="740"/>
    <x v="31"/>
    <x v="4"/>
    <x v="2"/>
    <n v="289"/>
    <n v="147"/>
    <n v="145"/>
    <n v="3645.17"/>
    <n v="2410.73"/>
    <n v="89"/>
    <n v="3"/>
    <s v="2026-01-08"/>
    <n v="50"/>
    <n v="4"/>
    <n v="17"/>
    <s v="Yes"/>
    <x v="0"/>
    <n v="2"/>
    <n v="0.50865051903114189"/>
    <s v="Medium Risk"/>
    <s v="Monitor Sales"/>
  </r>
  <r>
    <n v="741"/>
    <x v="11"/>
    <x v="0"/>
    <x v="1"/>
    <n v="480"/>
    <n v="334"/>
    <n v="324"/>
    <n v="767.16"/>
    <n v="388.21"/>
    <n v="122"/>
    <n v="11"/>
    <s v="2026-02-20"/>
    <n v="251"/>
    <n v="3"/>
    <n v="48"/>
    <s v="Yes"/>
    <x v="1"/>
    <n v="10"/>
    <n v="0.6958333333333333"/>
    <s v="Medium Risk"/>
    <s v="Monitor Sales"/>
  </r>
  <r>
    <n v="742"/>
    <x v="58"/>
    <x v="1"/>
    <x v="0"/>
    <n v="78"/>
    <n v="336"/>
    <n v="374"/>
    <n v="4455.17"/>
    <n v="3496.02"/>
    <n v="79"/>
    <n v="1"/>
    <s v="2026-03-05"/>
    <n v="291"/>
    <n v="4"/>
    <n v="21"/>
    <s v="Yes"/>
    <x v="0"/>
    <n v="-38"/>
    <n v="4.3076923076923075"/>
    <s v="Low Risk"/>
    <s v="Maintain Stock"/>
  </r>
  <r>
    <n v="743"/>
    <x v="60"/>
    <x v="1"/>
    <x v="1"/>
    <n v="466"/>
    <n v="251"/>
    <n v="261"/>
    <n v="2539.15"/>
    <n v="1276.49"/>
    <n v="110"/>
    <n v="13"/>
    <s v="2025-12-29"/>
    <n v="248"/>
    <n v="3"/>
    <n v="21"/>
    <s v="No"/>
    <x v="1"/>
    <n v="-10"/>
    <n v="0.53862660944206009"/>
    <s v="Medium Risk"/>
    <s v="Monitor Sales"/>
  </r>
  <r>
    <n v="744"/>
    <x v="90"/>
    <x v="4"/>
    <x v="3"/>
    <n v="234"/>
    <n v="65"/>
    <n v="48"/>
    <n v="2281.5300000000002"/>
    <n v="1800.27"/>
    <n v="110"/>
    <n v="9"/>
    <s v="2026-01-18"/>
    <n v="272"/>
    <n v="5"/>
    <n v="43"/>
    <s v="No"/>
    <x v="0"/>
    <n v="17"/>
    <n v="0.27777777777777779"/>
    <s v="High Risk"/>
    <s v="Apply Discount / Promotion"/>
  </r>
  <r>
    <n v="745"/>
    <x v="86"/>
    <x v="2"/>
    <x v="3"/>
    <n v="93"/>
    <n v="77"/>
    <n v="64"/>
    <n v="2427.3000000000002"/>
    <n v="1886.28"/>
    <n v="49"/>
    <n v="13"/>
    <s v="2026-01-11"/>
    <n v="69"/>
    <n v="2"/>
    <n v="37"/>
    <s v="No"/>
    <x v="1"/>
    <n v="13"/>
    <n v="0.82795698924731187"/>
    <s v="Medium Risk"/>
    <s v="Monitor Sales"/>
  </r>
  <r>
    <n v="746"/>
    <x v="79"/>
    <x v="2"/>
    <x v="3"/>
    <n v="249"/>
    <n v="23"/>
    <n v="30"/>
    <n v="3904.52"/>
    <n v="2220.87"/>
    <n v="33"/>
    <n v="15"/>
    <s v="2026-03-22"/>
    <n v="159"/>
    <n v="5"/>
    <n v="49"/>
    <s v="No"/>
    <x v="0"/>
    <n v="-7"/>
    <n v="9.2369477911646583E-2"/>
    <s v="High Risk"/>
    <s v="Apply Discount / Promotion"/>
  </r>
  <r>
    <n v="747"/>
    <x v="39"/>
    <x v="1"/>
    <x v="3"/>
    <n v="356"/>
    <n v="44"/>
    <n v="12"/>
    <n v="857.48"/>
    <n v="520.08000000000004"/>
    <n v="141"/>
    <n v="14"/>
    <s v="2026-03-03"/>
    <n v="70"/>
    <n v="1"/>
    <n v="34"/>
    <s v="No"/>
    <x v="0"/>
    <n v="32"/>
    <n v="0.12359550561797752"/>
    <s v="High Risk"/>
    <s v="Apply Discount / Promotion"/>
  </r>
  <r>
    <n v="748"/>
    <x v="29"/>
    <x v="0"/>
    <x v="2"/>
    <n v="326"/>
    <n v="342"/>
    <n v="390"/>
    <n v="311.88"/>
    <n v="237.35"/>
    <n v="82"/>
    <n v="1"/>
    <s v="2026-03-01"/>
    <n v="179"/>
    <n v="2"/>
    <n v="47"/>
    <s v="Yes"/>
    <x v="1"/>
    <n v="-48"/>
    <n v="1.0490797546012269"/>
    <s v="Low Risk"/>
    <s v="Maintain Stock"/>
  </r>
  <r>
    <n v="749"/>
    <x v="86"/>
    <x v="1"/>
    <x v="0"/>
    <n v="460"/>
    <n v="113"/>
    <n v="98"/>
    <n v="4309.1000000000004"/>
    <n v="2797.26"/>
    <n v="50"/>
    <n v="8"/>
    <s v="2026-01-21"/>
    <n v="338"/>
    <n v="4"/>
    <n v="44"/>
    <s v="Yes"/>
    <x v="1"/>
    <n v="15"/>
    <n v="0.24565217391304348"/>
    <s v="High Risk"/>
    <s v="Apply Discount / Promotion"/>
  </r>
  <r>
    <n v="750"/>
    <x v="22"/>
    <x v="2"/>
    <x v="0"/>
    <n v="317"/>
    <n v="189"/>
    <n v="164"/>
    <n v="1024.1500000000001"/>
    <n v="649.48"/>
    <n v="54"/>
    <n v="10"/>
    <s v="2026-03-26"/>
    <n v="196"/>
    <n v="1"/>
    <n v="36"/>
    <s v="No"/>
    <x v="1"/>
    <n v="25"/>
    <n v="0.59621451104100942"/>
    <s v="Medium Risk"/>
    <s v="Monitor Sales"/>
  </r>
  <r>
    <n v="751"/>
    <x v="74"/>
    <x v="4"/>
    <x v="2"/>
    <n v="205"/>
    <n v="78"/>
    <n v="40"/>
    <n v="4547.18"/>
    <n v="3107.22"/>
    <n v="146"/>
    <n v="13"/>
    <s v="2026-02-02"/>
    <n v="124"/>
    <n v="2"/>
    <n v="35"/>
    <s v="Yes"/>
    <x v="2"/>
    <n v="38"/>
    <n v="0.38048780487804879"/>
    <s v="High Risk"/>
    <s v="Apply Discount / Promotion"/>
  </r>
  <r>
    <n v="752"/>
    <x v="66"/>
    <x v="1"/>
    <x v="0"/>
    <n v="183"/>
    <n v="167"/>
    <n v="198"/>
    <n v="4175.8599999999997"/>
    <n v="2283.66"/>
    <n v="81"/>
    <n v="6"/>
    <s v="2026-03-20"/>
    <n v="273"/>
    <n v="3"/>
    <n v="33"/>
    <s v="Yes"/>
    <x v="1"/>
    <n v="-31"/>
    <n v="0.91256830601092898"/>
    <s v="Medium Risk"/>
    <s v="Monitor Sales"/>
  </r>
  <r>
    <n v="753"/>
    <x v="68"/>
    <x v="1"/>
    <x v="2"/>
    <n v="328"/>
    <n v="389"/>
    <n v="387"/>
    <n v="3485.2"/>
    <n v="2466.15"/>
    <n v="139"/>
    <n v="12"/>
    <s v="2026-03-24"/>
    <n v="309"/>
    <n v="3"/>
    <n v="36"/>
    <s v="Yes"/>
    <x v="1"/>
    <n v="2"/>
    <n v="1.1859756097560976"/>
    <s v="Low Risk"/>
    <s v="Maintain Stock"/>
  </r>
  <r>
    <n v="754"/>
    <x v="53"/>
    <x v="2"/>
    <x v="2"/>
    <n v="359"/>
    <n v="146"/>
    <n v="192"/>
    <n v="3831.87"/>
    <n v="2318.46"/>
    <n v="74"/>
    <n v="6"/>
    <s v="2026-02-19"/>
    <n v="325"/>
    <n v="3"/>
    <n v="49"/>
    <s v="No"/>
    <x v="0"/>
    <n v="-46"/>
    <n v="0.40668523676880225"/>
    <s v="High Risk"/>
    <s v="Apply Discount / Promotion"/>
  </r>
  <r>
    <n v="755"/>
    <x v="72"/>
    <x v="2"/>
    <x v="1"/>
    <n v="166"/>
    <n v="254"/>
    <n v="267"/>
    <n v="2531.91"/>
    <n v="1642.46"/>
    <n v="86"/>
    <n v="9"/>
    <s v="2026-02-17"/>
    <n v="135"/>
    <n v="3"/>
    <n v="34"/>
    <s v="Yes"/>
    <x v="1"/>
    <n v="-13"/>
    <n v="1.5301204819277108"/>
    <s v="Low Risk"/>
    <s v="Maintain Stock"/>
  </r>
  <r>
    <n v="756"/>
    <x v="73"/>
    <x v="3"/>
    <x v="3"/>
    <n v="238"/>
    <n v="359"/>
    <n v="383"/>
    <n v="4381.92"/>
    <n v="3237.02"/>
    <n v="53"/>
    <n v="1"/>
    <s v="2026-03-23"/>
    <n v="112"/>
    <n v="3"/>
    <n v="5"/>
    <s v="Yes"/>
    <x v="0"/>
    <n v="-24"/>
    <n v="1.5084033613445378"/>
    <s v="Low Risk"/>
    <s v="Maintain Stock"/>
  </r>
  <r>
    <n v="757"/>
    <x v="91"/>
    <x v="3"/>
    <x v="2"/>
    <n v="334"/>
    <n v="168"/>
    <n v="213"/>
    <n v="530.26"/>
    <n v="287.87"/>
    <n v="52"/>
    <n v="9"/>
    <s v="2026-03-09"/>
    <n v="162"/>
    <n v="2"/>
    <n v="20"/>
    <s v="Yes"/>
    <x v="1"/>
    <n v="-45"/>
    <n v="0.50299401197604787"/>
    <s v="Medium Risk"/>
    <s v="Monitor Sales"/>
  </r>
  <r>
    <n v="758"/>
    <x v="67"/>
    <x v="3"/>
    <x v="2"/>
    <n v="165"/>
    <n v="75"/>
    <n v="95"/>
    <n v="976.94"/>
    <n v="704.95"/>
    <n v="58"/>
    <n v="10"/>
    <s v="2026-01-03"/>
    <n v="265"/>
    <n v="1"/>
    <n v="30"/>
    <s v="Yes"/>
    <x v="0"/>
    <n v="-20"/>
    <n v="0.45454545454545453"/>
    <s v="High Risk"/>
    <s v="Apply Discount / Promotion"/>
  </r>
  <r>
    <n v="759"/>
    <x v="68"/>
    <x v="0"/>
    <x v="0"/>
    <n v="374"/>
    <n v="131"/>
    <n v="168"/>
    <n v="4466.8900000000003"/>
    <n v="2885.87"/>
    <n v="80"/>
    <n v="2"/>
    <s v="2026-03-19"/>
    <n v="56"/>
    <n v="1"/>
    <n v="49"/>
    <s v="Yes"/>
    <x v="0"/>
    <n v="-37"/>
    <n v="0.3502673796791444"/>
    <s v="High Risk"/>
    <s v="Apply Discount / Promotion"/>
  </r>
  <r>
    <n v="760"/>
    <x v="29"/>
    <x v="3"/>
    <x v="2"/>
    <n v="223"/>
    <n v="409"/>
    <n v="380"/>
    <n v="4107.17"/>
    <n v="3045.57"/>
    <n v="74"/>
    <n v="5"/>
    <s v="2026-03-10"/>
    <n v="348"/>
    <n v="3"/>
    <n v="30"/>
    <s v="No"/>
    <x v="0"/>
    <n v="29"/>
    <n v="1.8340807174887892"/>
    <s v="Low Risk"/>
    <s v="Maintain Stock"/>
  </r>
  <r>
    <n v="761"/>
    <x v="72"/>
    <x v="2"/>
    <x v="0"/>
    <n v="495"/>
    <n v="219"/>
    <n v="248"/>
    <n v="1203.94"/>
    <n v="896.49"/>
    <n v="59"/>
    <n v="3"/>
    <s v="2026-03-26"/>
    <n v="176"/>
    <n v="3"/>
    <n v="43"/>
    <s v="Yes"/>
    <x v="1"/>
    <n v="-29"/>
    <n v="0.44242424242424244"/>
    <s v="High Risk"/>
    <s v="Apply Discount / Promotion"/>
  </r>
  <r>
    <n v="762"/>
    <x v="32"/>
    <x v="3"/>
    <x v="3"/>
    <n v="468"/>
    <n v="284"/>
    <n v="244"/>
    <n v="3319.51"/>
    <n v="1844.94"/>
    <n v="126"/>
    <n v="15"/>
    <s v="2026-02-15"/>
    <n v="306"/>
    <n v="1"/>
    <n v="7"/>
    <s v="Yes"/>
    <x v="0"/>
    <n v="40"/>
    <n v="0.60683760683760679"/>
    <s v="Medium Risk"/>
    <s v="Monitor Sales"/>
  </r>
  <r>
    <n v="763"/>
    <x v="81"/>
    <x v="4"/>
    <x v="0"/>
    <n v="384"/>
    <n v="170"/>
    <n v="144"/>
    <n v="182.22"/>
    <n v="108.68"/>
    <n v="116"/>
    <n v="13"/>
    <s v="2026-02-04"/>
    <n v="309"/>
    <n v="4"/>
    <n v="17"/>
    <s v="No"/>
    <x v="1"/>
    <n v="26"/>
    <n v="0.44270833333333331"/>
    <s v="High Risk"/>
    <s v="Apply Discount / Promotion"/>
  </r>
  <r>
    <n v="764"/>
    <x v="8"/>
    <x v="1"/>
    <x v="1"/>
    <n v="122"/>
    <n v="429"/>
    <n v="388"/>
    <n v="265.38"/>
    <n v="166.57"/>
    <n v="119"/>
    <n v="9"/>
    <s v="2025-12-29"/>
    <n v="151"/>
    <n v="5"/>
    <n v="30"/>
    <s v="No"/>
    <x v="1"/>
    <n v="41"/>
    <n v="3.5163934426229506"/>
    <s v="Low Risk"/>
    <s v="Maintain Stock"/>
  </r>
  <r>
    <n v="765"/>
    <x v="62"/>
    <x v="4"/>
    <x v="0"/>
    <n v="335"/>
    <n v="313"/>
    <n v="320"/>
    <n v="3600.36"/>
    <n v="2271.3000000000002"/>
    <n v="149"/>
    <n v="9"/>
    <s v="2026-01-03"/>
    <n v="157"/>
    <n v="4"/>
    <n v="4"/>
    <s v="No"/>
    <x v="1"/>
    <n v="-7"/>
    <n v="0.93432835820895521"/>
    <s v="Medium Risk"/>
    <s v="Monitor Sales"/>
  </r>
  <r>
    <n v="766"/>
    <x v="42"/>
    <x v="1"/>
    <x v="0"/>
    <n v="141"/>
    <n v="386"/>
    <n v="356"/>
    <n v="2365.11"/>
    <n v="1671.14"/>
    <n v="114"/>
    <n v="12"/>
    <s v="2026-01-13"/>
    <n v="348"/>
    <n v="5"/>
    <n v="14"/>
    <s v="Yes"/>
    <x v="2"/>
    <n v="30"/>
    <n v="2.7375886524822697"/>
    <s v="Low Risk"/>
    <s v="Maintain Stock"/>
  </r>
  <r>
    <n v="767"/>
    <x v="34"/>
    <x v="3"/>
    <x v="0"/>
    <n v="119"/>
    <n v="127"/>
    <n v="119"/>
    <n v="3138.06"/>
    <n v="2106.2399999999998"/>
    <n v="101"/>
    <n v="15"/>
    <s v="2026-01-25"/>
    <n v="183"/>
    <n v="2"/>
    <n v="7"/>
    <s v="No"/>
    <x v="1"/>
    <n v="8"/>
    <n v="1.0672268907563025"/>
    <s v="Low Risk"/>
    <s v="Maintain Stock"/>
  </r>
  <r>
    <n v="768"/>
    <x v="71"/>
    <x v="4"/>
    <x v="0"/>
    <n v="369"/>
    <n v="305"/>
    <n v="352"/>
    <n v="4479.16"/>
    <n v="2685.6"/>
    <n v="119"/>
    <n v="2"/>
    <s v="2026-01-20"/>
    <n v="235"/>
    <n v="3"/>
    <n v="5"/>
    <s v="No"/>
    <x v="0"/>
    <n v="-47"/>
    <n v="0.82655826558265577"/>
    <s v="Medium Risk"/>
    <s v="Monitor Sales"/>
  </r>
  <r>
    <n v="769"/>
    <x v="1"/>
    <x v="0"/>
    <x v="2"/>
    <n v="411"/>
    <n v="349"/>
    <n v="361"/>
    <n v="2731.59"/>
    <n v="1592.79"/>
    <n v="119"/>
    <n v="15"/>
    <s v="2026-02-12"/>
    <n v="90"/>
    <n v="2"/>
    <n v="16"/>
    <s v="Yes"/>
    <x v="1"/>
    <n v="-12"/>
    <n v="0.84914841849148415"/>
    <s v="Medium Risk"/>
    <s v="Monitor Sales"/>
  </r>
  <r>
    <n v="770"/>
    <x v="92"/>
    <x v="2"/>
    <x v="0"/>
    <n v="439"/>
    <n v="319"/>
    <n v="367"/>
    <n v="1037.8499999999999"/>
    <n v="795.06"/>
    <n v="63"/>
    <n v="3"/>
    <s v="2026-01-29"/>
    <n v="206"/>
    <n v="1"/>
    <n v="12"/>
    <s v="No"/>
    <x v="2"/>
    <n v="-48"/>
    <n v="0.72665148063781326"/>
    <s v="Medium Risk"/>
    <s v="Monitor Sales"/>
  </r>
  <r>
    <n v="771"/>
    <x v="36"/>
    <x v="1"/>
    <x v="1"/>
    <n v="465"/>
    <n v="281"/>
    <n v="280"/>
    <n v="1651.09"/>
    <n v="1284.55"/>
    <n v="62"/>
    <n v="13"/>
    <s v="2026-01-16"/>
    <n v="308"/>
    <n v="4"/>
    <n v="4"/>
    <s v="Yes"/>
    <x v="2"/>
    <n v="1"/>
    <n v="0.60430107526881716"/>
    <s v="Medium Risk"/>
    <s v="Monitor Sales"/>
  </r>
  <r>
    <n v="772"/>
    <x v="53"/>
    <x v="3"/>
    <x v="1"/>
    <n v="293"/>
    <n v="204"/>
    <n v="184"/>
    <n v="504.3"/>
    <n v="354.28"/>
    <n v="74"/>
    <n v="13"/>
    <s v="2026-01-14"/>
    <n v="359"/>
    <n v="5"/>
    <n v="32"/>
    <s v="No"/>
    <x v="1"/>
    <n v="20"/>
    <n v="0.69624573378839594"/>
    <s v="Medium Risk"/>
    <s v="Monitor Sales"/>
  </r>
  <r>
    <n v="773"/>
    <x v="30"/>
    <x v="1"/>
    <x v="2"/>
    <n v="137"/>
    <n v="37"/>
    <n v="56"/>
    <n v="2884.43"/>
    <n v="2087.87"/>
    <n v="33"/>
    <n v="10"/>
    <s v="2026-01-03"/>
    <n v="332"/>
    <n v="3"/>
    <n v="2"/>
    <s v="Yes"/>
    <x v="1"/>
    <n v="-19"/>
    <n v="0.27007299270072993"/>
    <s v="High Risk"/>
    <s v="Apply Discount / Promotion"/>
  </r>
  <r>
    <n v="774"/>
    <x v="44"/>
    <x v="0"/>
    <x v="1"/>
    <n v="249"/>
    <n v="361"/>
    <n v="363"/>
    <n v="248.57"/>
    <n v="128.47"/>
    <n v="150"/>
    <n v="8"/>
    <s v="2026-02-24"/>
    <n v="192"/>
    <n v="5"/>
    <n v="17"/>
    <s v="Yes"/>
    <x v="1"/>
    <n v="-2"/>
    <n v="1.4497991967871486"/>
    <s v="Low Risk"/>
    <s v="Maintain Stock"/>
  </r>
  <r>
    <n v="775"/>
    <x v="12"/>
    <x v="3"/>
    <x v="3"/>
    <n v="489"/>
    <n v="135"/>
    <n v="170"/>
    <n v="492.97"/>
    <n v="285.24"/>
    <n v="139"/>
    <n v="1"/>
    <s v="2026-02-02"/>
    <n v="152"/>
    <n v="5"/>
    <n v="4"/>
    <s v="No"/>
    <x v="1"/>
    <n v="-35"/>
    <n v="0.27607361963190186"/>
    <s v="High Risk"/>
    <s v="Apply Discount / Promotion"/>
  </r>
  <r>
    <n v="776"/>
    <x v="93"/>
    <x v="3"/>
    <x v="1"/>
    <n v="189"/>
    <n v="69"/>
    <n v="49"/>
    <n v="4313.47"/>
    <n v="3124.8"/>
    <n v="72"/>
    <n v="9"/>
    <s v="2026-02-11"/>
    <n v="263"/>
    <n v="5"/>
    <n v="43"/>
    <s v="No"/>
    <x v="1"/>
    <n v="20"/>
    <n v="0.36507936507936506"/>
    <s v="High Risk"/>
    <s v="Apply Discount / Promotion"/>
  </r>
  <r>
    <n v="777"/>
    <x v="53"/>
    <x v="2"/>
    <x v="3"/>
    <n v="262"/>
    <n v="306"/>
    <n v="260"/>
    <n v="4886.13"/>
    <n v="3165.63"/>
    <n v="56"/>
    <n v="2"/>
    <s v="2026-02-24"/>
    <n v="298"/>
    <n v="1"/>
    <n v="41"/>
    <s v="Yes"/>
    <x v="1"/>
    <n v="46"/>
    <n v="1.16793893129771"/>
    <s v="Low Risk"/>
    <s v="Maintain Stock"/>
  </r>
  <r>
    <n v="778"/>
    <x v="63"/>
    <x v="3"/>
    <x v="1"/>
    <n v="127"/>
    <n v="289"/>
    <n v="246"/>
    <n v="391.43"/>
    <n v="211.82"/>
    <n v="91"/>
    <n v="15"/>
    <s v="2026-02-11"/>
    <n v="268"/>
    <n v="3"/>
    <n v="11"/>
    <s v="Yes"/>
    <x v="1"/>
    <n v="43"/>
    <n v="2.2755905511811023"/>
    <s v="Low Risk"/>
    <s v="Maintain Stock"/>
  </r>
  <r>
    <n v="779"/>
    <x v="23"/>
    <x v="4"/>
    <x v="0"/>
    <n v="438"/>
    <n v="247"/>
    <n v="198"/>
    <n v="3449.43"/>
    <n v="1785.2"/>
    <n v="98"/>
    <n v="7"/>
    <s v="2026-01-01"/>
    <n v="120"/>
    <n v="3"/>
    <n v="42"/>
    <s v="No"/>
    <x v="1"/>
    <n v="49"/>
    <n v="0.5639269406392694"/>
    <s v="Medium Risk"/>
    <s v="Monitor Sales"/>
  </r>
  <r>
    <n v="780"/>
    <x v="90"/>
    <x v="2"/>
    <x v="3"/>
    <n v="422"/>
    <n v="97"/>
    <n v="48"/>
    <n v="4706.75"/>
    <n v="2534.61"/>
    <n v="36"/>
    <n v="1"/>
    <s v="2026-02-15"/>
    <n v="44"/>
    <n v="4"/>
    <n v="31"/>
    <s v="Yes"/>
    <x v="2"/>
    <n v="49"/>
    <n v="0.22985781990521326"/>
    <s v="High Risk"/>
    <s v="Apply Discount / Promotion"/>
  </r>
  <r>
    <n v="781"/>
    <x v="33"/>
    <x v="3"/>
    <x v="1"/>
    <n v="342"/>
    <n v="128"/>
    <n v="178"/>
    <n v="4135.88"/>
    <n v="3242.75"/>
    <n v="111"/>
    <n v="15"/>
    <s v="2026-02-23"/>
    <n v="182"/>
    <n v="5"/>
    <n v="33"/>
    <s v="Yes"/>
    <x v="1"/>
    <n v="-50"/>
    <n v="0.3742690058479532"/>
    <s v="High Risk"/>
    <s v="Apply Discount / Promotion"/>
  </r>
  <r>
    <n v="782"/>
    <x v="54"/>
    <x v="4"/>
    <x v="0"/>
    <n v="188"/>
    <n v="212"/>
    <n v="198"/>
    <n v="314.64"/>
    <n v="213.03"/>
    <n v="65"/>
    <n v="12"/>
    <s v="2026-03-10"/>
    <n v="132"/>
    <n v="4"/>
    <n v="44"/>
    <s v="No"/>
    <x v="1"/>
    <n v="14"/>
    <n v="1.1276595744680851"/>
    <s v="Low Risk"/>
    <s v="Maintain Stock"/>
  </r>
  <r>
    <n v="783"/>
    <x v="99"/>
    <x v="0"/>
    <x v="2"/>
    <n v="218"/>
    <n v="132"/>
    <n v="123"/>
    <n v="2076.9899999999998"/>
    <n v="1274.47"/>
    <n v="45"/>
    <n v="6"/>
    <s v="2026-02-27"/>
    <n v="221"/>
    <n v="5"/>
    <n v="2"/>
    <s v="Yes"/>
    <x v="2"/>
    <n v="9"/>
    <n v="0.60550458715596334"/>
    <s v="Medium Risk"/>
    <s v="Monitor Sales"/>
  </r>
  <r>
    <n v="784"/>
    <x v="95"/>
    <x v="3"/>
    <x v="0"/>
    <n v="112"/>
    <n v="138"/>
    <n v="135"/>
    <n v="1409.55"/>
    <n v="920.83"/>
    <n v="106"/>
    <n v="14"/>
    <s v="2026-02-13"/>
    <n v="120"/>
    <n v="2"/>
    <n v="5"/>
    <s v="Yes"/>
    <x v="0"/>
    <n v="3"/>
    <n v="1.2321428571428572"/>
    <s v="Low Risk"/>
    <s v="Maintain Stock"/>
  </r>
  <r>
    <n v="785"/>
    <x v="69"/>
    <x v="4"/>
    <x v="1"/>
    <n v="257"/>
    <n v="314"/>
    <n v="288"/>
    <n v="2123.83"/>
    <n v="1462.89"/>
    <n v="67"/>
    <n v="11"/>
    <s v="2026-02-10"/>
    <n v="234"/>
    <n v="2"/>
    <n v="30"/>
    <s v="Yes"/>
    <x v="0"/>
    <n v="26"/>
    <n v="1.2217898832684826"/>
    <s v="Low Risk"/>
    <s v="Maintain Stock"/>
  </r>
  <r>
    <n v="786"/>
    <x v="68"/>
    <x v="0"/>
    <x v="0"/>
    <n v="417"/>
    <n v="351"/>
    <n v="320"/>
    <n v="2185.89"/>
    <n v="1322.32"/>
    <n v="66"/>
    <n v="6"/>
    <s v="2026-01-03"/>
    <n v="138"/>
    <n v="3"/>
    <n v="48"/>
    <s v="Yes"/>
    <x v="0"/>
    <n v="31"/>
    <n v="0.84172661870503596"/>
    <s v="Medium Risk"/>
    <s v="Monitor Sales"/>
  </r>
  <r>
    <n v="787"/>
    <x v="39"/>
    <x v="4"/>
    <x v="3"/>
    <n v="165"/>
    <n v="78"/>
    <n v="103"/>
    <n v="2377.13"/>
    <n v="1805.94"/>
    <n v="106"/>
    <n v="3"/>
    <s v="2026-02-26"/>
    <n v="196"/>
    <n v="2"/>
    <n v="49"/>
    <s v="Yes"/>
    <x v="2"/>
    <n v="-25"/>
    <n v="0.47272727272727272"/>
    <s v="High Risk"/>
    <s v="Apply Discount / Promotion"/>
  </r>
  <r>
    <n v="788"/>
    <x v="35"/>
    <x v="4"/>
    <x v="2"/>
    <n v="350"/>
    <n v="365"/>
    <n v="397"/>
    <n v="1713.55"/>
    <n v="1111.3"/>
    <n v="30"/>
    <n v="6"/>
    <s v="2026-01-18"/>
    <n v="37"/>
    <n v="4"/>
    <n v="38"/>
    <s v="No"/>
    <x v="0"/>
    <n v="-32"/>
    <n v="1.0428571428571429"/>
    <s v="Low Risk"/>
    <s v="Maintain Stock"/>
  </r>
  <r>
    <n v="789"/>
    <x v="76"/>
    <x v="1"/>
    <x v="0"/>
    <n v="307"/>
    <n v="139"/>
    <n v="187"/>
    <n v="1473.66"/>
    <n v="881.3"/>
    <n v="100"/>
    <n v="7"/>
    <s v="2026-01-07"/>
    <n v="183"/>
    <n v="4"/>
    <n v="27"/>
    <s v="Yes"/>
    <x v="2"/>
    <n v="-48"/>
    <n v="0.45276872964169379"/>
    <s v="High Risk"/>
    <s v="Apply Discount / Promotion"/>
  </r>
  <r>
    <n v="790"/>
    <x v="17"/>
    <x v="1"/>
    <x v="1"/>
    <n v="328"/>
    <n v="18"/>
    <n v="24"/>
    <n v="4891.01"/>
    <n v="3258.89"/>
    <n v="52"/>
    <n v="8"/>
    <s v="2026-03-06"/>
    <n v="56"/>
    <n v="2"/>
    <n v="18"/>
    <s v="No"/>
    <x v="0"/>
    <n v="-6"/>
    <n v="5.4878048780487805E-2"/>
    <s v="High Risk"/>
    <s v="Apply Discount / Promotion"/>
  </r>
  <r>
    <n v="791"/>
    <x v="69"/>
    <x v="3"/>
    <x v="1"/>
    <n v="118"/>
    <n v="355"/>
    <n v="316"/>
    <n v="2171.9299999999998"/>
    <n v="1718.19"/>
    <n v="105"/>
    <n v="1"/>
    <s v="2026-01-15"/>
    <n v="234"/>
    <n v="1"/>
    <n v="22"/>
    <s v="Yes"/>
    <x v="1"/>
    <n v="39"/>
    <n v="3.0084745762711864"/>
    <s v="Low Risk"/>
    <s v="Maintain Stock"/>
  </r>
  <r>
    <n v="792"/>
    <x v="70"/>
    <x v="4"/>
    <x v="3"/>
    <n v="480"/>
    <n v="274"/>
    <n v="253"/>
    <n v="3958.44"/>
    <n v="2838.97"/>
    <n v="51"/>
    <n v="7"/>
    <s v="2026-03-16"/>
    <n v="251"/>
    <n v="1"/>
    <n v="20"/>
    <s v="No"/>
    <x v="0"/>
    <n v="21"/>
    <n v="0.5708333333333333"/>
    <s v="Medium Risk"/>
    <s v="Monitor Sales"/>
  </r>
  <r>
    <n v="793"/>
    <x v="84"/>
    <x v="1"/>
    <x v="3"/>
    <n v="269"/>
    <n v="123"/>
    <n v="147"/>
    <n v="3945.66"/>
    <n v="2913.65"/>
    <n v="102"/>
    <n v="2"/>
    <s v="2026-03-24"/>
    <n v="239"/>
    <n v="5"/>
    <n v="24"/>
    <s v="No"/>
    <x v="1"/>
    <n v="-24"/>
    <n v="0.45724907063197023"/>
    <s v="High Risk"/>
    <s v="Apply Discount / Promotion"/>
  </r>
  <r>
    <n v="794"/>
    <x v="90"/>
    <x v="0"/>
    <x v="1"/>
    <n v="497"/>
    <n v="126"/>
    <n v="151"/>
    <n v="2170.6799999999998"/>
    <n v="1149.28"/>
    <n v="121"/>
    <n v="13"/>
    <s v="2026-03-05"/>
    <n v="155"/>
    <n v="1"/>
    <n v="49"/>
    <s v="Yes"/>
    <x v="2"/>
    <n v="-25"/>
    <n v="0.25352112676056338"/>
    <s v="High Risk"/>
    <s v="Apply Discount / Promotion"/>
  </r>
  <r>
    <n v="795"/>
    <x v="23"/>
    <x v="0"/>
    <x v="0"/>
    <n v="113"/>
    <n v="65"/>
    <n v="37"/>
    <n v="1590.68"/>
    <n v="1242.25"/>
    <n v="142"/>
    <n v="6"/>
    <s v="2026-02-26"/>
    <n v="155"/>
    <n v="1"/>
    <n v="50"/>
    <s v="No"/>
    <x v="1"/>
    <n v="28"/>
    <n v="0.5752212389380531"/>
    <s v="Medium Risk"/>
    <s v="Monitor Sales"/>
  </r>
  <r>
    <n v="796"/>
    <x v="49"/>
    <x v="2"/>
    <x v="3"/>
    <n v="433"/>
    <n v="330"/>
    <n v="312"/>
    <n v="1145.3599999999999"/>
    <n v="580.33000000000004"/>
    <n v="144"/>
    <n v="4"/>
    <s v="2026-01-06"/>
    <n v="89"/>
    <n v="1"/>
    <n v="16"/>
    <s v="Yes"/>
    <x v="0"/>
    <n v="18"/>
    <n v="0.76212471131639725"/>
    <s v="Medium Risk"/>
    <s v="Monitor Sales"/>
  </r>
  <r>
    <n v="797"/>
    <x v="6"/>
    <x v="2"/>
    <x v="1"/>
    <n v="425"/>
    <n v="6"/>
    <n v="46"/>
    <n v="3773.99"/>
    <n v="2891.7"/>
    <n v="129"/>
    <n v="3"/>
    <s v="2026-01-27"/>
    <n v="266"/>
    <n v="4"/>
    <n v="2"/>
    <s v="Yes"/>
    <x v="1"/>
    <n v="-40"/>
    <n v="1.411764705882353E-2"/>
    <s v="High Risk"/>
    <s v="Apply Discount / Promotion"/>
  </r>
  <r>
    <n v="798"/>
    <x v="97"/>
    <x v="0"/>
    <x v="1"/>
    <n v="152"/>
    <n v="354"/>
    <n v="371"/>
    <n v="1512.06"/>
    <n v="1164.54"/>
    <n v="107"/>
    <n v="7"/>
    <s v="2026-01-31"/>
    <n v="153"/>
    <n v="1"/>
    <n v="39"/>
    <s v="No"/>
    <x v="2"/>
    <n v="-17"/>
    <n v="2.3289473684210527"/>
    <s v="Low Risk"/>
    <s v="Maintain Stock"/>
  </r>
  <r>
    <n v="799"/>
    <x v="98"/>
    <x v="1"/>
    <x v="0"/>
    <n v="25"/>
    <n v="140"/>
    <n v="125"/>
    <n v="4146.93"/>
    <n v="2611.6"/>
    <n v="34"/>
    <n v="10"/>
    <s v="2026-03-19"/>
    <n v="175"/>
    <n v="4"/>
    <n v="28"/>
    <s v="Yes"/>
    <x v="2"/>
    <n v="15"/>
    <n v="5.6"/>
    <s v="Low Risk"/>
    <s v="Maintain Stock"/>
  </r>
  <r>
    <n v="800"/>
    <x v="59"/>
    <x v="4"/>
    <x v="1"/>
    <n v="44"/>
    <n v="253"/>
    <n v="267"/>
    <n v="119.8"/>
    <n v="69.91"/>
    <n v="85"/>
    <n v="14"/>
    <s v="2026-01-28"/>
    <n v="167"/>
    <n v="5"/>
    <n v="39"/>
    <s v="No"/>
    <x v="2"/>
    <n v="-14"/>
    <n v="5.75"/>
    <s v="Low Risk"/>
    <s v="Maintain Stock"/>
  </r>
  <r>
    <n v="801"/>
    <x v="97"/>
    <x v="4"/>
    <x v="3"/>
    <n v="489"/>
    <n v="26"/>
    <n v="25"/>
    <n v="760.11"/>
    <n v="501.6"/>
    <n v="128"/>
    <n v="12"/>
    <s v="2026-01-04"/>
    <n v="248"/>
    <n v="5"/>
    <n v="16"/>
    <s v="No"/>
    <x v="2"/>
    <n v="1"/>
    <n v="5.3169734151329244E-2"/>
    <s v="High Risk"/>
    <s v="Apply Discount / Promotion"/>
  </r>
  <r>
    <n v="802"/>
    <x v="19"/>
    <x v="0"/>
    <x v="3"/>
    <n v="288"/>
    <n v="141"/>
    <n v="103"/>
    <n v="1925.14"/>
    <n v="1006.24"/>
    <n v="79"/>
    <n v="8"/>
    <s v="2026-01-05"/>
    <n v="308"/>
    <n v="3"/>
    <n v="39"/>
    <s v="Yes"/>
    <x v="2"/>
    <n v="38"/>
    <n v="0.48958333333333331"/>
    <s v="High Risk"/>
    <s v="Apply Discount / Promotion"/>
  </r>
  <r>
    <n v="803"/>
    <x v="74"/>
    <x v="0"/>
    <x v="1"/>
    <n v="433"/>
    <n v="135"/>
    <n v="184"/>
    <n v="277.95"/>
    <n v="161.91"/>
    <n v="62"/>
    <n v="9"/>
    <s v="2026-01-15"/>
    <n v="322"/>
    <n v="2"/>
    <n v="40"/>
    <s v="No"/>
    <x v="2"/>
    <n v="-49"/>
    <n v="0.31177829099307158"/>
    <s v="High Risk"/>
    <s v="Apply Discount / Promotion"/>
  </r>
  <r>
    <n v="804"/>
    <x v="97"/>
    <x v="3"/>
    <x v="2"/>
    <n v="416"/>
    <n v="155"/>
    <n v="126"/>
    <n v="4401.08"/>
    <n v="2588.17"/>
    <n v="84"/>
    <n v="13"/>
    <s v="2026-02-24"/>
    <n v="258"/>
    <n v="1"/>
    <n v="26"/>
    <s v="No"/>
    <x v="0"/>
    <n v="29"/>
    <n v="0.37259615384615385"/>
    <s v="High Risk"/>
    <s v="Apply Discount / Promotion"/>
  </r>
  <r>
    <n v="805"/>
    <x v="33"/>
    <x v="2"/>
    <x v="0"/>
    <n v="312"/>
    <n v="242"/>
    <n v="226"/>
    <n v="4327.04"/>
    <n v="2755.14"/>
    <n v="83"/>
    <n v="14"/>
    <s v="2026-03-06"/>
    <n v="217"/>
    <n v="3"/>
    <n v="17"/>
    <s v="No"/>
    <x v="1"/>
    <n v="16"/>
    <n v="0.77564102564102566"/>
    <s v="Medium Risk"/>
    <s v="Monitor Sales"/>
  </r>
  <r>
    <n v="806"/>
    <x v="38"/>
    <x v="4"/>
    <x v="1"/>
    <n v="298"/>
    <n v="385"/>
    <n v="352"/>
    <n v="1395.21"/>
    <n v="853.33"/>
    <n v="70"/>
    <n v="3"/>
    <s v="2026-03-15"/>
    <n v="365"/>
    <n v="3"/>
    <n v="23"/>
    <s v="Yes"/>
    <x v="2"/>
    <n v="33"/>
    <n v="1.2919463087248322"/>
    <s v="Low Risk"/>
    <s v="Maintain Stock"/>
  </r>
  <r>
    <n v="807"/>
    <x v="83"/>
    <x v="1"/>
    <x v="2"/>
    <n v="124"/>
    <n v="359"/>
    <n v="368"/>
    <n v="1248.57"/>
    <n v="846"/>
    <n v="120"/>
    <n v="5"/>
    <s v="2026-03-11"/>
    <n v="155"/>
    <n v="2"/>
    <n v="34"/>
    <s v="No"/>
    <x v="0"/>
    <n v="-9"/>
    <n v="2.8951612903225805"/>
    <s v="Low Risk"/>
    <s v="Maintain Stock"/>
  </r>
  <r>
    <n v="808"/>
    <x v="43"/>
    <x v="2"/>
    <x v="0"/>
    <n v="186"/>
    <n v="270"/>
    <n v="225"/>
    <n v="4424.79"/>
    <n v="2841.72"/>
    <n v="95"/>
    <n v="10"/>
    <s v="2026-03-10"/>
    <n v="216"/>
    <n v="4"/>
    <n v="48"/>
    <s v="No"/>
    <x v="2"/>
    <n v="45"/>
    <n v="1.4516129032258065"/>
    <s v="Low Risk"/>
    <s v="Maintain Stock"/>
  </r>
  <r>
    <n v="809"/>
    <x v="23"/>
    <x v="0"/>
    <x v="1"/>
    <n v="152"/>
    <n v="265"/>
    <n v="296"/>
    <n v="1564.01"/>
    <n v="1100.3800000000001"/>
    <n v="79"/>
    <n v="5"/>
    <s v="2026-01-16"/>
    <n v="179"/>
    <n v="2"/>
    <n v="8"/>
    <s v="No"/>
    <x v="0"/>
    <n v="-31"/>
    <n v="1.743421052631579"/>
    <s v="Low Risk"/>
    <s v="Maintain Stock"/>
  </r>
  <r>
    <n v="810"/>
    <x v="1"/>
    <x v="2"/>
    <x v="1"/>
    <n v="480"/>
    <n v="10"/>
    <n v="13"/>
    <n v="178.41"/>
    <n v="100.65"/>
    <n v="50"/>
    <n v="6"/>
    <s v="2026-03-15"/>
    <n v="189"/>
    <n v="2"/>
    <n v="0"/>
    <s v="No"/>
    <x v="1"/>
    <n v="-3"/>
    <n v="2.0833333333333332E-2"/>
    <s v="High Risk"/>
    <s v="Apply Discount / Promotion"/>
  </r>
  <r>
    <n v="811"/>
    <x v="86"/>
    <x v="3"/>
    <x v="1"/>
    <n v="26"/>
    <n v="157"/>
    <n v="176"/>
    <n v="3955.93"/>
    <n v="2960.55"/>
    <n v="136"/>
    <n v="12"/>
    <s v="2026-02-11"/>
    <n v="328"/>
    <n v="2"/>
    <n v="17"/>
    <s v="Yes"/>
    <x v="1"/>
    <n v="-19"/>
    <n v="6.0384615384615383"/>
    <s v="Low Risk"/>
    <s v="Maintain Stock"/>
  </r>
  <r>
    <n v="812"/>
    <x v="70"/>
    <x v="3"/>
    <x v="1"/>
    <n v="50"/>
    <n v="158"/>
    <n v="115"/>
    <n v="1433.7"/>
    <n v="901.7"/>
    <n v="41"/>
    <n v="6"/>
    <s v="2026-03-25"/>
    <n v="236"/>
    <n v="3"/>
    <n v="37"/>
    <s v="Yes"/>
    <x v="2"/>
    <n v="43"/>
    <n v="3.16"/>
    <s v="Low Risk"/>
    <s v="Maintain Stock"/>
  </r>
  <r>
    <n v="813"/>
    <x v="70"/>
    <x v="1"/>
    <x v="2"/>
    <n v="60"/>
    <n v="13"/>
    <n v="25"/>
    <n v="783.68"/>
    <n v="497.68"/>
    <n v="124"/>
    <n v="9"/>
    <s v="2026-02-08"/>
    <n v="137"/>
    <n v="3"/>
    <n v="16"/>
    <s v="No"/>
    <x v="1"/>
    <n v="-12"/>
    <n v="0.21666666666666667"/>
    <s v="High Risk"/>
    <s v="Apply Discount / Promotion"/>
  </r>
  <r>
    <n v="814"/>
    <x v="21"/>
    <x v="3"/>
    <x v="3"/>
    <n v="465"/>
    <n v="367"/>
    <n v="385"/>
    <n v="4376.0600000000004"/>
    <n v="3316.34"/>
    <n v="125"/>
    <n v="3"/>
    <s v="2026-01-10"/>
    <n v="312"/>
    <n v="4"/>
    <n v="28"/>
    <s v="No"/>
    <x v="2"/>
    <n v="-18"/>
    <n v="0.78924731182795704"/>
    <s v="Medium Risk"/>
    <s v="Monitor Sales"/>
  </r>
  <r>
    <n v="815"/>
    <x v="59"/>
    <x v="1"/>
    <x v="2"/>
    <n v="216"/>
    <n v="228"/>
    <n v="270"/>
    <n v="4887.72"/>
    <n v="3598.02"/>
    <n v="38"/>
    <n v="2"/>
    <s v="2026-03-06"/>
    <n v="230"/>
    <n v="2"/>
    <n v="27"/>
    <s v="Yes"/>
    <x v="1"/>
    <n v="-42"/>
    <n v="1.0555555555555556"/>
    <s v="Low Risk"/>
    <s v="Maintain Stock"/>
  </r>
  <r>
    <n v="816"/>
    <x v="20"/>
    <x v="3"/>
    <x v="3"/>
    <n v="384"/>
    <n v="195"/>
    <n v="244"/>
    <n v="4397.5"/>
    <n v="2257.06"/>
    <n v="150"/>
    <n v="5"/>
    <s v="2026-02-04"/>
    <n v="216"/>
    <n v="3"/>
    <n v="24"/>
    <s v="No"/>
    <x v="1"/>
    <n v="-49"/>
    <n v="0.5078125"/>
    <s v="Medium Risk"/>
    <s v="Monitor Sales"/>
  </r>
  <r>
    <n v="817"/>
    <x v="36"/>
    <x v="2"/>
    <x v="3"/>
    <n v="264"/>
    <n v="24"/>
    <n v="57"/>
    <n v="1732.06"/>
    <n v="1325.18"/>
    <n v="149"/>
    <n v="2"/>
    <s v="2026-01-06"/>
    <n v="281"/>
    <n v="5"/>
    <n v="1"/>
    <s v="Yes"/>
    <x v="2"/>
    <n v="-33"/>
    <n v="9.0909090909090912E-2"/>
    <s v="High Risk"/>
    <s v="Apply Discount / Promotion"/>
  </r>
  <r>
    <n v="818"/>
    <x v="57"/>
    <x v="4"/>
    <x v="3"/>
    <n v="150"/>
    <n v="90"/>
    <n v="99"/>
    <n v="2279.14"/>
    <n v="1463.57"/>
    <n v="94"/>
    <n v="3"/>
    <s v="2026-02-11"/>
    <n v="35"/>
    <n v="1"/>
    <n v="19"/>
    <s v="No"/>
    <x v="1"/>
    <n v="-9"/>
    <n v="0.6"/>
    <s v="Medium Risk"/>
    <s v="Monitor Sales"/>
  </r>
  <r>
    <n v="819"/>
    <x v="96"/>
    <x v="3"/>
    <x v="0"/>
    <n v="418"/>
    <n v="157"/>
    <n v="156"/>
    <n v="2598.0100000000002"/>
    <n v="1420.28"/>
    <n v="43"/>
    <n v="14"/>
    <s v="2026-01-17"/>
    <n v="160"/>
    <n v="3"/>
    <n v="31"/>
    <s v="Yes"/>
    <x v="2"/>
    <n v="1"/>
    <n v="0.37559808612440193"/>
    <s v="High Risk"/>
    <s v="Apply Discount / Promotion"/>
  </r>
  <r>
    <n v="820"/>
    <x v="30"/>
    <x v="2"/>
    <x v="1"/>
    <n v="321"/>
    <n v="351"/>
    <n v="304"/>
    <n v="3785.04"/>
    <n v="2523.21"/>
    <n v="130"/>
    <n v="11"/>
    <s v="2026-02-28"/>
    <n v="163"/>
    <n v="2"/>
    <n v="26"/>
    <s v="No"/>
    <x v="1"/>
    <n v="47"/>
    <n v="1.0934579439252337"/>
    <s v="Low Risk"/>
    <s v="Maintain Stock"/>
  </r>
  <r>
    <n v="821"/>
    <x v="90"/>
    <x v="1"/>
    <x v="2"/>
    <n v="162"/>
    <n v="95"/>
    <n v="138"/>
    <n v="63.94"/>
    <n v="44.33"/>
    <n v="34"/>
    <n v="2"/>
    <s v="2026-01-14"/>
    <n v="141"/>
    <n v="4"/>
    <n v="44"/>
    <s v="Yes"/>
    <x v="0"/>
    <n v="-43"/>
    <n v="0.5864197530864198"/>
    <s v="Medium Risk"/>
    <s v="Monitor Sales"/>
  </r>
  <r>
    <n v="822"/>
    <x v="36"/>
    <x v="2"/>
    <x v="0"/>
    <n v="329"/>
    <n v="130"/>
    <n v="113"/>
    <n v="3164.25"/>
    <n v="1932.79"/>
    <n v="131"/>
    <n v="7"/>
    <s v="2026-01-26"/>
    <n v="67"/>
    <n v="4"/>
    <n v="14"/>
    <s v="No"/>
    <x v="1"/>
    <n v="17"/>
    <n v="0.39513677811550152"/>
    <s v="High Risk"/>
    <s v="Apply Discount / Promotion"/>
  </r>
  <r>
    <n v="823"/>
    <x v="21"/>
    <x v="0"/>
    <x v="0"/>
    <n v="466"/>
    <n v="191"/>
    <n v="153"/>
    <n v="2962.86"/>
    <n v="1637.3"/>
    <n v="47"/>
    <n v="1"/>
    <s v="2026-02-23"/>
    <n v="150"/>
    <n v="4"/>
    <n v="17"/>
    <s v="No"/>
    <x v="0"/>
    <n v="38"/>
    <n v="0.40987124463519314"/>
    <s v="High Risk"/>
    <s v="Apply Discount / Promotion"/>
  </r>
  <r>
    <n v="824"/>
    <x v="8"/>
    <x v="0"/>
    <x v="2"/>
    <n v="236"/>
    <n v="104"/>
    <n v="78"/>
    <n v="3702.66"/>
    <n v="2417.0500000000002"/>
    <n v="131"/>
    <n v="6"/>
    <s v="2026-02-17"/>
    <n v="113"/>
    <n v="1"/>
    <n v="37"/>
    <s v="No"/>
    <x v="0"/>
    <n v="26"/>
    <n v="0.44067796610169491"/>
    <s v="High Risk"/>
    <s v="Apply Discount / Promotion"/>
  </r>
  <r>
    <n v="825"/>
    <x v="28"/>
    <x v="3"/>
    <x v="3"/>
    <n v="293"/>
    <n v="341"/>
    <n v="352"/>
    <n v="3398.67"/>
    <n v="2192"/>
    <n v="103"/>
    <n v="10"/>
    <s v="2026-01-23"/>
    <n v="215"/>
    <n v="3"/>
    <n v="33"/>
    <s v="No"/>
    <x v="0"/>
    <n v="-11"/>
    <n v="1.1638225255972696"/>
    <s v="Low Risk"/>
    <s v="Maintain Stock"/>
  </r>
  <r>
    <n v="826"/>
    <x v="57"/>
    <x v="1"/>
    <x v="0"/>
    <n v="405"/>
    <n v="39"/>
    <n v="87"/>
    <n v="2404.6999999999998"/>
    <n v="1245.75"/>
    <n v="139"/>
    <n v="8"/>
    <s v="2026-03-03"/>
    <n v="101"/>
    <n v="5"/>
    <n v="35"/>
    <s v="No"/>
    <x v="0"/>
    <n v="-48"/>
    <n v="9.6296296296296297E-2"/>
    <s v="High Risk"/>
    <s v="Apply Discount / Promotion"/>
  </r>
  <r>
    <n v="827"/>
    <x v="53"/>
    <x v="0"/>
    <x v="2"/>
    <n v="61"/>
    <n v="110"/>
    <n v="135"/>
    <n v="1426.77"/>
    <n v="1095.0899999999999"/>
    <n v="97"/>
    <n v="5"/>
    <s v="2026-02-05"/>
    <n v="175"/>
    <n v="1"/>
    <n v="26"/>
    <s v="Yes"/>
    <x v="1"/>
    <n v="-25"/>
    <n v="1.8032786885245902"/>
    <s v="Low Risk"/>
    <s v="Maintain Stock"/>
  </r>
  <r>
    <n v="828"/>
    <x v="78"/>
    <x v="3"/>
    <x v="1"/>
    <n v="470"/>
    <n v="246"/>
    <n v="220"/>
    <n v="3881.92"/>
    <n v="2462.86"/>
    <n v="133"/>
    <n v="8"/>
    <s v="2026-01-12"/>
    <n v="232"/>
    <n v="5"/>
    <n v="12"/>
    <s v="Yes"/>
    <x v="1"/>
    <n v="26"/>
    <n v="0.52340425531914891"/>
    <s v="Medium Risk"/>
    <s v="Monitor Sales"/>
  </r>
  <r>
    <n v="829"/>
    <x v="70"/>
    <x v="4"/>
    <x v="0"/>
    <n v="432"/>
    <n v="142"/>
    <n v="105"/>
    <n v="1389.81"/>
    <n v="1046.57"/>
    <n v="75"/>
    <n v="4"/>
    <s v="2026-02-17"/>
    <n v="313"/>
    <n v="2"/>
    <n v="37"/>
    <s v="Yes"/>
    <x v="1"/>
    <n v="37"/>
    <n v="0.32870370370370372"/>
    <s v="High Risk"/>
    <s v="Apply Discount / Promotion"/>
  </r>
  <r>
    <n v="830"/>
    <x v="0"/>
    <x v="3"/>
    <x v="0"/>
    <n v="218"/>
    <n v="139"/>
    <n v="143"/>
    <n v="1539.48"/>
    <n v="1084.22"/>
    <n v="87"/>
    <n v="5"/>
    <s v="2026-01-07"/>
    <n v="190"/>
    <n v="2"/>
    <n v="13"/>
    <s v="No"/>
    <x v="2"/>
    <n v="-4"/>
    <n v="0.63761467889908252"/>
    <s v="Medium Risk"/>
    <s v="Monitor Sales"/>
  </r>
  <r>
    <n v="831"/>
    <x v="8"/>
    <x v="3"/>
    <x v="1"/>
    <n v="471"/>
    <n v="348"/>
    <n v="336"/>
    <n v="1648.51"/>
    <n v="1039.8900000000001"/>
    <n v="46"/>
    <n v="1"/>
    <s v="2026-01-23"/>
    <n v="80"/>
    <n v="4"/>
    <n v="33"/>
    <s v="Yes"/>
    <x v="1"/>
    <n v="12"/>
    <n v="0.73885350318471332"/>
    <s v="Medium Risk"/>
    <s v="Monitor Sales"/>
  </r>
  <r>
    <n v="832"/>
    <x v="64"/>
    <x v="1"/>
    <x v="1"/>
    <n v="247"/>
    <n v="24"/>
    <n v="60"/>
    <n v="1231.2"/>
    <n v="888.28"/>
    <n v="120"/>
    <n v="6"/>
    <s v="2026-01-17"/>
    <n v="184"/>
    <n v="1"/>
    <n v="5"/>
    <s v="Yes"/>
    <x v="2"/>
    <n v="-36"/>
    <n v="9.7165991902834009E-2"/>
    <s v="High Risk"/>
    <s v="Apply Discount / Promotion"/>
  </r>
  <r>
    <n v="833"/>
    <x v="86"/>
    <x v="4"/>
    <x v="0"/>
    <n v="270"/>
    <n v="372"/>
    <n v="330"/>
    <n v="4099.05"/>
    <n v="2381.14"/>
    <n v="97"/>
    <n v="1"/>
    <s v="2026-02-19"/>
    <n v="280"/>
    <n v="5"/>
    <n v="31"/>
    <s v="No"/>
    <x v="1"/>
    <n v="42"/>
    <n v="1.3777777777777778"/>
    <s v="Low Risk"/>
    <s v="Maintain Stock"/>
  </r>
  <r>
    <n v="834"/>
    <x v="80"/>
    <x v="2"/>
    <x v="3"/>
    <n v="294"/>
    <n v="165"/>
    <n v="124"/>
    <n v="161.63999999999999"/>
    <n v="90.93"/>
    <n v="30"/>
    <n v="14"/>
    <s v="2026-01-23"/>
    <n v="338"/>
    <n v="1"/>
    <n v="10"/>
    <s v="Yes"/>
    <x v="1"/>
    <n v="41"/>
    <n v="0.56122448979591832"/>
    <s v="Medium Risk"/>
    <s v="Monitor Sales"/>
  </r>
  <r>
    <n v="835"/>
    <x v="30"/>
    <x v="0"/>
    <x v="3"/>
    <n v="389"/>
    <n v="0"/>
    <n v="12"/>
    <n v="1484.04"/>
    <n v="1023.38"/>
    <n v="80"/>
    <n v="12"/>
    <s v="2026-01-02"/>
    <n v="357"/>
    <n v="2"/>
    <n v="22"/>
    <s v="Yes"/>
    <x v="1"/>
    <n v="-12"/>
    <n v="0"/>
    <s v="High Risk"/>
    <s v="Apply Discount / Promotion"/>
  </r>
  <r>
    <n v="836"/>
    <x v="4"/>
    <x v="0"/>
    <x v="2"/>
    <n v="481"/>
    <n v="262"/>
    <n v="268"/>
    <n v="2046.54"/>
    <n v="1583.34"/>
    <n v="30"/>
    <n v="6"/>
    <s v="2026-03-14"/>
    <n v="91"/>
    <n v="5"/>
    <n v="14"/>
    <s v="No"/>
    <x v="1"/>
    <n v="-6"/>
    <n v="0.54469854469854473"/>
    <s v="Medium Risk"/>
    <s v="Monitor Sales"/>
  </r>
  <r>
    <n v="837"/>
    <x v="18"/>
    <x v="4"/>
    <x v="2"/>
    <n v="270"/>
    <n v="87"/>
    <n v="53"/>
    <n v="784"/>
    <n v="532.09"/>
    <n v="75"/>
    <n v="11"/>
    <s v="2026-03-05"/>
    <n v="307"/>
    <n v="2"/>
    <n v="3"/>
    <s v="Yes"/>
    <x v="2"/>
    <n v="34"/>
    <n v="0.32222222222222224"/>
    <s v="High Risk"/>
    <s v="Apply Discount / Promotion"/>
  </r>
  <r>
    <n v="838"/>
    <x v="24"/>
    <x v="4"/>
    <x v="2"/>
    <n v="450"/>
    <n v="168"/>
    <n v="162"/>
    <n v="514.69000000000005"/>
    <n v="401.28"/>
    <n v="58"/>
    <n v="15"/>
    <s v="2026-02-16"/>
    <n v="248"/>
    <n v="1"/>
    <n v="0"/>
    <s v="No"/>
    <x v="0"/>
    <n v="6"/>
    <n v="0.37333333333333335"/>
    <s v="High Risk"/>
    <s v="Apply Discount / Promotion"/>
  </r>
  <r>
    <n v="839"/>
    <x v="72"/>
    <x v="3"/>
    <x v="1"/>
    <n v="210"/>
    <n v="312"/>
    <n v="274"/>
    <n v="4638.93"/>
    <n v="3169.28"/>
    <n v="71"/>
    <n v="14"/>
    <s v="2026-02-19"/>
    <n v="104"/>
    <n v="5"/>
    <n v="28"/>
    <s v="No"/>
    <x v="0"/>
    <n v="38"/>
    <n v="1.4857142857142858"/>
    <s v="Low Risk"/>
    <s v="Maintain Stock"/>
  </r>
  <r>
    <n v="840"/>
    <x v="51"/>
    <x v="0"/>
    <x v="2"/>
    <n v="88"/>
    <n v="53"/>
    <n v="77"/>
    <n v="4586.7700000000004"/>
    <n v="2323.9299999999998"/>
    <n v="50"/>
    <n v="9"/>
    <s v="2026-02-27"/>
    <n v="318"/>
    <n v="2"/>
    <n v="40"/>
    <s v="Yes"/>
    <x v="1"/>
    <n v="-24"/>
    <n v="0.60227272727272729"/>
    <s v="Medium Risk"/>
    <s v="Monitor Sales"/>
  </r>
  <r>
    <n v="841"/>
    <x v="73"/>
    <x v="1"/>
    <x v="1"/>
    <n v="151"/>
    <n v="141"/>
    <n v="171"/>
    <n v="1354.39"/>
    <n v="926.66"/>
    <n v="148"/>
    <n v="5"/>
    <s v="2026-01-08"/>
    <n v="131"/>
    <n v="4"/>
    <n v="23"/>
    <s v="No"/>
    <x v="0"/>
    <n v="-30"/>
    <n v="0.93377483443708609"/>
    <s v="Medium Risk"/>
    <s v="Monitor Sales"/>
  </r>
  <r>
    <n v="842"/>
    <x v="15"/>
    <x v="2"/>
    <x v="1"/>
    <n v="230"/>
    <n v="142"/>
    <n v="180"/>
    <n v="3627.16"/>
    <n v="2853.45"/>
    <n v="38"/>
    <n v="4"/>
    <s v="2026-03-01"/>
    <n v="35"/>
    <n v="3"/>
    <n v="43"/>
    <s v="No"/>
    <x v="2"/>
    <n v="-38"/>
    <n v="0.61739130434782608"/>
    <s v="Medium Risk"/>
    <s v="Monitor Sales"/>
  </r>
  <r>
    <n v="843"/>
    <x v="56"/>
    <x v="0"/>
    <x v="0"/>
    <n v="243"/>
    <n v="192"/>
    <n v="170"/>
    <n v="4061.71"/>
    <n v="2244.1"/>
    <n v="34"/>
    <n v="3"/>
    <s v="2026-02-22"/>
    <n v="268"/>
    <n v="5"/>
    <n v="35"/>
    <s v="No"/>
    <x v="0"/>
    <n v="22"/>
    <n v="0.79012345679012341"/>
    <s v="Medium Risk"/>
    <s v="Monitor Sales"/>
  </r>
  <r>
    <n v="844"/>
    <x v="12"/>
    <x v="3"/>
    <x v="2"/>
    <n v="482"/>
    <n v="109"/>
    <n v="146"/>
    <n v="653.02"/>
    <n v="452.36"/>
    <n v="93"/>
    <n v="2"/>
    <s v="2026-03-21"/>
    <n v="98"/>
    <n v="1"/>
    <n v="14"/>
    <s v="Yes"/>
    <x v="0"/>
    <n v="-37"/>
    <n v="0.22614107883817428"/>
    <s v="High Risk"/>
    <s v="Apply Discount / Promotion"/>
  </r>
  <r>
    <n v="845"/>
    <x v="76"/>
    <x v="2"/>
    <x v="3"/>
    <n v="427"/>
    <n v="101"/>
    <n v="141"/>
    <n v="1759.44"/>
    <n v="888.8"/>
    <n v="53"/>
    <n v="9"/>
    <s v="2026-02-25"/>
    <n v="339"/>
    <n v="3"/>
    <n v="19"/>
    <s v="Yes"/>
    <x v="1"/>
    <n v="-40"/>
    <n v="0.23653395784543327"/>
    <s v="High Risk"/>
    <s v="Apply Discount / Promotion"/>
  </r>
  <r>
    <n v="846"/>
    <x v="2"/>
    <x v="2"/>
    <x v="0"/>
    <n v="478"/>
    <n v="10"/>
    <n v="47"/>
    <n v="4861.8500000000004"/>
    <n v="3642.15"/>
    <n v="73"/>
    <n v="8"/>
    <s v="2026-03-10"/>
    <n v="80"/>
    <n v="2"/>
    <n v="11"/>
    <s v="Yes"/>
    <x v="0"/>
    <n v="-37"/>
    <n v="2.0920502092050208E-2"/>
    <s v="High Risk"/>
    <s v="Apply Discount / Promotion"/>
  </r>
  <r>
    <n v="847"/>
    <x v="26"/>
    <x v="4"/>
    <x v="3"/>
    <n v="191"/>
    <n v="257"/>
    <n v="216"/>
    <n v="4835.95"/>
    <n v="3812.62"/>
    <n v="146"/>
    <n v="2"/>
    <s v="2026-01-22"/>
    <n v="197"/>
    <n v="1"/>
    <n v="43"/>
    <s v="No"/>
    <x v="2"/>
    <n v="41"/>
    <n v="1.3455497382198953"/>
    <s v="Low Risk"/>
    <s v="Maintain Stock"/>
  </r>
  <r>
    <n v="848"/>
    <x v="57"/>
    <x v="1"/>
    <x v="2"/>
    <n v="270"/>
    <n v="251"/>
    <n v="219"/>
    <n v="1678.67"/>
    <n v="1054.52"/>
    <n v="41"/>
    <n v="6"/>
    <s v="2026-03-01"/>
    <n v="50"/>
    <n v="4"/>
    <n v="17"/>
    <s v="Yes"/>
    <x v="1"/>
    <n v="32"/>
    <n v="0.92962962962962958"/>
    <s v="Medium Risk"/>
    <s v="Monitor Sales"/>
  </r>
  <r>
    <n v="849"/>
    <x v="95"/>
    <x v="0"/>
    <x v="0"/>
    <n v="36"/>
    <n v="146"/>
    <n v="162"/>
    <n v="123.85"/>
    <n v="87.43"/>
    <n v="31"/>
    <n v="13"/>
    <s v="2026-01-28"/>
    <n v="120"/>
    <n v="5"/>
    <n v="29"/>
    <s v="No"/>
    <x v="1"/>
    <n v="-16"/>
    <n v="4.0555555555555554"/>
    <s v="Low Risk"/>
    <s v="Maintain Stock"/>
  </r>
  <r>
    <n v="850"/>
    <x v="31"/>
    <x v="1"/>
    <x v="1"/>
    <n v="295"/>
    <n v="185"/>
    <n v="211"/>
    <n v="2145.9499999999998"/>
    <n v="1654.24"/>
    <n v="105"/>
    <n v="7"/>
    <s v="2026-03-21"/>
    <n v="128"/>
    <n v="4"/>
    <n v="19"/>
    <s v="No"/>
    <x v="1"/>
    <n v="-26"/>
    <n v="0.6271186440677966"/>
    <s v="Medium Risk"/>
    <s v="Monitor Sales"/>
  </r>
  <r>
    <n v="851"/>
    <x v="33"/>
    <x v="3"/>
    <x v="1"/>
    <n v="293"/>
    <n v="2"/>
    <n v="19"/>
    <n v="3337.3"/>
    <n v="2257.0700000000002"/>
    <n v="111"/>
    <n v="12"/>
    <s v="2026-02-16"/>
    <n v="322"/>
    <n v="4"/>
    <n v="13"/>
    <s v="Yes"/>
    <x v="0"/>
    <n v="-17"/>
    <n v="6.8259385665529011E-3"/>
    <s v="High Risk"/>
    <s v="Apply Discount / Promotion"/>
  </r>
  <r>
    <n v="852"/>
    <x v="3"/>
    <x v="2"/>
    <x v="1"/>
    <n v="308"/>
    <n v="340"/>
    <n v="334"/>
    <n v="2912.9"/>
    <n v="1744.28"/>
    <n v="72"/>
    <n v="8"/>
    <s v="2026-01-03"/>
    <n v="205"/>
    <n v="4"/>
    <n v="9"/>
    <s v="No"/>
    <x v="0"/>
    <n v="6"/>
    <n v="1.1038961038961039"/>
    <s v="Low Risk"/>
    <s v="Maintain Stock"/>
  </r>
  <r>
    <n v="853"/>
    <x v="62"/>
    <x v="2"/>
    <x v="3"/>
    <n v="412"/>
    <n v="354"/>
    <n v="312"/>
    <n v="1216.93"/>
    <n v="894.9"/>
    <n v="93"/>
    <n v="3"/>
    <s v="2026-02-04"/>
    <n v="203"/>
    <n v="4"/>
    <n v="22"/>
    <s v="No"/>
    <x v="2"/>
    <n v="42"/>
    <n v="0.85922330097087374"/>
    <s v="Medium Risk"/>
    <s v="Monitor Sales"/>
  </r>
  <r>
    <n v="854"/>
    <x v="89"/>
    <x v="1"/>
    <x v="1"/>
    <n v="250"/>
    <n v="249"/>
    <n v="258"/>
    <n v="419.27"/>
    <n v="285.20999999999998"/>
    <n v="118"/>
    <n v="13"/>
    <s v="2026-03-24"/>
    <n v="294"/>
    <n v="4"/>
    <n v="43"/>
    <s v="No"/>
    <x v="0"/>
    <n v="-9"/>
    <n v="0.996"/>
    <s v="Medium Risk"/>
    <s v="Monitor Sales"/>
  </r>
  <r>
    <n v="855"/>
    <x v="62"/>
    <x v="3"/>
    <x v="1"/>
    <n v="21"/>
    <n v="149"/>
    <n v="125"/>
    <n v="2984.01"/>
    <n v="1680.3"/>
    <n v="134"/>
    <n v="12"/>
    <s v="2026-01-13"/>
    <n v="244"/>
    <n v="4"/>
    <n v="10"/>
    <s v="No"/>
    <x v="1"/>
    <n v="24"/>
    <n v="7.0952380952380949"/>
    <s v="Low Risk"/>
    <s v="Maintain Stock"/>
  </r>
  <r>
    <n v="856"/>
    <x v="29"/>
    <x v="0"/>
    <x v="2"/>
    <n v="196"/>
    <n v="276"/>
    <n v="226"/>
    <n v="3557.97"/>
    <n v="1840.24"/>
    <n v="108"/>
    <n v="1"/>
    <s v="2026-01-16"/>
    <n v="56"/>
    <n v="4"/>
    <n v="23"/>
    <s v="Yes"/>
    <x v="2"/>
    <n v="50"/>
    <n v="1.4081632653061225"/>
    <s v="Low Risk"/>
    <s v="Maintain Stock"/>
  </r>
  <r>
    <n v="857"/>
    <x v="2"/>
    <x v="3"/>
    <x v="2"/>
    <n v="455"/>
    <n v="153"/>
    <n v="145"/>
    <n v="4733.41"/>
    <n v="3420.06"/>
    <n v="48"/>
    <n v="1"/>
    <s v="2026-02-26"/>
    <n v="66"/>
    <n v="2"/>
    <n v="15"/>
    <s v="No"/>
    <x v="2"/>
    <n v="8"/>
    <n v="0.33626373626373629"/>
    <s v="High Risk"/>
    <s v="Apply Discount / Promotion"/>
  </r>
  <r>
    <n v="858"/>
    <x v="59"/>
    <x v="0"/>
    <x v="1"/>
    <n v="114"/>
    <n v="113"/>
    <n v="131"/>
    <n v="864.45"/>
    <n v="564.47"/>
    <n v="109"/>
    <n v="13"/>
    <s v="2026-03-26"/>
    <n v="180"/>
    <n v="4"/>
    <n v="42"/>
    <s v="No"/>
    <x v="1"/>
    <n v="-18"/>
    <n v="0.99122807017543857"/>
    <s v="Medium Risk"/>
    <s v="Monitor Sales"/>
  </r>
  <r>
    <n v="859"/>
    <x v="49"/>
    <x v="1"/>
    <x v="2"/>
    <n v="214"/>
    <n v="191"/>
    <n v="178"/>
    <n v="520.08000000000004"/>
    <n v="329.79"/>
    <n v="94"/>
    <n v="2"/>
    <s v="2026-03-10"/>
    <n v="220"/>
    <n v="1"/>
    <n v="5"/>
    <s v="No"/>
    <x v="0"/>
    <n v="13"/>
    <n v="0.89252336448598135"/>
    <s v="Medium Risk"/>
    <s v="Monitor Sales"/>
  </r>
  <r>
    <n v="860"/>
    <x v="36"/>
    <x v="0"/>
    <x v="2"/>
    <n v="298"/>
    <n v="322"/>
    <n v="300"/>
    <n v="2374.64"/>
    <n v="1522.98"/>
    <n v="133"/>
    <n v="7"/>
    <s v="2026-02-08"/>
    <n v="60"/>
    <n v="5"/>
    <n v="33"/>
    <s v="No"/>
    <x v="2"/>
    <n v="22"/>
    <n v="1.080536912751678"/>
    <s v="Low Risk"/>
    <s v="Maintain Stock"/>
  </r>
  <r>
    <n v="861"/>
    <x v="69"/>
    <x v="0"/>
    <x v="0"/>
    <n v="165"/>
    <n v="148"/>
    <n v="152"/>
    <n v="4562.53"/>
    <n v="2707.71"/>
    <n v="133"/>
    <n v="4"/>
    <s v="2026-03-04"/>
    <n v="106"/>
    <n v="2"/>
    <n v="27"/>
    <s v="No"/>
    <x v="1"/>
    <n v="-4"/>
    <n v="0.89696969696969697"/>
    <s v="Medium Risk"/>
    <s v="Monitor Sales"/>
  </r>
  <r>
    <n v="862"/>
    <x v="96"/>
    <x v="1"/>
    <x v="2"/>
    <n v="52"/>
    <n v="417"/>
    <n v="374"/>
    <n v="399.12"/>
    <n v="200.12"/>
    <n v="115"/>
    <n v="2"/>
    <s v="2026-02-20"/>
    <n v="212"/>
    <n v="1"/>
    <n v="49"/>
    <s v="Yes"/>
    <x v="1"/>
    <n v="43"/>
    <n v="8.0192307692307701"/>
    <s v="Low Risk"/>
    <s v="Maintain Stock"/>
  </r>
  <r>
    <n v="863"/>
    <x v="45"/>
    <x v="0"/>
    <x v="2"/>
    <n v="87"/>
    <n v="370"/>
    <n v="338"/>
    <n v="1163.43"/>
    <n v="691.92"/>
    <n v="147"/>
    <n v="11"/>
    <s v="2026-02-05"/>
    <n v="112"/>
    <n v="2"/>
    <n v="43"/>
    <s v="No"/>
    <x v="1"/>
    <n v="32"/>
    <n v="4.2528735632183912"/>
    <s v="Low Risk"/>
    <s v="Maintain Stock"/>
  </r>
  <r>
    <n v="864"/>
    <x v="29"/>
    <x v="3"/>
    <x v="3"/>
    <n v="347"/>
    <n v="152"/>
    <n v="148"/>
    <n v="3121.73"/>
    <n v="2005.18"/>
    <n v="51"/>
    <n v="4"/>
    <s v="2026-02-01"/>
    <n v="104"/>
    <n v="1"/>
    <n v="3"/>
    <s v="Yes"/>
    <x v="2"/>
    <n v="4"/>
    <n v="0.43804034582132567"/>
    <s v="High Risk"/>
    <s v="Apply Discount / Promotion"/>
  </r>
  <r>
    <n v="865"/>
    <x v="45"/>
    <x v="4"/>
    <x v="2"/>
    <n v="312"/>
    <n v="131"/>
    <n v="90"/>
    <n v="2568.0100000000002"/>
    <n v="1303.76"/>
    <n v="31"/>
    <n v="11"/>
    <s v="2026-02-15"/>
    <n v="66"/>
    <n v="2"/>
    <n v="10"/>
    <s v="Yes"/>
    <x v="2"/>
    <n v="41"/>
    <n v="0.41987179487179488"/>
    <s v="High Risk"/>
    <s v="Apply Discount / Promotion"/>
  </r>
  <r>
    <n v="866"/>
    <x v="80"/>
    <x v="3"/>
    <x v="0"/>
    <n v="338"/>
    <n v="298"/>
    <n v="317"/>
    <n v="4133.87"/>
    <n v="2145.86"/>
    <n v="50"/>
    <n v="15"/>
    <s v="2026-02-16"/>
    <n v="93"/>
    <n v="2"/>
    <n v="27"/>
    <s v="No"/>
    <x v="1"/>
    <n v="-19"/>
    <n v="0.88165680473372776"/>
    <s v="Medium Risk"/>
    <s v="Monitor Sales"/>
  </r>
  <r>
    <n v="867"/>
    <x v="50"/>
    <x v="1"/>
    <x v="1"/>
    <n v="372"/>
    <n v="378"/>
    <n v="378"/>
    <n v="2462.77"/>
    <n v="1838.82"/>
    <n v="126"/>
    <n v="1"/>
    <s v="2026-02-12"/>
    <n v="144"/>
    <n v="3"/>
    <n v="2"/>
    <s v="No"/>
    <x v="2"/>
    <n v="0"/>
    <n v="1.0161290322580645"/>
    <s v="Low Risk"/>
    <s v="Maintain Stock"/>
  </r>
  <r>
    <n v="868"/>
    <x v="40"/>
    <x v="2"/>
    <x v="2"/>
    <n v="283"/>
    <n v="118"/>
    <n v="74"/>
    <n v="2894.61"/>
    <n v="2309.9699999999998"/>
    <n v="112"/>
    <n v="9"/>
    <s v="2026-02-09"/>
    <n v="333"/>
    <n v="3"/>
    <n v="0"/>
    <s v="No"/>
    <x v="0"/>
    <n v="44"/>
    <n v="0.41696113074204949"/>
    <s v="High Risk"/>
    <s v="Apply Discount / Promotion"/>
  </r>
  <r>
    <n v="869"/>
    <x v="56"/>
    <x v="0"/>
    <x v="3"/>
    <n v="95"/>
    <n v="354"/>
    <n v="356"/>
    <n v="4497.62"/>
    <n v="3343.43"/>
    <n v="62"/>
    <n v="14"/>
    <s v="2026-01-01"/>
    <n v="330"/>
    <n v="1"/>
    <n v="47"/>
    <s v="No"/>
    <x v="2"/>
    <n v="-2"/>
    <n v="3.7263157894736842"/>
    <s v="Low Risk"/>
    <s v="Maintain Stock"/>
  </r>
  <r>
    <n v="870"/>
    <x v="85"/>
    <x v="3"/>
    <x v="1"/>
    <n v="199"/>
    <n v="292"/>
    <n v="315"/>
    <n v="4436.3599999999997"/>
    <n v="3141.9"/>
    <n v="115"/>
    <n v="13"/>
    <s v="2026-01-13"/>
    <n v="291"/>
    <n v="4"/>
    <n v="24"/>
    <s v="Yes"/>
    <x v="2"/>
    <n v="-23"/>
    <n v="1.4673366834170853"/>
    <s v="Low Risk"/>
    <s v="Maintain Stock"/>
  </r>
  <r>
    <n v="871"/>
    <x v="91"/>
    <x v="3"/>
    <x v="2"/>
    <n v="105"/>
    <n v="297"/>
    <n v="286"/>
    <n v="1501.27"/>
    <n v="1009.48"/>
    <n v="68"/>
    <n v="9"/>
    <s v="2026-01-18"/>
    <n v="85"/>
    <n v="2"/>
    <n v="31"/>
    <s v="No"/>
    <x v="0"/>
    <n v="11"/>
    <n v="2.8285714285714287"/>
    <s v="Low Risk"/>
    <s v="Maintain Stock"/>
  </r>
  <r>
    <n v="872"/>
    <x v="37"/>
    <x v="3"/>
    <x v="0"/>
    <n v="149"/>
    <n v="296"/>
    <n v="276"/>
    <n v="1577.99"/>
    <n v="1135.7"/>
    <n v="140"/>
    <n v="1"/>
    <s v="2026-01-12"/>
    <n v="150"/>
    <n v="4"/>
    <n v="17"/>
    <s v="No"/>
    <x v="2"/>
    <n v="20"/>
    <n v="1.9865771812080537"/>
    <s v="Low Risk"/>
    <s v="Maintain Stock"/>
  </r>
  <r>
    <n v="873"/>
    <x v="88"/>
    <x v="4"/>
    <x v="2"/>
    <n v="256"/>
    <n v="347"/>
    <n v="356"/>
    <n v="4067.74"/>
    <n v="2817.57"/>
    <n v="148"/>
    <n v="12"/>
    <s v="2026-02-18"/>
    <n v="301"/>
    <n v="4"/>
    <n v="48"/>
    <s v="Yes"/>
    <x v="1"/>
    <n v="-9"/>
    <n v="1.35546875"/>
    <s v="Low Risk"/>
    <s v="Maintain Stock"/>
  </r>
  <r>
    <n v="874"/>
    <x v="75"/>
    <x v="3"/>
    <x v="0"/>
    <n v="452"/>
    <n v="7"/>
    <n v="10"/>
    <n v="508.95"/>
    <n v="357.25"/>
    <n v="129"/>
    <n v="9"/>
    <s v="2026-03-14"/>
    <n v="306"/>
    <n v="5"/>
    <n v="9"/>
    <s v="No"/>
    <x v="2"/>
    <n v="-3"/>
    <n v="1.5486725663716814E-2"/>
    <s v="High Risk"/>
    <s v="Apply Discount / Promotion"/>
  </r>
  <r>
    <n v="875"/>
    <x v="61"/>
    <x v="2"/>
    <x v="1"/>
    <n v="265"/>
    <n v="245"/>
    <n v="283"/>
    <n v="2929.63"/>
    <n v="2006.22"/>
    <n v="137"/>
    <n v="14"/>
    <s v="2026-03-06"/>
    <n v="184"/>
    <n v="4"/>
    <n v="0"/>
    <s v="No"/>
    <x v="1"/>
    <n v="-38"/>
    <n v="0.92452830188679247"/>
    <s v="Medium Risk"/>
    <s v="Monitor Sales"/>
  </r>
  <r>
    <n v="876"/>
    <x v="45"/>
    <x v="0"/>
    <x v="0"/>
    <n v="193"/>
    <n v="22"/>
    <n v="12"/>
    <n v="268"/>
    <n v="168.47"/>
    <n v="103"/>
    <n v="3"/>
    <s v="2026-01-01"/>
    <n v="266"/>
    <n v="3"/>
    <n v="13"/>
    <s v="Yes"/>
    <x v="0"/>
    <n v="10"/>
    <n v="0.11398963730569948"/>
    <s v="High Risk"/>
    <s v="Apply Discount / Promotion"/>
  </r>
  <r>
    <n v="877"/>
    <x v="69"/>
    <x v="1"/>
    <x v="2"/>
    <n v="294"/>
    <n v="177"/>
    <n v="138"/>
    <n v="903.72"/>
    <n v="472.49"/>
    <n v="113"/>
    <n v="11"/>
    <s v="2026-03-04"/>
    <n v="143"/>
    <n v="3"/>
    <n v="11"/>
    <s v="Yes"/>
    <x v="2"/>
    <n v="39"/>
    <n v="0.60204081632653061"/>
    <s v="Medium Risk"/>
    <s v="Monitor Sales"/>
  </r>
  <r>
    <n v="878"/>
    <x v="91"/>
    <x v="2"/>
    <x v="2"/>
    <n v="453"/>
    <n v="75"/>
    <n v="55"/>
    <n v="4932.41"/>
    <n v="3297.23"/>
    <n v="96"/>
    <n v="11"/>
    <s v="2026-01-22"/>
    <n v="173"/>
    <n v="1"/>
    <n v="45"/>
    <s v="No"/>
    <x v="0"/>
    <n v="20"/>
    <n v="0.16556291390728478"/>
    <s v="High Risk"/>
    <s v="Apply Discount / Promotion"/>
  </r>
  <r>
    <n v="879"/>
    <x v="53"/>
    <x v="3"/>
    <x v="2"/>
    <n v="62"/>
    <n v="347"/>
    <n v="298"/>
    <n v="200.2"/>
    <n v="126.87"/>
    <n v="44"/>
    <n v="15"/>
    <s v="2026-01-17"/>
    <n v="315"/>
    <n v="2"/>
    <n v="6"/>
    <s v="Yes"/>
    <x v="0"/>
    <n v="49"/>
    <n v="5.596774193548387"/>
    <s v="Low Risk"/>
    <s v="Maintain Stock"/>
  </r>
  <r>
    <n v="880"/>
    <x v="20"/>
    <x v="2"/>
    <x v="0"/>
    <n v="355"/>
    <n v="377"/>
    <n v="395"/>
    <n v="4611.28"/>
    <n v="3247.91"/>
    <n v="141"/>
    <n v="2"/>
    <s v="2026-01-04"/>
    <n v="165"/>
    <n v="2"/>
    <n v="9"/>
    <s v="No"/>
    <x v="2"/>
    <n v="-18"/>
    <n v="1.0619718309859154"/>
    <s v="Low Risk"/>
    <s v="Maintain Stock"/>
  </r>
  <r>
    <n v="881"/>
    <x v="41"/>
    <x v="2"/>
    <x v="0"/>
    <n v="272"/>
    <n v="21"/>
    <n v="46"/>
    <n v="4929.1400000000003"/>
    <n v="3117.44"/>
    <n v="49"/>
    <n v="11"/>
    <s v="2026-02-08"/>
    <n v="148"/>
    <n v="1"/>
    <n v="24"/>
    <s v="No"/>
    <x v="1"/>
    <n v="-25"/>
    <n v="7.720588235294118E-2"/>
    <s v="High Risk"/>
    <s v="Apply Discount / Promotion"/>
  </r>
  <r>
    <n v="882"/>
    <x v="63"/>
    <x v="0"/>
    <x v="2"/>
    <n v="365"/>
    <n v="154"/>
    <n v="176"/>
    <n v="4874.3900000000003"/>
    <n v="3438"/>
    <n v="112"/>
    <n v="14"/>
    <s v="2026-02-11"/>
    <n v="193"/>
    <n v="1"/>
    <n v="10"/>
    <s v="No"/>
    <x v="0"/>
    <n v="-22"/>
    <n v="0.42191780821917807"/>
    <s v="High Risk"/>
    <s v="Apply Discount / Promotion"/>
  </r>
  <r>
    <n v="883"/>
    <x v="9"/>
    <x v="3"/>
    <x v="2"/>
    <n v="190"/>
    <n v="258"/>
    <n v="239"/>
    <n v="2995.32"/>
    <n v="1506.44"/>
    <n v="85"/>
    <n v="7"/>
    <s v="2025-12-29"/>
    <n v="147"/>
    <n v="5"/>
    <n v="37"/>
    <s v="No"/>
    <x v="2"/>
    <n v="19"/>
    <n v="1.3578947368421053"/>
    <s v="Low Risk"/>
    <s v="Maintain Stock"/>
  </r>
  <r>
    <n v="884"/>
    <x v="23"/>
    <x v="1"/>
    <x v="3"/>
    <n v="97"/>
    <n v="73"/>
    <n v="77"/>
    <n v="3308.43"/>
    <n v="2062.44"/>
    <n v="141"/>
    <n v="9"/>
    <s v="2025-12-30"/>
    <n v="332"/>
    <n v="1"/>
    <n v="7"/>
    <s v="Yes"/>
    <x v="1"/>
    <n v="-4"/>
    <n v="0.75257731958762886"/>
    <s v="Medium Risk"/>
    <s v="Monitor Sales"/>
  </r>
  <r>
    <n v="885"/>
    <x v="58"/>
    <x v="4"/>
    <x v="1"/>
    <n v="63"/>
    <n v="350"/>
    <n v="316"/>
    <n v="4313.87"/>
    <n v="2233.25"/>
    <n v="121"/>
    <n v="13"/>
    <s v="2026-01-10"/>
    <n v="258"/>
    <n v="2"/>
    <n v="20"/>
    <s v="No"/>
    <x v="0"/>
    <n v="34"/>
    <n v="5.5555555555555554"/>
    <s v="Low Risk"/>
    <s v="Maintain Stock"/>
  </r>
  <r>
    <n v="886"/>
    <x v="27"/>
    <x v="4"/>
    <x v="0"/>
    <n v="139"/>
    <n v="316"/>
    <n v="339"/>
    <n v="2512.2600000000002"/>
    <n v="1567.03"/>
    <n v="37"/>
    <n v="4"/>
    <s v="2026-02-06"/>
    <n v="299"/>
    <n v="3"/>
    <n v="44"/>
    <s v="No"/>
    <x v="2"/>
    <n v="-23"/>
    <n v="2.2733812949640289"/>
    <s v="Low Risk"/>
    <s v="Maintain Stock"/>
  </r>
  <r>
    <n v="887"/>
    <x v="99"/>
    <x v="2"/>
    <x v="1"/>
    <n v="342"/>
    <n v="346"/>
    <n v="366"/>
    <n v="3529.69"/>
    <n v="2212.9"/>
    <n v="150"/>
    <n v="14"/>
    <s v="2026-03-06"/>
    <n v="244"/>
    <n v="1"/>
    <n v="11"/>
    <s v="Yes"/>
    <x v="1"/>
    <n v="-20"/>
    <n v="1.0116959064327486"/>
    <s v="Low Risk"/>
    <s v="Maintain Stock"/>
  </r>
  <r>
    <n v="888"/>
    <x v="13"/>
    <x v="2"/>
    <x v="2"/>
    <n v="377"/>
    <n v="254"/>
    <n v="244"/>
    <n v="3926.69"/>
    <n v="2821.57"/>
    <n v="59"/>
    <n v="7"/>
    <s v="2026-02-09"/>
    <n v="115"/>
    <n v="1"/>
    <n v="30"/>
    <s v="No"/>
    <x v="2"/>
    <n v="10"/>
    <n v="0.67374005305039786"/>
    <s v="Medium Risk"/>
    <s v="Monitor Sales"/>
  </r>
  <r>
    <n v="889"/>
    <x v="59"/>
    <x v="4"/>
    <x v="2"/>
    <n v="375"/>
    <n v="162"/>
    <n v="130"/>
    <n v="126.68"/>
    <n v="64.59"/>
    <n v="106"/>
    <n v="12"/>
    <s v="2026-03-25"/>
    <n v="62"/>
    <n v="3"/>
    <n v="0"/>
    <s v="No"/>
    <x v="1"/>
    <n v="32"/>
    <n v="0.432"/>
    <s v="High Risk"/>
    <s v="Apply Discount / Promotion"/>
  </r>
  <r>
    <n v="890"/>
    <x v="59"/>
    <x v="3"/>
    <x v="2"/>
    <n v="365"/>
    <n v="292"/>
    <n v="268"/>
    <n v="3935.22"/>
    <n v="2898.14"/>
    <n v="40"/>
    <n v="5"/>
    <s v="2026-02-04"/>
    <n v="58"/>
    <n v="2"/>
    <n v="31"/>
    <s v="No"/>
    <x v="0"/>
    <n v="24"/>
    <n v="0.8"/>
    <s v="Medium Risk"/>
    <s v="Monitor Sales"/>
  </r>
  <r>
    <n v="891"/>
    <x v="92"/>
    <x v="4"/>
    <x v="3"/>
    <n v="489"/>
    <n v="349"/>
    <n v="387"/>
    <n v="1424.55"/>
    <n v="1099.24"/>
    <n v="89"/>
    <n v="12"/>
    <s v="2026-03-02"/>
    <n v="262"/>
    <n v="1"/>
    <n v="42"/>
    <s v="No"/>
    <x v="1"/>
    <n v="-38"/>
    <n v="0.71370143149284249"/>
    <s v="Medium Risk"/>
    <s v="Monitor Sales"/>
  </r>
  <r>
    <n v="892"/>
    <x v="3"/>
    <x v="4"/>
    <x v="3"/>
    <n v="301"/>
    <n v="149"/>
    <n v="149"/>
    <n v="4351.2299999999996"/>
    <n v="2271.84"/>
    <n v="148"/>
    <n v="5"/>
    <s v="2026-03-22"/>
    <n v="131"/>
    <n v="3"/>
    <n v="4"/>
    <s v="Yes"/>
    <x v="1"/>
    <n v="0"/>
    <n v="0.49501661129568109"/>
    <s v="High Risk"/>
    <s v="Apply Discount / Promotion"/>
  </r>
  <r>
    <n v="893"/>
    <x v="36"/>
    <x v="0"/>
    <x v="1"/>
    <n v="490"/>
    <n v="88"/>
    <n v="119"/>
    <n v="4255.34"/>
    <n v="2610.86"/>
    <n v="44"/>
    <n v="10"/>
    <s v="2026-01-26"/>
    <n v="178"/>
    <n v="4"/>
    <n v="29"/>
    <s v="No"/>
    <x v="0"/>
    <n v="-31"/>
    <n v="0.17959183673469387"/>
    <s v="High Risk"/>
    <s v="Apply Discount / Promotion"/>
  </r>
  <r>
    <n v="894"/>
    <x v="44"/>
    <x v="1"/>
    <x v="3"/>
    <n v="319"/>
    <n v="174"/>
    <n v="167"/>
    <n v="4263.4399999999996"/>
    <n v="2226.6999999999998"/>
    <n v="115"/>
    <n v="6"/>
    <s v="2026-01-24"/>
    <n v="67"/>
    <n v="1"/>
    <n v="10"/>
    <s v="Yes"/>
    <x v="1"/>
    <n v="7"/>
    <n v="0.54545454545454541"/>
    <s v="Medium Risk"/>
    <s v="Monitor Sales"/>
  </r>
  <r>
    <n v="895"/>
    <x v="45"/>
    <x v="2"/>
    <x v="3"/>
    <n v="314"/>
    <n v="235"/>
    <n v="277"/>
    <n v="2886.02"/>
    <n v="2059.5300000000002"/>
    <n v="114"/>
    <n v="13"/>
    <s v="2026-02-03"/>
    <n v="87"/>
    <n v="2"/>
    <n v="35"/>
    <s v="Yes"/>
    <x v="2"/>
    <n v="-42"/>
    <n v="0.74840764331210186"/>
    <s v="Medium Risk"/>
    <s v="Monitor Sales"/>
  </r>
  <r>
    <n v="896"/>
    <x v="47"/>
    <x v="1"/>
    <x v="0"/>
    <n v="412"/>
    <n v="197"/>
    <n v="163"/>
    <n v="2615.7800000000002"/>
    <n v="1569.33"/>
    <n v="129"/>
    <n v="4"/>
    <s v="2026-02-18"/>
    <n v="68"/>
    <n v="2"/>
    <n v="8"/>
    <s v="Yes"/>
    <x v="1"/>
    <n v="34"/>
    <n v="0.47815533980582525"/>
    <s v="High Risk"/>
    <s v="Apply Discount / Promotion"/>
  </r>
  <r>
    <n v="897"/>
    <x v="58"/>
    <x v="1"/>
    <x v="3"/>
    <n v="314"/>
    <n v="247"/>
    <n v="218"/>
    <n v="3716.09"/>
    <n v="1941.12"/>
    <n v="119"/>
    <n v="1"/>
    <s v="2026-03-08"/>
    <n v="336"/>
    <n v="1"/>
    <n v="14"/>
    <s v="No"/>
    <x v="1"/>
    <n v="29"/>
    <n v="0.7866242038216561"/>
    <s v="Medium Risk"/>
    <s v="Monitor Sales"/>
  </r>
  <r>
    <n v="898"/>
    <x v="27"/>
    <x v="1"/>
    <x v="0"/>
    <n v="234"/>
    <n v="421"/>
    <n v="398"/>
    <n v="4497.62"/>
    <n v="3065.13"/>
    <n v="88"/>
    <n v="8"/>
    <s v="2026-02-09"/>
    <n v="357"/>
    <n v="3"/>
    <n v="18"/>
    <s v="No"/>
    <x v="1"/>
    <n v="23"/>
    <n v="1.7991452991452992"/>
    <s v="Low Risk"/>
    <s v="Maintain Stock"/>
  </r>
  <r>
    <n v="899"/>
    <x v="67"/>
    <x v="4"/>
    <x v="3"/>
    <n v="161"/>
    <n v="52"/>
    <n v="79"/>
    <n v="3444.41"/>
    <n v="2390.2199999999998"/>
    <n v="60"/>
    <n v="9"/>
    <s v="2026-01-09"/>
    <n v="200"/>
    <n v="1"/>
    <n v="16"/>
    <s v="Yes"/>
    <x v="1"/>
    <n v="-27"/>
    <n v="0.32298136645962733"/>
    <s v="High Risk"/>
    <s v="Apply Discount / Promotion"/>
  </r>
  <r>
    <n v="900"/>
    <x v="45"/>
    <x v="1"/>
    <x v="3"/>
    <n v="310"/>
    <n v="171"/>
    <n v="215"/>
    <n v="1364.22"/>
    <n v="926.74"/>
    <n v="51"/>
    <n v="1"/>
    <s v="2026-03-07"/>
    <n v="246"/>
    <n v="1"/>
    <n v="25"/>
    <s v="No"/>
    <x v="0"/>
    <n v="-44"/>
    <n v="0.55161290322580647"/>
    <s v="Medium Risk"/>
    <s v="Monitor Sales"/>
  </r>
  <r>
    <n v="901"/>
    <x v="67"/>
    <x v="3"/>
    <x v="2"/>
    <n v="249"/>
    <n v="214"/>
    <n v="203"/>
    <n v="1160.82"/>
    <n v="864.38"/>
    <n v="113"/>
    <n v="6"/>
    <s v="2026-03-21"/>
    <n v="347"/>
    <n v="3"/>
    <n v="1"/>
    <s v="Yes"/>
    <x v="0"/>
    <n v="11"/>
    <n v="0.85943775100401609"/>
    <s v="Medium Risk"/>
    <s v="Monitor Sales"/>
  </r>
  <r>
    <n v="902"/>
    <x v="80"/>
    <x v="2"/>
    <x v="2"/>
    <n v="162"/>
    <n v="152"/>
    <n v="142"/>
    <n v="4519.3999999999996"/>
    <n v="3081.81"/>
    <n v="66"/>
    <n v="9"/>
    <s v="2026-01-27"/>
    <n v="239"/>
    <n v="5"/>
    <n v="12"/>
    <s v="Yes"/>
    <x v="0"/>
    <n v="10"/>
    <n v="0.93827160493827155"/>
    <s v="Medium Risk"/>
    <s v="Monitor Sales"/>
  </r>
  <r>
    <n v="903"/>
    <x v="31"/>
    <x v="3"/>
    <x v="3"/>
    <n v="235"/>
    <n v="377"/>
    <n v="385"/>
    <n v="51.12"/>
    <n v="28.87"/>
    <n v="119"/>
    <n v="12"/>
    <s v="2026-01-17"/>
    <n v="161"/>
    <n v="5"/>
    <n v="14"/>
    <s v="No"/>
    <x v="0"/>
    <n v="-8"/>
    <n v="1.6042553191489362"/>
    <s v="Low Risk"/>
    <s v="Maintain Stock"/>
  </r>
  <r>
    <n v="904"/>
    <x v="68"/>
    <x v="4"/>
    <x v="2"/>
    <n v="211"/>
    <n v="38"/>
    <n v="81"/>
    <n v="912.4"/>
    <n v="579.46"/>
    <n v="104"/>
    <n v="4"/>
    <s v="2026-01-04"/>
    <n v="32"/>
    <n v="3"/>
    <n v="32"/>
    <s v="Yes"/>
    <x v="0"/>
    <n v="-43"/>
    <n v="0.18009478672985782"/>
    <s v="High Risk"/>
    <s v="Apply Discount / Promotion"/>
  </r>
  <r>
    <n v="905"/>
    <x v="25"/>
    <x v="3"/>
    <x v="2"/>
    <n v="207"/>
    <n v="10"/>
    <n v="14"/>
    <n v="4417.76"/>
    <n v="3080.53"/>
    <n v="90"/>
    <n v="14"/>
    <s v="2026-01-28"/>
    <n v="251"/>
    <n v="2"/>
    <n v="3"/>
    <s v="Yes"/>
    <x v="1"/>
    <n v="-4"/>
    <n v="4.8309178743961352E-2"/>
    <s v="High Risk"/>
    <s v="Apply Discount / Promotion"/>
  </r>
  <r>
    <n v="906"/>
    <x v="81"/>
    <x v="1"/>
    <x v="2"/>
    <n v="216"/>
    <n v="88"/>
    <n v="41"/>
    <n v="1894.81"/>
    <n v="1076.27"/>
    <n v="106"/>
    <n v="4"/>
    <s v="2026-03-01"/>
    <n v="173"/>
    <n v="1"/>
    <n v="30"/>
    <s v="Yes"/>
    <x v="0"/>
    <n v="47"/>
    <n v="0.40740740740740738"/>
    <s v="High Risk"/>
    <s v="Apply Discount / Promotion"/>
  </r>
  <r>
    <n v="907"/>
    <x v="32"/>
    <x v="0"/>
    <x v="1"/>
    <n v="418"/>
    <n v="112"/>
    <n v="104"/>
    <n v="1064.52"/>
    <n v="728.99"/>
    <n v="124"/>
    <n v="3"/>
    <s v="2026-03-22"/>
    <n v="142"/>
    <n v="2"/>
    <n v="3"/>
    <s v="Yes"/>
    <x v="2"/>
    <n v="8"/>
    <n v="0.26794258373205743"/>
    <s v="High Risk"/>
    <s v="Apply Discount / Promotion"/>
  </r>
  <r>
    <n v="908"/>
    <x v="44"/>
    <x v="0"/>
    <x v="2"/>
    <n v="421"/>
    <n v="83"/>
    <n v="66"/>
    <n v="3397.63"/>
    <n v="1746.66"/>
    <n v="80"/>
    <n v="5"/>
    <s v="2026-02-04"/>
    <n v="55"/>
    <n v="5"/>
    <n v="34"/>
    <s v="No"/>
    <x v="1"/>
    <n v="17"/>
    <n v="0.19714964370546317"/>
    <s v="High Risk"/>
    <s v="Apply Discount / Promotion"/>
  </r>
  <r>
    <n v="909"/>
    <x v="55"/>
    <x v="2"/>
    <x v="2"/>
    <n v="341"/>
    <n v="366"/>
    <n v="392"/>
    <n v="1383.53"/>
    <n v="952.66"/>
    <n v="105"/>
    <n v="2"/>
    <s v="2026-03-06"/>
    <n v="348"/>
    <n v="5"/>
    <n v="32"/>
    <s v="No"/>
    <x v="1"/>
    <n v="-26"/>
    <n v="1.0733137829912023"/>
    <s v="Low Risk"/>
    <s v="Maintain Stock"/>
  </r>
  <r>
    <n v="910"/>
    <x v="85"/>
    <x v="4"/>
    <x v="2"/>
    <n v="91"/>
    <n v="83"/>
    <n v="60"/>
    <n v="2346.14"/>
    <n v="1245.96"/>
    <n v="113"/>
    <n v="13"/>
    <s v="2026-01-15"/>
    <n v="203"/>
    <n v="5"/>
    <n v="24"/>
    <s v="No"/>
    <x v="2"/>
    <n v="23"/>
    <n v="0.91208791208791207"/>
    <s v="Medium Risk"/>
    <s v="Monitor Sales"/>
  </r>
  <r>
    <n v="911"/>
    <x v="9"/>
    <x v="3"/>
    <x v="0"/>
    <n v="454"/>
    <n v="372"/>
    <n v="363"/>
    <n v="1461.79"/>
    <n v="1105.96"/>
    <n v="35"/>
    <n v="4"/>
    <s v="2026-01-16"/>
    <n v="169"/>
    <n v="1"/>
    <n v="35"/>
    <s v="No"/>
    <x v="0"/>
    <n v="9"/>
    <n v="0.81938325991189431"/>
    <s v="Medium Risk"/>
    <s v="Monitor Sales"/>
  </r>
  <r>
    <n v="912"/>
    <x v="66"/>
    <x v="0"/>
    <x v="3"/>
    <n v="478"/>
    <n v="280"/>
    <n v="280"/>
    <n v="311.17"/>
    <n v="207.63"/>
    <n v="124"/>
    <n v="6"/>
    <s v="2026-01-18"/>
    <n v="202"/>
    <n v="2"/>
    <n v="1"/>
    <s v="Yes"/>
    <x v="1"/>
    <n v="0"/>
    <n v="0.58577405857740583"/>
    <s v="Medium Risk"/>
    <s v="Monitor Sales"/>
  </r>
  <r>
    <n v="913"/>
    <x v="99"/>
    <x v="4"/>
    <x v="0"/>
    <n v="225"/>
    <n v="261"/>
    <n v="253"/>
    <n v="2253.65"/>
    <n v="1621.91"/>
    <n v="55"/>
    <n v="14"/>
    <s v="2026-01-14"/>
    <n v="180"/>
    <n v="1"/>
    <n v="31"/>
    <s v="Yes"/>
    <x v="0"/>
    <n v="8"/>
    <n v="1.1599999999999999"/>
    <s v="Low Risk"/>
    <s v="Maintain Stock"/>
  </r>
  <r>
    <n v="914"/>
    <x v="49"/>
    <x v="0"/>
    <x v="2"/>
    <n v="222"/>
    <n v="44"/>
    <n v="90"/>
    <n v="2034.46"/>
    <n v="1551.32"/>
    <n v="132"/>
    <n v="13"/>
    <s v="2026-03-20"/>
    <n v="145"/>
    <n v="5"/>
    <n v="38"/>
    <s v="No"/>
    <x v="2"/>
    <n v="-46"/>
    <n v="0.1981981981981982"/>
    <s v="High Risk"/>
    <s v="Apply Discount / Promotion"/>
  </r>
  <r>
    <n v="915"/>
    <x v="55"/>
    <x v="2"/>
    <x v="0"/>
    <n v="205"/>
    <n v="134"/>
    <n v="180"/>
    <n v="4007.76"/>
    <n v="2198.44"/>
    <n v="88"/>
    <n v="15"/>
    <s v="2026-02-09"/>
    <n v="93"/>
    <n v="1"/>
    <n v="37"/>
    <s v="No"/>
    <x v="0"/>
    <n v="-46"/>
    <n v="0.65365853658536588"/>
    <s v="Medium Risk"/>
    <s v="Monitor Sales"/>
  </r>
  <r>
    <n v="916"/>
    <x v="70"/>
    <x v="3"/>
    <x v="1"/>
    <n v="437"/>
    <n v="78"/>
    <n v="84"/>
    <n v="576.25"/>
    <n v="347.52"/>
    <n v="36"/>
    <n v="8"/>
    <s v="2026-03-04"/>
    <n v="157"/>
    <n v="4"/>
    <n v="36"/>
    <s v="No"/>
    <x v="1"/>
    <n v="-6"/>
    <n v="0.17848970251716248"/>
    <s v="High Risk"/>
    <s v="Apply Discount / Promotion"/>
  </r>
  <r>
    <n v="917"/>
    <x v="14"/>
    <x v="1"/>
    <x v="0"/>
    <n v="245"/>
    <n v="215"/>
    <n v="167"/>
    <n v="3402.26"/>
    <n v="2514.6"/>
    <n v="99"/>
    <n v="8"/>
    <s v="2026-01-28"/>
    <n v="352"/>
    <n v="1"/>
    <n v="31"/>
    <s v="Yes"/>
    <x v="0"/>
    <n v="48"/>
    <n v="0.87755102040816324"/>
    <s v="Medium Risk"/>
    <s v="Monitor Sales"/>
  </r>
  <r>
    <n v="918"/>
    <x v="63"/>
    <x v="1"/>
    <x v="3"/>
    <n v="360"/>
    <n v="178"/>
    <n v="141"/>
    <n v="4429.96"/>
    <n v="3376.53"/>
    <n v="50"/>
    <n v="15"/>
    <s v="2026-01-30"/>
    <n v="245"/>
    <n v="1"/>
    <n v="23"/>
    <s v="Yes"/>
    <x v="1"/>
    <n v="37"/>
    <n v="0.49444444444444446"/>
    <s v="High Risk"/>
    <s v="Apply Discount / Promotion"/>
  </r>
  <r>
    <n v="919"/>
    <x v="91"/>
    <x v="3"/>
    <x v="2"/>
    <n v="395"/>
    <n v="311"/>
    <n v="294"/>
    <n v="562.86"/>
    <n v="301.52999999999997"/>
    <n v="61"/>
    <n v="7"/>
    <s v="2026-02-10"/>
    <n v="156"/>
    <n v="3"/>
    <n v="43"/>
    <s v="Yes"/>
    <x v="1"/>
    <n v="17"/>
    <n v="0.78734177215189871"/>
    <s v="Medium Risk"/>
    <s v="Monitor Sales"/>
  </r>
  <r>
    <n v="920"/>
    <x v="52"/>
    <x v="2"/>
    <x v="0"/>
    <n v="89"/>
    <n v="84"/>
    <n v="115"/>
    <n v="1514.08"/>
    <n v="992.41"/>
    <n v="128"/>
    <n v="10"/>
    <s v="2026-01-23"/>
    <n v="70"/>
    <n v="2"/>
    <n v="39"/>
    <s v="No"/>
    <x v="2"/>
    <n v="-31"/>
    <n v="0.9438202247191011"/>
    <s v="Medium Risk"/>
    <s v="Monitor Sales"/>
  </r>
  <r>
    <n v="921"/>
    <x v="40"/>
    <x v="2"/>
    <x v="1"/>
    <n v="238"/>
    <n v="105"/>
    <n v="86"/>
    <n v="4343.2700000000004"/>
    <n v="2785.48"/>
    <n v="137"/>
    <n v="5"/>
    <s v="2026-03-07"/>
    <n v="63"/>
    <n v="5"/>
    <n v="26"/>
    <s v="No"/>
    <x v="1"/>
    <n v="19"/>
    <n v="0.44117647058823528"/>
    <s v="High Risk"/>
    <s v="Apply Discount / Promotion"/>
  </r>
  <r>
    <n v="922"/>
    <x v="88"/>
    <x v="1"/>
    <x v="0"/>
    <n v="407"/>
    <n v="152"/>
    <n v="163"/>
    <n v="564.80999999999995"/>
    <n v="336.86"/>
    <n v="145"/>
    <n v="14"/>
    <s v="2026-01-16"/>
    <n v="303"/>
    <n v="3"/>
    <n v="47"/>
    <s v="Yes"/>
    <x v="1"/>
    <n v="-11"/>
    <n v="0.37346437346437344"/>
    <s v="High Risk"/>
    <s v="Apply Discount / Promotion"/>
  </r>
  <r>
    <n v="923"/>
    <x v="81"/>
    <x v="2"/>
    <x v="3"/>
    <n v="157"/>
    <n v="143"/>
    <n v="113"/>
    <n v="1615.66"/>
    <n v="933.23"/>
    <n v="125"/>
    <n v="14"/>
    <s v="2026-02-12"/>
    <n v="309"/>
    <n v="5"/>
    <n v="6"/>
    <s v="Yes"/>
    <x v="0"/>
    <n v="30"/>
    <n v="0.91082802547770703"/>
    <s v="Medium Risk"/>
    <s v="Monitor Sales"/>
  </r>
  <r>
    <n v="924"/>
    <x v="80"/>
    <x v="1"/>
    <x v="3"/>
    <n v="207"/>
    <n v="140"/>
    <n v="135"/>
    <n v="1083.6300000000001"/>
    <n v="714.52"/>
    <n v="37"/>
    <n v="5"/>
    <s v="2026-02-27"/>
    <n v="238"/>
    <n v="5"/>
    <n v="19"/>
    <s v="Yes"/>
    <x v="2"/>
    <n v="5"/>
    <n v="0.67632850241545894"/>
    <s v="Medium Risk"/>
    <s v="Monitor Sales"/>
  </r>
  <r>
    <n v="925"/>
    <x v="57"/>
    <x v="1"/>
    <x v="1"/>
    <n v="414"/>
    <n v="324"/>
    <n v="365"/>
    <n v="4154.42"/>
    <n v="2630.29"/>
    <n v="77"/>
    <n v="3"/>
    <s v="2026-03-25"/>
    <n v="146"/>
    <n v="3"/>
    <n v="31"/>
    <s v="No"/>
    <x v="1"/>
    <n v="-41"/>
    <n v="0.78260869565217395"/>
    <s v="Medium Risk"/>
    <s v="Monitor Sales"/>
  </r>
  <r>
    <n v="926"/>
    <x v="52"/>
    <x v="3"/>
    <x v="2"/>
    <n v="103"/>
    <n v="21"/>
    <n v="53"/>
    <n v="2622.77"/>
    <n v="1517.71"/>
    <n v="149"/>
    <n v="7"/>
    <s v="2026-01-09"/>
    <n v="97"/>
    <n v="4"/>
    <n v="26"/>
    <s v="Yes"/>
    <x v="1"/>
    <n v="-32"/>
    <n v="0.20388349514563106"/>
    <s v="High Risk"/>
    <s v="Apply Discount / Promotion"/>
  </r>
  <r>
    <n v="927"/>
    <x v="28"/>
    <x v="3"/>
    <x v="0"/>
    <n v="333"/>
    <n v="200"/>
    <n v="222"/>
    <n v="2275.85"/>
    <n v="1481.08"/>
    <n v="133"/>
    <n v="11"/>
    <s v="2026-02-15"/>
    <n v="325"/>
    <n v="1"/>
    <n v="6"/>
    <s v="No"/>
    <x v="1"/>
    <n v="-22"/>
    <n v="0.60060060060060061"/>
    <s v="Medium Risk"/>
    <s v="Monitor Sales"/>
  </r>
  <r>
    <n v="928"/>
    <x v="76"/>
    <x v="1"/>
    <x v="0"/>
    <n v="133"/>
    <n v="75"/>
    <n v="92"/>
    <n v="1195.5"/>
    <n v="742.28"/>
    <n v="102"/>
    <n v="3"/>
    <s v="2026-02-27"/>
    <n v="207"/>
    <n v="5"/>
    <n v="32"/>
    <s v="No"/>
    <x v="0"/>
    <n v="-17"/>
    <n v="0.56390977443609025"/>
    <s v="Medium Risk"/>
    <s v="Monitor Sales"/>
  </r>
  <r>
    <n v="929"/>
    <x v="99"/>
    <x v="3"/>
    <x v="2"/>
    <n v="112"/>
    <n v="240"/>
    <n v="280"/>
    <n v="1656.4"/>
    <n v="894.88"/>
    <n v="124"/>
    <n v="11"/>
    <s v="2026-01-23"/>
    <n v="86"/>
    <n v="1"/>
    <n v="8"/>
    <s v="Yes"/>
    <x v="1"/>
    <n v="-40"/>
    <n v="2.1428571428571428"/>
    <s v="Low Risk"/>
    <s v="Maintain Stock"/>
  </r>
  <r>
    <n v="930"/>
    <x v="26"/>
    <x v="2"/>
    <x v="3"/>
    <n v="278"/>
    <n v="156"/>
    <n v="132"/>
    <n v="378.42"/>
    <n v="190.96"/>
    <n v="79"/>
    <n v="1"/>
    <s v="2026-03-11"/>
    <n v="43"/>
    <n v="2"/>
    <n v="19"/>
    <s v="Yes"/>
    <x v="0"/>
    <n v="24"/>
    <n v="0.5611510791366906"/>
    <s v="Medium Risk"/>
    <s v="Monitor Sales"/>
  </r>
  <r>
    <n v="931"/>
    <x v="32"/>
    <x v="3"/>
    <x v="2"/>
    <n v="29"/>
    <n v="0"/>
    <n v="34"/>
    <n v="765.61"/>
    <n v="481.15"/>
    <n v="102"/>
    <n v="13"/>
    <s v="2026-03-17"/>
    <n v="287"/>
    <n v="4"/>
    <n v="29"/>
    <s v="No"/>
    <x v="0"/>
    <n v="-34"/>
    <n v="0"/>
    <s v="High Risk"/>
    <s v="Apply Discount / Promotion"/>
  </r>
  <r>
    <n v="932"/>
    <x v="55"/>
    <x v="0"/>
    <x v="1"/>
    <n v="168"/>
    <n v="91"/>
    <n v="65"/>
    <n v="1851.42"/>
    <n v="1381.11"/>
    <n v="130"/>
    <n v="15"/>
    <s v="2025-12-31"/>
    <n v="222"/>
    <n v="3"/>
    <n v="38"/>
    <s v="No"/>
    <x v="1"/>
    <n v="26"/>
    <n v="0.54166666666666663"/>
    <s v="Medium Risk"/>
    <s v="Monitor Sales"/>
  </r>
  <r>
    <n v="933"/>
    <x v="50"/>
    <x v="2"/>
    <x v="3"/>
    <n v="315"/>
    <n v="14"/>
    <n v="35"/>
    <n v="2019.92"/>
    <n v="1355.6"/>
    <n v="33"/>
    <n v="7"/>
    <s v="2026-02-04"/>
    <n v="131"/>
    <n v="1"/>
    <n v="46"/>
    <s v="No"/>
    <x v="2"/>
    <n v="-21"/>
    <n v="4.4444444444444446E-2"/>
    <s v="High Risk"/>
    <s v="Apply Discount / Promotion"/>
  </r>
  <r>
    <n v="934"/>
    <x v="62"/>
    <x v="3"/>
    <x v="2"/>
    <n v="272"/>
    <n v="412"/>
    <n v="395"/>
    <n v="277.63"/>
    <n v="149.25"/>
    <n v="113"/>
    <n v="10"/>
    <s v="2026-01-06"/>
    <n v="95"/>
    <n v="1"/>
    <n v="38"/>
    <s v="Yes"/>
    <x v="1"/>
    <n v="17"/>
    <n v="1.5147058823529411"/>
    <s v="Low Risk"/>
    <s v="Maintain Stock"/>
  </r>
  <r>
    <n v="935"/>
    <x v="98"/>
    <x v="2"/>
    <x v="0"/>
    <n v="183"/>
    <n v="18"/>
    <n v="53"/>
    <n v="2789.61"/>
    <n v="1495.02"/>
    <n v="96"/>
    <n v="10"/>
    <s v="2026-02-10"/>
    <n v="152"/>
    <n v="3"/>
    <n v="15"/>
    <s v="No"/>
    <x v="2"/>
    <n v="-35"/>
    <n v="9.8360655737704916E-2"/>
    <s v="High Risk"/>
    <s v="Apply Discount / Promotion"/>
  </r>
  <r>
    <n v="936"/>
    <x v="41"/>
    <x v="2"/>
    <x v="0"/>
    <n v="206"/>
    <n v="398"/>
    <n v="369"/>
    <n v="2661.82"/>
    <n v="1733.51"/>
    <n v="140"/>
    <n v="10"/>
    <s v="2026-01-18"/>
    <n v="175"/>
    <n v="1"/>
    <n v="0"/>
    <s v="No"/>
    <x v="2"/>
    <n v="29"/>
    <n v="1.9320388349514563"/>
    <s v="Low Risk"/>
    <s v="Maintain Stock"/>
  </r>
  <r>
    <n v="937"/>
    <x v="83"/>
    <x v="0"/>
    <x v="0"/>
    <n v="275"/>
    <n v="300"/>
    <n v="267"/>
    <n v="3183.06"/>
    <n v="2467.4299999999998"/>
    <n v="34"/>
    <n v="3"/>
    <s v="2026-01-19"/>
    <n v="106"/>
    <n v="2"/>
    <n v="29"/>
    <s v="Yes"/>
    <x v="0"/>
    <n v="33"/>
    <n v="1.0909090909090908"/>
    <s v="Low Risk"/>
    <s v="Maintain Stock"/>
  </r>
  <r>
    <n v="938"/>
    <x v="13"/>
    <x v="4"/>
    <x v="3"/>
    <n v="111"/>
    <n v="288"/>
    <n v="322"/>
    <n v="584.29"/>
    <n v="392.4"/>
    <n v="118"/>
    <n v="8"/>
    <s v="2026-02-23"/>
    <n v="266"/>
    <n v="2"/>
    <n v="33"/>
    <s v="Yes"/>
    <x v="2"/>
    <n v="-34"/>
    <n v="2.5945945945945947"/>
    <s v="Low Risk"/>
    <s v="Maintain Stock"/>
  </r>
  <r>
    <n v="939"/>
    <x v="27"/>
    <x v="4"/>
    <x v="0"/>
    <n v="97"/>
    <n v="0"/>
    <n v="33"/>
    <n v="2746.2"/>
    <n v="2056.92"/>
    <n v="122"/>
    <n v="14"/>
    <s v="2026-02-16"/>
    <n v="126"/>
    <n v="3"/>
    <n v="8"/>
    <s v="Yes"/>
    <x v="0"/>
    <n v="-33"/>
    <n v="0"/>
    <s v="High Risk"/>
    <s v="Apply Discount / Promotion"/>
  </r>
  <r>
    <n v="940"/>
    <x v="58"/>
    <x v="0"/>
    <x v="2"/>
    <n v="172"/>
    <n v="226"/>
    <n v="243"/>
    <n v="939.49"/>
    <n v="510.5"/>
    <n v="59"/>
    <n v="8"/>
    <s v="2026-02-11"/>
    <n v="275"/>
    <n v="4"/>
    <n v="39"/>
    <s v="No"/>
    <x v="1"/>
    <n v="-17"/>
    <n v="1.3139534883720929"/>
    <s v="Low Risk"/>
    <s v="Maintain Stock"/>
  </r>
  <r>
    <n v="941"/>
    <x v="33"/>
    <x v="4"/>
    <x v="0"/>
    <n v="496"/>
    <n v="171"/>
    <n v="157"/>
    <n v="3822.09"/>
    <n v="2106.4299999999998"/>
    <n v="111"/>
    <n v="8"/>
    <s v="2026-01-27"/>
    <n v="32"/>
    <n v="2"/>
    <n v="4"/>
    <s v="Yes"/>
    <x v="1"/>
    <n v="14"/>
    <n v="0.34475806451612906"/>
    <s v="High Risk"/>
    <s v="Apply Discount / Promotion"/>
  </r>
  <r>
    <n v="942"/>
    <x v="57"/>
    <x v="2"/>
    <x v="1"/>
    <n v="474"/>
    <n v="101"/>
    <n v="126"/>
    <n v="277.3"/>
    <n v="145.29"/>
    <n v="39"/>
    <n v="4"/>
    <s v="2026-03-01"/>
    <n v="136"/>
    <n v="3"/>
    <n v="0"/>
    <s v="Yes"/>
    <x v="2"/>
    <n v="-25"/>
    <n v="0.21308016877637131"/>
    <s v="High Risk"/>
    <s v="Apply Discount / Promotion"/>
  </r>
  <r>
    <n v="943"/>
    <x v="69"/>
    <x v="3"/>
    <x v="1"/>
    <n v="284"/>
    <n v="150"/>
    <n v="181"/>
    <n v="4409.8500000000004"/>
    <n v="2363.84"/>
    <n v="120"/>
    <n v="4"/>
    <s v="2026-01-02"/>
    <n v="160"/>
    <n v="2"/>
    <n v="0"/>
    <s v="No"/>
    <x v="0"/>
    <n v="-31"/>
    <n v="0.528169014084507"/>
    <s v="Medium Risk"/>
    <s v="Monitor Sales"/>
  </r>
  <r>
    <n v="944"/>
    <x v="89"/>
    <x v="2"/>
    <x v="3"/>
    <n v="248"/>
    <n v="252"/>
    <n v="270"/>
    <n v="4197.1000000000004"/>
    <n v="2986.77"/>
    <n v="150"/>
    <n v="2"/>
    <s v="2026-01-08"/>
    <n v="202"/>
    <n v="5"/>
    <n v="8"/>
    <s v="No"/>
    <x v="0"/>
    <n v="-18"/>
    <n v="1.0161290322580645"/>
    <s v="Low Risk"/>
    <s v="Maintain Stock"/>
  </r>
  <r>
    <n v="945"/>
    <x v="38"/>
    <x v="4"/>
    <x v="1"/>
    <n v="63"/>
    <n v="280"/>
    <n v="250"/>
    <n v="478.37"/>
    <n v="360.18"/>
    <n v="76"/>
    <n v="8"/>
    <s v="2026-03-14"/>
    <n v="212"/>
    <n v="4"/>
    <n v="4"/>
    <s v="No"/>
    <x v="0"/>
    <n v="30"/>
    <n v="4.4444444444444446"/>
    <s v="Low Risk"/>
    <s v="Maintain Stock"/>
  </r>
  <r>
    <n v="946"/>
    <x v="88"/>
    <x v="2"/>
    <x v="0"/>
    <n v="294"/>
    <n v="0"/>
    <n v="37"/>
    <n v="733.7"/>
    <n v="403.24"/>
    <n v="44"/>
    <n v="7"/>
    <s v="2026-01-22"/>
    <n v="219"/>
    <n v="3"/>
    <n v="39"/>
    <s v="Yes"/>
    <x v="1"/>
    <n v="-37"/>
    <n v="0"/>
    <s v="High Risk"/>
    <s v="Apply Discount / Promotion"/>
  </r>
  <r>
    <n v="947"/>
    <x v="48"/>
    <x v="1"/>
    <x v="0"/>
    <n v="251"/>
    <n v="281"/>
    <n v="322"/>
    <n v="1139.42"/>
    <n v="836.5"/>
    <n v="118"/>
    <n v="11"/>
    <s v="2026-01-07"/>
    <n v="160"/>
    <n v="3"/>
    <n v="44"/>
    <s v="Yes"/>
    <x v="0"/>
    <n v="-41"/>
    <n v="1.1195219123505975"/>
    <s v="Low Risk"/>
    <s v="Maintain Stock"/>
  </r>
  <r>
    <n v="948"/>
    <x v="5"/>
    <x v="4"/>
    <x v="1"/>
    <n v="92"/>
    <n v="71"/>
    <n v="84"/>
    <n v="4145.78"/>
    <n v="3152.48"/>
    <n v="145"/>
    <n v="8"/>
    <s v="2026-03-12"/>
    <n v="108"/>
    <n v="2"/>
    <n v="18"/>
    <s v="No"/>
    <x v="2"/>
    <n v="-13"/>
    <n v="0.77173913043478259"/>
    <s v="Medium Risk"/>
    <s v="Monitor Sales"/>
  </r>
  <r>
    <n v="949"/>
    <x v="70"/>
    <x v="0"/>
    <x v="0"/>
    <n v="467"/>
    <n v="341"/>
    <n v="350"/>
    <n v="3252.84"/>
    <n v="2293.79"/>
    <n v="94"/>
    <n v="13"/>
    <s v="2026-03-21"/>
    <n v="334"/>
    <n v="4"/>
    <n v="3"/>
    <s v="No"/>
    <x v="1"/>
    <n v="-9"/>
    <n v="0.73019271948608133"/>
    <s v="Medium Risk"/>
    <s v="Monitor Sales"/>
  </r>
  <r>
    <n v="950"/>
    <x v="7"/>
    <x v="0"/>
    <x v="0"/>
    <n v="91"/>
    <n v="75"/>
    <n v="69"/>
    <n v="4264.33"/>
    <n v="2823.22"/>
    <n v="126"/>
    <n v="15"/>
    <s v="2026-01-18"/>
    <n v="302"/>
    <n v="5"/>
    <n v="42"/>
    <s v="No"/>
    <x v="2"/>
    <n v="6"/>
    <n v="0.82417582417582413"/>
    <s v="Medium Risk"/>
    <s v="Monitor Sales"/>
  </r>
  <r>
    <n v="951"/>
    <x v="88"/>
    <x v="1"/>
    <x v="3"/>
    <n v="305"/>
    <n v="263"/>
    <n v="292"/>
    <n v="4219.62"/>
    <n v="2618.19"/>
    <n v="121"/>
    <n v="4"/>
    <s v="2026-01-26"/>
    <n v="174"/>
    <n v="4"/>
    <n v="6"/>
    <s v="Yes"/>
    <x v="1"/>
    <n v="-29"/>
    <n v="0.86229508196721316"/>
    <s v="Medium Risk"/>
    <s v="Monitor Sales"/>
  </r>
  <r>
    <n v="952"/>
    <x v="16"/>
    <x v="3"/>
    <x v="3"/>
    <n v="490"/>
    <n v="419"/>
    <n v="393"/>
    <n v="467.34"/>
    <n v="277.63"/>
    <n v="75"/>
    <n v="3"/>
    <s v="2026-02-16"/>
    <n v="255"/>
    <n v="5"/>
    <n v="49"/>
    <s v="Yes"/>
    <x v="1"/>
    <n v="26"/>
    <n v="0.85510204081632657"/>
    <s v="Medium Risk"/>
    <s v="Monitor Sales"/>
  </r>
  <r>
    <n v="953"/>
    <x v="42"/>
    <x v="1"/>
    <x v="1"/>
    <n v="267"/>
    <n v="255"/>
    <n v="225"/>
    <n v="1151.5999999999999"/>
    <n v="646.22"/>
    <n v="46"/>
    <n v="14"/>
    <s v="2026-02-08"/>
    <n v="323"/>
    <n v="5"/>
    <n v="15"/>
    <s v="Yes"/>
    <x v="2"/>
    <n v="30"/>
    <n v="0.9550561797752809"/>
    <s v="Medium Risk"/>
    <s v="Monitor Sales"/>
  </r>
  <r>
    <n v="954"/>
    <x v="24"/>
    <x v="0"/>
    <x v="1"/>
    <n v="461"/>
    <n v="282"/>
    <n v="307"/>
    <n v="3549.58"/>
    <n v="2147.0700000000002"/>
    <n v="56"/>
    <n v="9"/>
    <s v="2026-03-07"/>
    <n v="124"/>
    <n v="2"/>
    <n v="48"/>
    <s v="Yes"/>
    <x v="1"/>
    <n v="-25"/>
    <n v="0.61171366594360088"/>
    <s v="Medium Risk"/>
    <s v="Monitor Sales"/>
  </r>
  <r>
    <n v="955"/>
    <x v="75"/>
    <x v="1"/>
    <x v="2"/>
    <n v="150"/>
    <n v="195"/>
    <n v="176"/>
    <n v="2421.94"/>
    <n v="1514.61"/>
    <n v="76"/>
    <n v="7"/>
    <s v="2026-01-08"/>
    <n v="319"/>
    <n v="2"/>
    <n v="7"/>
    <s v="Yes"/>
    <x v="2"/>
    <n v="19"/>
    <n v="1.3"/>
    <s v="Low Risk"/>
    <s v="Maintain Stock"/>
  </r>
  <r>
    <n v="956"/>
    <x v="1"/>
    <x v="4"/>
    <x v="1"/>
    <n v="231"/>
    <n v="350"/>
    <n v="342"/>
    <n v="4835.58"/>
    <n v="3721.18"/>
    <n v="102"/>
    <n v="13"/>
    <s v="2026-01-12"/>
    <n v="177"/>
    <n v="1"/>
    <n v="6"/>
    <s v="No"/>
    <x v="1"/>
    <n v="8"/>
    <n v="1.5151515151515151"/>
    <s v="Low Risk"/>
    <s v="Maintain Stock"/>
  </r>
  <r>
    <n v="957"/>
    <x v="88"/>
    <x v="0"/>
    <x v="3"/>
    <n v="404"/>
    <n v="352"/>
    <n v="304"/>
    <n v="739.91"/>
    <n v="512.34"/>
    <n v="38"/>
    <n v="3"/>
    <s v="2026-02-24"/>
    <n v="146"/>
    <n v="1"/>
    <n v="48"/>
    <s v="No"/>
    <x v="2"/>
    <n v="48"/>
    <n v="0.87128712871287128"/>
    <s v="Medium Risk"/>
    <s v="Monitor Sales"/>
  </r>
  <r>
    <n v="958"/>
    <x v="70"/>
    <x v="1"/>
    <x v="1"/>
    <n v="261"/>
    <n v="81"/>
    <n v="46"/>
    <n v="3961.11"/>
    <n v="2679.98"/>
    <n v="70"/>
    <n v="7"/>
    <s v="2026-03-12"/>
    <n v="87"/>
    <n v="3"/>
    <n v="43"/>
    <s v="Yes"/>
    <x v="1"/>
    <n v="35"/>
    <n v="0.31034482758620691"/>
    <s v="High Risk"/>
    <s v="Apply Discount / Promotion"/>
  </r>
  <r>
    <n v="959"/>
    <x v="43"/>
    <x v="1"/>
    <x v="2"/>
    <n v="149"/>
    <n v="241"/>
    <n v="216"/>
    <n v="1984.4"/>
    <n v="1252.27"/>
    <n v="121"/>
    <n v="8"/>
    <s v="2026-02-21"/>
    <n v="59"/>
    <n v="5"/>
    <n v="27"/>
    <s v="Yes"/>
    <x v="2"/>
    <n v="25"/>
    <n v="1.6174496644295302"/>
    <s v="Low Risk"/>
    <s v="Maintain Stock"/>
  </r>
  <r>
    <n v="960"/>
    <x v="29"/>
    <x v="2"/>
    <x v="0"/>
    <n v="107"/>
    <n v="271"/>
    <n v="249"/>
    <n v="2618.09"/>
    <n v="1689.73"/>
    <n v="109"/>
    <n v="13"/>
    <s v="2026-01-14"/>
    <n v="356"/>
    <n v="5"/>
    <n v="14"/>
    <s v="Yes"/>
    <x v="1"/>
    <n v="22"/>
    <n v="2.5327102803738319"/>
    <s v="Low Risk"/>
    <s v="Maintain Stock"/>
  </r>
  <r>
    <n v="961"/>
    <x v="48"/>
    <x v="1"/>
    <x v="1"/>
    <n v="417"/>
    <n v="145"/>
    <n v="142"/>
    <n v="3148.65"/>
    <n v="1757.33"/>
    <n v="62"/>
    <n v="6"/>
    <s v="2026-01-09"/>
    <n v="126"/>
    <n v="4"/>
    <n v="32"/>
    <s v="No"/>
    <x v="2"/>
    <n v="3"/>
    <n v="0.34772182254196643"/>
    <s v="High Risk"/>
    <s v="Apply Discount / Promotion"/>
  </r>
  <r>
    <n v="962"/>
    <x v="70"/>
    <x v="3"/>
    <x v="3"/>
    <n v="481"/>
    <n v="73"/>
    <n v="47"/>
    <n v="1655.22"/>
    <n v="1026.98"/>
    <n v="127"/>
    <n v="7"/>
    <s v="2026-02-18"/>
    <n v="325"/>
    <n v="2"/>
    <n v="15"/>
    <s v="No"/>
    <x v="1"/>
    <n v="26"/>
    <n v="0.15176715176715178"/>
    <s v="High Risk"/>
    <s v="Apply Discount / Promotion"/>
  </r>
  <r>
    <n v="963"/>
    <x v="7"/>
    <x v="2"/>
    <x v="2"/>
    <n v="176"/>
    <n v="361"/>
    <n v="377"/>
    <n v="1462.06"/>
    <n v="857.73"/>
    <n v="94"/>
    <n v="5"/>
    <s v="2026-02-22"/>
    <n v="282"/>
    <n v="5"/>
    <n v="7"/>
    <s v="No"/>
    <x v="2"/>
    <n v="-16"/>
    <n v="2.0511363636363638"/>
    <s v="Low Risk"/>
    <s v="Maintain Stock"/>
  </r>
  <r>
    <n v="964"/>
    <x v="86"/>
    <x v="0"/>
    <x v="1"/>
    <n v="310"/>
    <n v="388"/>
    <n v="349"/>
    <n v="4188.17"/>
    <n v="2182.64"/>
    <n v="124"/>
    <n v="9"/>
    <s v="2026-03-03"/>
    <n v="157"/>
    <n v="4"/>
    <n v="48"/>
    <s v="No"/>
    <x v="2"/>
    <n v="39"/>
    <n v="1.2516129032258065"/>
    <s v="Low Risk"/>
    <s v="Maintain Stock"/>
  </r>
  <r>
    <n v="965"/>
    <x v="31"/>
    <x v="4"/>
    <x v="1"/>
    <n v="81"/>
    <n v="170"/>
    <n v="151"/>
    <n v="1183.18"/>
    <n v="781.99"/>
    <n v="118"/>
    <n v="12"/>
    <s v="2026-01-09"/>
    <n v="172"/>
    <n v="3"/>
    <n v="3"/>
    <s v="No"/>
    <x v="1"/>
    <n v="19"/>
    <n v="2.0987654320987654"/>
    <s v="Low Risk"/>
    <s v="Maintain Stock"/>
  </r>
  <r>
    <n v="966"/>
    <x v="28"/>
    <x v="4"/>
    <x v="3"/>
    <n v="482"/>
    <n v="160"/>
    <n v="180"/>
    <n v="607.25"/>
    <n v="475.8"/>
    <n v="88"/>
    <n v="3"/>
    <s v="2026-03-10"/>
    <n v="58"/>
    <n v="3"/>
    <n v="4"/>
    <s v="No"/>
    <x v="2"/>
    <n v="-20"/>
    <n v="0.33195020746887965"/>
    <s v="High Risk"/>
    <s v="Apply Discount / Promotion"/>
  </r>
  <r>
    <n v="967"/>
    <x v="22"/>
    <x v="2"/>
    <x v="3"/>
    <n v="420"/>
    <n v="91"/>
    <n v="120"/>
    <n v="2390.86"/>
    <n v="1839.56"/>
    <n v="64"/>
    <n v="9"/>
    <s v="2026-03-22"/>
    <n v="117"/>
    <n v="3"/>
    <n v="48"/>
    <s v="Yes"/>
    <x v="2"/>
    <n v="-29"/>
    <n v="0.21666666666666667"/>
    <s v="High Risk"/>
    <s v="Apply Discount / Promotion"/>
  </r>
  <r>
    <n v="968"/>
    <x v="28"/>
    <x v="4"/>
    <x v="3"/>
    <n v="487"/>
    <n v="58"/>
    <n v="30"/>
    <n v="2698.29"/>
    <n v="1704.67"/>
    <n v="116"/>
    <n v="15"/>
    <s v="2026-02-17"/>
    <n v="292"/>
    <n v="5"/>
    <n v="11"/>
    <s v="Yes"/>
    <x v="2"/>
    <n v="28"/>
    <n v="0.11909650924024641"/>
    <s v="High Risk"/>
    <s v="Apply Discount / Promotion"/>
  </r>
  <r>
    <n v="969"/>
    <x v="36"/>
    <x v="3"/>
    <x v="2"/>
    <n v="22"/>
    <n v="0"/>
    <n v="37"/>
    <n v="1971.51"/>
    <n v="1030.6300000000001"/>
    <n v="116"/>
    <n v="13"/>
    <s v="2026-01-14"/>
    <n v="243"/>
    <n v="2"/>
    <n v="6"/>
    <s v="Yes"/>
    <x v="0"/>
    <n v="-37"/>
    <n v="0"/>
    <s v="High Risk"/>
    <s v="Apply Discount / Promotion"/>
  </r>
  <r>
    <n v="970"/>
    <x v="2"/>
    <x v="3"/>
    <x v="1"/>
    <n v="37"/>
    <n v="230"/>
    <n v="213"/>
    <n v="1601.13"/>
    <n v="946.21"/>
    <n v="71"/>
    <n v="9"/>
    <s v="2026-02-13"/>
    <n v="342"/>
    <n v="3"/>
    <n v="36"/>
    <s v="No"/>
    <x v="0"/>
    <n v="17"/>
    <n v="6.2162162162162158"/>
    <s v="Low Risk"/>
    <s v="Maintain Stock"/>
  </r>
  <r>
    <n v="971"/>
    <x v="44"/>
    <x v="2"/>
    <x v="2"/>
    <n v="495"/>
    <n v="170"/>
    <n v="205"/>
    <n v="991.92"/>
    <n v="518.39"/>
    <n v="139"/>
    <n v="9"/>
    <s v="2026-01-06"/>
    <n v="49"/>
    <n v="4"/>
    <n v="50"/>
    <s v="Yes"/>
    <x v="2"/>
    <n v="-35"/>
    <n v="0.34343434343434343"/>
    <s v="High Risk"/>
    <s v="Apply Discount / Promotion"/>
  </r>
  <r>
    <n v="972"/>
    <x v="20"/>
    <x v="2"/>
    <x v="1"/>
    <n v="496"/>
    <n v="98"/>
    <n v="77"/>
    <n v="2986.05"/>
    <n v="1667.78"/>
    <n v="144"/>
    <n v="10"/>
    <s v="2026-03-07"/>
    <n v="267"/>
    <n v="1"/>
    <n v="20"/>
    <s v="No"/>
    <x v="1"/>
    <n v="21"/>
    <n v="0.19758064516129031"/>
    <s v="High Risk"/>
    <s v="Apply Discount / Promotion"/>
  </r>
  <r>
    <n v="973"/>
    <x v="11"/>
    <x v="2"/>
    <x v="2"/>
    <n v="362"/>
    <n v="303"/>
    <n v="341"/>
    <n v="1203.6199999999999"/>
    <n v="771.98"/>
    <n v="34"/>
    <n v="5"/>
    <s v="2026-02-02"/>
    <n v="175"/>
    <n v="4"/>
    <n v="2"/>
    <s v="Yes"/>
    <x v="0"/>
    <n v="-38"/>
    <n v="0.83701657458563539"/>
    <s v="Medium Risk"/>
    <s v="Monitor Sales"/>
  </r>
  <r>
    <n v="974"/>
    <x v="56"/>
    <x v="1"/>
    <x v="0"/>
    <n v="483"/>
    <n v="262"/>
    <n v="250"/>
    <n v="3967.43"/>
    <n v="2170.35"/>
    <n v="124"/>
    <n v="9"/>
    <s v="2026-02-24"/>
    <n v="334"/>
    <n v="3"/>
    <n v="23"/>
    <s v="Yes"/>
    <x v="1"/>
    <n v="12"/>
    <n v="0.54244306418219457"/>
    <s v="Medium Risk"/>
    <s v="Monitor Sales"/>
  </r>
  <r>
    <n v="975"/>
    <x v="86"/>
    <x v="1"/>
    <x v="1"/>
    <n v="271"/>
    <n v="189"/>
    <n v="193"/>
    <n v="1674.13"/>
    <n v="939.51"/>
    <n v="131"/>
    <n v="7"/>
    <s v="2026-02-01"/>
    <n v="219"/>
    <n v="2"/>
    <n v="22"/>
    <s v="Yes"/>
    <x v="0"/>
    <n v="-4"/>
    <n v="0.69741697416974169"/>
    <s v="Medium Risk"/>
    <s v="Monitor Sales"/>
  </r>
  <r>
    <n v="976"/>
    <x v="85"/>
    <x v="4"/>
    <x v="2"/>
    <n v="320"/>
    <n v="404"/>
    <n v="375"/>
    <n v="3890.79"/>
    <n v="2785.54"/>
    <n v="83"/>
    <n v="1"/>
    <s v="2026-03-13"/>
    <n v="299"/>
    <n v="2"/>
    <n v="18"/>
    <s v="Yes"/>
    <x v="1"/>
    <n v="29"/>
    <n v="1.2625"/>
    <s v="Low Risk"/>
    <s v="Maintain Stock"/>
  </r>
  <r>
    <n v="977"/>
    <x v="43"/>
    <x v="4"/>
    <x v="1"/>
    <n v="94"/>
    <n v="296"/>
    <n v="291"/>
    <n v="3275.89"/>
    <n v="2337.7600000000002"/>
    <n v="121"/>
    <n v="11"/>
    <s v="2026-02-10"/>
    <n v="297"/>
    <n v="1"/>
    <n v="11"/>
    <s v="Yes"/>
    <x v="2"/>
    <n v="5"/>
    <n v="3.1489361702127661"/>
    <s v="Low Risk"/>
    <s v="Maintain Stock"/>
  </r>
  <r>
    <n v="978"/>
    <x v="97"/>
    <x v="2"/>
    <x v="2"/>
    <n v="332"/>
    <n v="146"/>
    <n v="178"/>
    <n v="398.34"/>
    <n v="235.78"/>
    <n v="143"/>
    <n v="9"/>
    <s v="2026-01-27"/>
    <n v="117"/>
    <n v="1"/>
    <n v="22"/>
    <s v="No"/>
    <x v="0"/>
    <n v="-32"/>
    <n v="0.43975903614457829"/>
    <s v="High Risk"/>
    <s v="Apply Discount / Promotion"/>
  </r>
  <r>
    <n v="979"/>
    <x v="20"/>
    <x v="3"/>
    <x v="2"/>
    <n v="467"/>
    <n v="82"/>
    <n v="63"/>
    <n v="3735.8"/>
    <n v="2660.44"/>
    <n v="64"/>
    <n v="12"/>
    <s v="2026-02-13"/>
    <n v="358"/>
    <n v="3"/>
    <n v="30"/>
    <s v="Yes"/>
    <x v="2"/>
    <n v="19"/>
    <n v="0.17558886509635974"/>
    <s v="High Risk"/>
    <s v="Apply Discount / Promotion"/>
  </r>
  <r>
    <n v="980"/>
    <x v="56"/>
    <x v="3"/>
    <x v="2"/>
    <n v="300"/>
    <n v="183"/>
    <n v="194"/>
    <n v="4886.2700000000004"/>
    <n v="3344.42"/>
    <n v="55"/>
    <n v="9"/>
    <s v="2026-02-24"/>
    <n v="59"/>
    <n v="1"/>
    <n v="26"/>
    <s v="Yes"/>
    <x v="2"/>
    <n v="-11"/>
    <n v="0.61"/>
    <s v="Medium Risk"/>
    <s v="Monitor Sales"/>
  </r>
  <r>
    <n v="981"/>
    <x v="82"/>
    <x v="3"/>
    <x v="1"/>
    <n v="341"/>
    <n v="132"/>
    <n v="138"/>
    <n v="2468.0500000000002"/>
    <n v="1677.85"/>
    <n v="102"/>
    <n v="9"/>
    <s v="2026-01-11"/>
    <n v="176"/>
    <n v="2"/>
    <n v="16"/>
    <s v="No"/>
    <x v="1"/>
    <n v="-6"/>
    <n v="0.38709677419354838"/>
    <s v="High Risk"/>
    <s v="Apply Discount / Promotion"/>
  </r>
  <r>
    <n v="982"/>
    <x v="92"/>
    <x v="3"/>
    <x v="3"/>
    <n v="419"/>
    <n v="249"/>
    <n v="213"/>
    <n v="4887.43"/>
    <n v="3821.44"/>
    <n v="120"/>
    <n v="2"/>
    <s v="2026-01-07"/>
    <n v="363"/>
    <n v="2"/>
    <n v="38"/>
    <s v="Yes"/>
    <x v="1"/>
    <n v="36"/>
    <n v="0.59427207637231505"/>
    <s v="Medium Risk"/>
    <s v="Monitor Sales"/>
  </r>
  <r>
    <n v="983"/>
    <x v="55"/>
    <x v="4"/>
    <x v="1"/>
    <n v="112"/>
    <n v="192"/>
    <n v="166"/>
    <n v="3915.4"/>
    <n v="2453.13"/>
    <n v="96"/>
    <n v="12"/>
    <s v="2026-01-17"/>
    <n v="35"/>
    <n v="4"/>
    <n v="26"/>
    <s v="Yes"/>
    <x v="0"/>
    <n v="26"/>
    <n v="1.7142857142857142"/>
    <s v="Low Risk"/>
    <s v="Maintain Stock"/>
  </r>
  <r>
    <n v="984"/>
    <x v="10"/>
    <x v="4"/>
    <x v="1"/>
    <n v="201"/>
    <n v="241"/>
    <n v="237"/>
    <n v="2570.02"/>
    <n v="1844.46"/>
    <n v="109"/>
    <n v="13"/>
    <s v="2026-02-20"/>
    <n v="305"/>
    <n v="1"/>
    <n v="24"/>
    <s v="Yes"/>
    <x v="1"/>
    <n v="4"/>
    <n v="1.1990049751243781"/>
    <s v="Low Risk"/>
    <s v="Maintain Stock"/>
  </r>
  <r>
    <n v="985"/>
    <x v="1"/>
    <x v="0"/>
    <x v="2"/>
    <n v="461"/>
    <n v="214"/>
    <n v="233"/>
    <n v="991.89"/>
    <n v="510.88"/>
    <n v="75"/>
    <n v="4"/>
    <s v="2026-01-12"/>
    <n v="123"/>
    <n v="1"/>
    <n v="6"/>
    <s v="Yes"/>
    <x v="0"/>
    <n v="-19"/>
    <n v="0.46420824295010849"/>
    <s v="High Risk"/>
    <s v="Apply Discount / Promotion"/>
  </r>
  <r>
    <n v="986"/>
    <x v="52"/>
    <x v="0"/>
    <x v="0"/>
    <n v="349"/>
    <n v="308"/>
    <n v="287"/>
    <n v="2652.85"/>
    <n v="1784.54"/>
    <n v="69"/>
    <n v="4"/>
    <s v="2026-01-28"/>
    <n v="175"/>
    <n v="5"/>
    <n v="35"/>
    <s v="Yes"/>
    <x v="0"/>
    <n v="21"/>
    <n v="0.88252148997134672"/>
    <s v="Medium Risk"/>
    <s v="Monitor Sales"/>
  </r>
  <r>
    <n v="987"/>
    <x v="62"/>
    <x v="4"/>
    <x v="1"/>
    <n v="73"/>
    <n v="188"/>
    <n v="179"/>
    <n v="4456.41"/>
    <n v="3553.43"/>
    <n v="30"/>
    <n v="10"/>
    <s v="2026-01-16"/>
    <n v="356"/>
    <n v="2"/>
    <n v="14"/>
    <s v="No"/>
    <x v="2"/>
    <n v="9"/>
    <n v="2.5753424657534247"/>
    <s v="Low Risk"/>
    <s v="Maintain Stock"/>
  </r>
  <r>
    <n v="988"/>
    <x v="96"/>
    <x v="4"/>
    <x v="3"/>
    <n v="410"/>
    <n v="272"/>
    <n v="237"/>
    <n v="3363.79"/>
    <n v="1963.44"/>
    <n v="149"/>
    <n v="8"/>
    <s v="2026-01-18"/>
    <n v="315"/>
    <n v="2"/>
    <n v="23"/>
    <s v="Yes"/>
    <x v="2"/>
    <n v="35"/>
    <n v="0.6634146341463415"/>
    <s v="Medium Risk"/>
    <s v="Monitor Sales"/>
  </r>
  <r>
    <n v="989"/>
    <x v="40"/>
    <x v="0"/>
    <x v="3"/>
    <n v="137"/>
    <n v="167"/>
    <n v="139"/>
    <n v="1341.17"/>
    <n v="1021.87"/>
    <n v="96"/>
    <n v="8"/>
    <s v="2026-02-22"/>
    <n v="237"/>
    <n v="1"/>
    <n v="23"/>
    <s v="Yes"/>
    <x v="0"/>
    <n v="28"/>
    <n v="1.218978102189781"/>
    <s v="Low Risk"/>
    <s v="Maintain Stock"/>
  </r>
  <r>
    <n v="990"/>
    <x v="55"/>
    <x v="0"/>
    <x v="2"/>
    <n v="443"/>
    <n v="299"/>
    <n v="328"/>
    <n v="3332.8"/>
    <n v="1727.2"/>
    <n v="143"/>
    <n v="5"/>
    <s v="2026-03-19"/>
    <n v="269"/>
    <n v="1"/>
    <n v="47"/>
    <s v="No"/>
    <x v="0"/>
    <n v="-29"/>
    <n v="0.67494356659142207"/>
    <s v="Medium Risk"/>
    <s v="Monitor Sales"/>
  </r>
  <r>
    <n v="991"/>
    <x v="75"/>
    <x v="0"/>
    <x v="1"/>
    <n v="264"/>
    <n v="119"/>
    <n v="76"/>
    <n v="113.49"/>
    <n v="82.84"/>
    <n v="125"/>
    <n v="9"/>
    <s v="2026-03-01"/>
    <n v="345"/>
    <n v="2"/>
    <n v="38"/>
    <s v="Yes"/>
    <x v="0"/>
    <n v="43"/>
    <n v="0.45075757575757575"/>
    <s v="High Risk"/>
    <s v="Apply Discount / Promotion"/>
  </r>
  <r>
    <n v="992"/>
    <x v="38"/>
    <x v="0"/>
    <x v="2"/>
    <n v="339"/>
    <n v="275"/>
    <n v="280"/>
    <n v="719.67"/>
    <n v="373.17"/>
    <n v="149"/>
    <n v="2"/>
    <s v="2026-03-02"/>
    <n v="281"/>
    <n v="5"/>
    <n v="50"/>
    <s v="No"/>
    <x v="1"/>
    <n v="-5"/>
    <n v="0.8112094395280236"/>
    <s v="Medium Risk"/>
    <s v="Monitor Sales"/>
  </r>
  <r>
    <n v="993"/>
    <x v="21"/>
    <x v="3"/>
    <x v="2"/>
    <n v="115"/>
    <n v="91"/>
    <n v="64"/>
    <n v="1933.4"/>
    <n v="1382.5"/>
    <n v="52"/>
    <n v="13"/>
    <s v="2026-01-10"/>
    <n v="360"/>
    <n v="3"/>
    <n v="44"/>
    <s v="No"/>
    <x v="1"/>
    <n v="27"/>
    <n v="0.79130434782608694"/>
    <s v="Medium Risk"/>
    <s v="Monitor Sales"/>
  </r>
  <r>
    <n v="994"/>
    <x v="80"/>
    <x v="4"/>
    <x v="3"/>
    <n v="267"/>
    <n v="370"/>
    <n v="362"/>
    <n v="2607.34"/>
    <n v="1317.53"/>
    <n v="90"/>
    <n v="10"/>
    <s v="2026-02-03"/>
    <n v="55"/>
    <n v="2"/>
    <n v="8"/>
    <s v="No"/>
    <x v="0"/>
    <n v="8"/>
    <n v="1.3857677902621723"/>
    <s v="Low Risk"/>
    <s v="Maintain Stock"/>
  </r>
  <r>
    <n v="995"/>
    <x v="48"/>
    <x v="4"/>
    <x v="2"/>
    <n v="138"/>
    <n v="45"/>
    <n v="37"/>
    <n v="2416.1"/>
    <n v="1902.52"/>
    <n v="56"/>
    <n v="3"/>
    <s v="2026-03-13"/>
    <n v="312"/>
    <n v="1"/>
    <n v="20"/>
    <s v="Yes"/>
    <x v="2"/>
    <n v="8"/>
    <n v="0.32608695652173914"/>
    <s v="High Risk"/>
    <s v="Apply Discount / Promotion"/>
  </r>
  <r>
    <n v="996"/>
    <x v="61"/>
    <x v="1"/>
    <x v="0"/>
    <n v="101"/>
    <n v="0"/>
    <n v="18"/>
    <n v="217.14"/>
    <n v="130.82"/>
    <n v="118"/>
    <n v="8"/>
    <s v="2026-02-02"/>
    <n v="135"/>
    <n v="1"/>
    <n v="10"/>
    <s v="No"/>
    <x v="2"/>
    <n v="-18"/>
    <n v="0"/>
    <s v="High Risk"/>
    <s v="Apply Discount / Promotion"/>
  </r>
  <r>
    <n v="997"/>
    <x v="25"/>
    <x v="2"/>
    <x v="2"/>
    <n v="212"/>
    <n v="269"/>
    <n v="256"/>
    <n v="3519.97"/>
    <n v="2366.87"/>
    <n v="150"/>
    <n v="4"/>
    <s v="2026-01-06"/>
    <n v="363"/>
    <n v="4"/>
    <n v="45"/>
    <s v="No"/>
    <x v="2"/>
    <n v="13"/>
    <n v="1.2688679245283019"/>
    <s v="Low Risk"/>
    <s v="Maintain Stock"/>
  </r>
  <r>
    <n v="998"/>
    <x v="81"/>
    <x v="4"/>
    <x v="0"/>
    <n v="98"/>
    <n v="198"/>
    <n v="151"/>
    <n v="2614.04"/>
    <n v="1443.48"/>
    <n v="92"/>
    <n v="8"/>
    <s v="2026-03-21"/>
    <n v="252"/>
    <n v="3"/>
    <n v="40"/>
    <s v="No"/>
    <x v="1"/>
    <n v="47"/>
    <n v="2.0204081632653059"/>
    <s v="Low Risk"/>
    <s v="Maintain Stock"/>
  </r>
  <r>
    <n v="999"/>
    <x v="74"/>
    <x v="0"/>
    <x v="2"/>
    <n v="155"/>
    <n v="144"/>
    <n v="102"/>
    <n v="77.599999999999994"/>
    <n v="52.45"/>
    <n v="32"/>
    <n v="8"/>
    <s v="2026-02-01"/>
    <n v="177"/>
    <n v="1"/>
    <n v="16"/>
    <s v="Yes"/>
    <x v="0"/>
    <n v="42"/>
    <n v="0.92903225806451617"/>
    <s v="Medium Risk"/>
    <s v="Monitor Sales"/>
  </r>
  <r>
    <n v="1000"/>
    <x v="76"/>
    <x v="2"/>
    <x v="3"/>
    <n v="482"/>
    <n v="265"/>
    <n v="237"/>
    <n v="2463.85"/>
    <n v="1770.77"/>
    <n v="45"/>
    <n v="2"/>
    <s v="2026-03-26"/>
    <n v="205"/>
    <n v="2"/>
    <n v="10"/>
    <s v="Yes"/>
    <x v="2"/>
    <n v="28"/>
    <n v="0.549792531120332"/>
    <s v="Medium Risk"/>
    <s v="Monitor Sal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Product_15"/>
    <x v="0"/>
    <x v="0"/>
    <n v="193"/>
    <n v="109"/>
    <n v="146"/>
    <n v="4516.84"/>
    <n v="3046.2"/>
    <n v="147"/>
    <n v="5"/>
    <s v="2026-03-04"/>
    <n v="301"/>
    <n v="2"/>
    <n v="31"/>
    <s v="No"/>
    <x v="0"/>
    <n v="-37"/>
    <n v="0.56476683937823835"/>
    <x v="0"/>
    <s v="Monitor Sales"/>
  </r>
  <r>
    <n v="2"/>
    <s v="Product_3"/>
    <x v="1"/>
    <x v="1"/>
    <n v="196"/>
    <n v="334"/>
    <n v="311"/>
    <n v="1362.99"/>
    <n v="805.68"/>
    <n v="87"/>
    <n v="13"/>
    <s v="2026-02-15"/>
    <n v="53"/>
    <n v="1"/>
    <n v="38"/>
    <s v="No"/>
    <x v="0"/>
    <n v="23"/>
    <n v="1.7040816326530612"/>
    <x v="1"/>
    <s v="Maintain Stock"/>
  </r>
  <r>
    <n v="3"/>
    <s v="Product_87"/>
    <x v="2"/>
    <x v="0"/>
    <n v="287"/>
    <n v="220"/>
    <n v="182"/>
    <n v="2544.1999999999998"/>
    <n v="2002.09"/>
    <n v="148"/>
    <n v="13"/>
    <s v="2026-01-29"/>
    <n v="332"/>
    <n v="4"/>
    <n v="2"/>
    <s v="No"/>
    <x v="0"/>
    <n v="38"/>
    <n v="0.76655052264808365"/>
    <x v="0"/>
    <s v="Monitor Sales"/>
  </r>
  <r>
    <n v="4"/>
    <s v="Product_25"/>
    <x v="1"/>
    <x v="2"/>
    <n v="387"/>
    <n v="348"/>
    <n v="334"/>
    <n v="1010.31"/>
    <n v="603.15"/>
    <n v="130"/>
    <n v="3"/>
    <s v="2026-02-03"/>
    <n v="170"/>
    <n v="2"/>
    <n v="14"/>
    <s v="Yes"/>
    <x v="1"/>
    <n v="14"/>
    <n v="0.89922480620155043"/>
    <x v="0"/>
    <s v="Monitor Sales"/>
  </r>
  <r>
    <n v="5"/>
    <s v="Product_36"/>
    <x v="3"/>
    <x v="2"/>
    <n v="152"/>
    <n v="398"/>
    <n v="394"/>
    <n v="275.68"/>
    <n v="150.33000000000001"/>
    <n v="117"/>
    <n v="5"/>
    <s v="2026-01-10"/>
    <n v="63"/>
    <n v="4"/>
    <n v="38"/>
    <s v="No"/>
    <x v="2"/>
    <n v="4"/>
    <n v="2.6184210526315788"/>
    <x v="1"/>
    <s v="Maintain Stock"/>
  </r>
  <r>
    <n v="6"/>
    <s v="Product_69"/>
    <x v="3"/>
    <x v="0"/>
    <n v="32"/>
    <n v="269"/>
    <n v="318"/>
    <n v="2532.19"/>
    <n v="1322.13"/>
    <n v="133"/>
    <n v="11"/>
    <s v="2026-03-15"/>
    <n v="312"/>
    <n v="3"/>
    <n v="17"/>
    <s v="No"/>
    <x v="1"/>
    <n v="-49"/>
    <n v="8.40625"/>
    <x v="1"/>
    <s v="Maintain Stock"/>
  </r>
  <r>
    <n v="7"/>
    <s v="Product_46"/>
    <x v="0"/>
    <x v="2"/>
    <n v="206"/>
    <n v="187"/>
    <n v="183"/>
    <n v="1470.79"/>
    <n v="922.65"/>
    <n v="122"/>
    <n v="9"/>
    <s v="2026-01-31"/>
    <n v="343"/>
    <n v="1"/>
    <n v="8"/>
    <s v="Yes"/>
    <x v="2"/>
    <n v="4"/>
    <n v="0.90776699029126218"/>
    <x v="0"/>
    <s v="Monitor Sales"/>
  </r>
  <r>
    <n v="8"/>
    <s v="Product_78"/>
    <x v="3"/>
    <x v="2"/>
    <n v="238"/>
    <n v="143"/>
    <n v="169"/>
    <n v="2492.6799999999998"/>
    <n v="1375.04"/>
    <n v="141"/>
    <n v="6"/>
    <s v="2026-03-17"/>
    <n v="362"/>
    <n v="3"/>
    <n v="25"/>
    <s v="Yes"/>
    <x v="0"/>
    <n v="-26"/>
    <n v="0.60084033613445376"/>
    <x v="0"/>
    <s v="Monitor Sales"/>
  </r>
  <r>
    <n v="9"/>
    <s v="Product_46"/>
    <x v="0"/>
    <x v="0"/>
    <n v="319"/>
    <n v="270"/>
    <n v="242"/>
    <n v="1877.22"/>
    <n v="1231.45"/>
    <n v="140"/>
    <n v="9"/>
    <s v="2026-02-09"/>
    <n v="333"/>
    <n v="3"/>
    <n v="17"/>
    <s v="Yes"/>
    <x v="2"/>
    <n v="28"/>
    <n v="0.84639498432601878"/>
    <x v="0"/>
    <s v="Monitor Sales"/>
  </r>
  <r>
    <n v="10"/>
    <s v="Product_15"/>
    <x v="3"/>
    <x v="3"/>
    <n v="30"/>
    <n v="204"/>
    <n v="190"/>
    <n v="4132.04"/>
    <n v="2901.16"/>
    <n v="150"/>
    <n v="4"/>
    <s v="2026-02-07"/>
    <n v="207"/>
    <n v="3"/>
    <n v="22"/>
    <s v="Yes"/>
    <x v="2"/>
    <n v="14"/>
    <n v="6.8"/>
    <x v="1"/>
    <s v="Maintain Stock"/>
  </r>
  <r>
    <n v="11"/>
    <s v="Product_43"/>
    <x v="1"/>
    <x v="0"/>
    <n v="42"/>
    <n v="324"/>
    <n v="352"/>
    <n v="3815.73"/>
    <n v="2115.61"/>
    <n v="109"/>
    <n v="12"/>
    <s v="2026-01-08"/>
    <n v="260"/>
    <n v="3"/>
    <n v="25"/>
    <s v="Yes"/>
    <x v="0"/>
    <n v="-28"/>
    <n v="7.7142857142857144"/>
    <x v="1"/>
    <s v="Maintain Stock"/>
  </r>
  <r>
    <n v="12"/>
    <s v="Product_32"/>
    <x v="3"/>
    <x v="2"/>
    <n v="112"/>
    <n v="214"/>
    <n v="173"/>
    <n v="2948.09"/>
    <n v="2321.9"/>
    <n v="94"/>
    <n v="9"/>
    <s v="2026-03-26"/>
    <n v="361"/>
    <n v="1"/>
    <n v="8"/>
    <s v="Yes"/>
    <x v="0"/>
    <n v="41"/>
    <n v="1.9107142857142858"/>
    <x v="1"/>
    <s v="Maintain Stock"/>
  </r>
  <r>
    <n v="13"/>
    <s v="Product_2"/>
    <x v="4"/>
    <x v="3"/>
    <n v="35"/>
    <n v="274"/>
    <n v="287"/>
    <n v="3478.3"/>
    <n v="1920.13"/>
    <n v="144"/>
    <n v="9"/>
    <s v="2026-02-27"/>
    <n v="285"/>
    <n v="3"/>
    <n v="19"/>
    <s v="Yes"/>
    <x v="2"/>
    <n v="-13"/>
    <n v="7.8285714285714283"/>
    <x v="1"/>
    <s v="Maintain Stock"/>
  </r>
  <r>
    <n v="14"/>
    <s v="Product_80"/>
    <x v="3"/>
    <x v="2"/>
    <n v="341"/>
    <n v="308"/>
    <n v="338"/>
    <n v="2683.77"/>
    <n v="1961.91"/>
    <n v="127"/>
    <n v="4"/>
    <s v="2026-03-19"/>
    <n v="99"/>
    <n v="1"/>
    <n v="44"/>
    <s v="No"/>
    <x v="1"/>
    <n v="-30"/>
    <n v="0.90322580645161288"/>
    <x v="0"/>
    <s v="Monitor Sales"/>
  </r>
  <r>
    <n v="15"/>
    <s v="Product_64"/>
    <x v="2"/>
    <x v="3"/>
    <n v="254"/>
    <n v="237"/>
    <n v="233"/>
    <n v="4115.3599999999997"/>
    <n v="2376.15"/>
    <n v="80"/>
    <n v="4"/>
    <s v="2026-01-03"/>
    <n v="363"/>
    <n v="2"/>
    <n v="19"/>
    <s v="Yes"/>
    <x v="0"/>
    <n v="4"/>
    <n v="0.93307086614173229"/>
    <x v="0"/>
    <s v="Monitor Sales"/>
  </r>
  <r>
    <n v="16"/>
    <s v="Product_92"/>
    <x v="3"/>
    <x v="1"/>
    <n v="237"/>
    <n v="103"/>
    <n v="105"/>
    <n v="4782.57"/>
    <n v="3535.3"/>
    <n v="52"/>
    <n v="13"/>
    <s v="2026-02-06"/>
    <n v="124"/>
    <n v="2"/>
    <n v="1"/>
    <s v="No"/>
    <x v="1"/>
    <n v="-2"/>
    <n v="0.43459915611814348"/>
    <x v="2"/>
    <s v="Apply Discount / Promotion"/>
  </r>
  <r>
    <n v="17"/>
    <s v="Product_71"/>
    <x v="2"/>
    <x v="3"/>
    <n v="242"/>
    <n v="192"/>
    <n v="241"/>
    <n v="1205.6300000000001"/>
    <n v="643.17999999999995"/>
    <n v="118"/>
    <n v="10"/>
    <s v="2026-03-17"/>
    <n v="273"/>
    <n v="2"/>
    <n v="6"/>
    <s v="Yes"/>
    <x v="1"/>
    <n v="-49"/>
    <n v="0.79338842975206614"/>
    <x v="0"/>
    <s v="Monitor Sales"/>
  </r>
  <r>
    <n v="18"/>
    <s v="Product_40"/>
    <x v="3"/>
    <x v="3"/>
    <n v="271"/>
    <n v="355"/>
    <n v="311"/>
    <n v="3321.74"/>
    <n v="2188.36"/>
    <n v="73"/>
    <n v="3"/>
    <s v="2026-01-05"/>
    <n v="198"/>
    <n v="5"/>
    <n v="23"/>
    <s v="Yes"/>
    <x v="2"/>
    <n v="44"/>
    <n v="1.3099630996309963"/>
    <x v="1"/>
    <s v="Maintain Stock"/>
  </r>
  <r>
    <n v="19"/>
    <s v="Product_37"/>
    <x v="1"/>
    <x v="1"/>
    <n v="478"/>
    <n v="187"/>
    <n v="200"/>
    <n v="4720.1400000000003"/>
    <n v="2952.72"/>
    <n v="97"/>
    <n v="4"/>
    <s v="2026-01-01"/>
    <n v="328"/>
    <n v="1"/>
    <n v="5"/>
    <s v="Yes"/>
    <x v="0"/>
    <n v="-13"/>
    <n v="0.39121338912133891"/>
    <x v="2"/>
    <s v="Apply Discount / Promotion"/>
  </r>
  <r>
    <n v="20"/>
    <s v="Product_58"/>
    <x v="1"/>
    <x v="1"/>
    <n v="364"/>
    <n v="273"/>
    <n v="226"/>
    <n v="1528.49"/>
    <n v="1099.73"/>
    <n v="115"/>
    <n v="9"/>
    <s v="2026-03-21"/>
    <n v="291"/>
    <n v="5"/>
    <n v="5"/>
    <s v="No"/>
    <x v="1"/>
    <n v="47"/>
    <n v="0.75"/>
    <x v="0"/>
    <s v="Monitor Sales"/>
  </r>
  <r>
    <n v="21"/>
    <s v="Product_72"/>
    <x v="1"/>
    <x v="1"/>
    <n v="84"/>
    <n v="292"/>
    <n v="308"/>
    <n v="805.32"/>
    <n v="564.86"/>
    <n v="127"/>
    <n v="11"/>
    <s v="2026-01-23"/>
    <n v="365"/>
    <n v="4"/>
    <n v="12"/>
    <s v="No"/>
    <x v="0"/>
    <n v="-16"/>
    <n v="3.4761904761904763"/>
    <x v="1"/>
    <s v="Maintain Stock"/>
  </r>
  <r>
    <n v="22"/>
    <s v="Product_45"/>
    <x v="0"/>
    <x v="2"/>
    <n v="32"/>
    <n v="402"/>
    <n v="355"/>
    <n v="1700.54"/>
    <n v="1244.5999999999999"/>
    <n v="79"/>
    <n v="12"/>
    <s v="2026-03-06"/>
    <n v="176"/>
    <n v="5"/>
    <n v="2"/>
    <s v="No"/>
    <x v="2"/>
    <n v="47"/>
    <n v="12.5625"/>
    <x v="1"/>
    <s v="Maintain Stock"/>
  </r>
  <r>
    <n v="23"/>
    <s v="Product_4"/>
    <x v="4"/>
    <x v="1"/>
    <n v="295"/>
    <n v="31"/>
    <n v="19"/>
    <n v="731.03"/>
    <n v="574.9"/>
    <n v="51"/>
    <n v="9"/>
    <s v="2026-03-07"/>
    <n v="151"/>
    <n v="5"/>
    <n v="41"/>
    <s v="No"/>
    <x v="2"/>
    <n v="12"/>
    <n v="0.10508474576271186"/>
    <x v="2"/>
    <s v="Apply Discount / Promotion"/>
  </r>
  <r>
    <n v="24"/>
    <s v="Product_97"/>
    <x v="0"/>
    <x v="2"/>
    <n v="72"/>
    <n v="131"/>
    <n v="139"/>
    <n v="3406.31"/>
    <n v="2265.98"/>
    <n v="74"/>
    <n v="13"/>
    <s v="2026-01-01"/>
    <n v="69"/>
    <n v="1"/>
    <n v="27"/>
    <s v="No"/>
    <x v="0"/>
    <n v="-8"/>
    <n v="1.8194444444444444"/>
    <x v="1"/>
    <s v="Maintain Stock"/>
  </r>
  <r>
    <n v="25"/>
    <s v="Product_79"/>
    <x v="2"/>
    <x v="0"/>
    <n v="129"/>
    <n v="219"/>
    <n v="196"/>
    <n v="3071.46"/>
    <n v="2413.02"/>
    <n v="63"/>
    <n v="12"/>
    <s v="2026-01-22"/>
    <n v="64"/>
    <n v="1"/>
    <n v="9"/>
    <s v="Yes"/>
    <x v="2"/>
    <n v="23"/>
    <n v="1.6976744186046511"/>
    <x v="1"/>
    <s v="Maintain Stock"/>
  </r>
  <r>
    <n v="26"/>
    <s v="Product_39"/>
    <x v="1"/>
    <x v="1"/>
    <n v="416"/>
    <n v="306"/>
    <n v="302"/>
    <n v="4112.3900000000003"/>
    <n v="2653.92"/>
    <n v="96"/>
    <n v="5"/>
    <s v="2026-01-15"/>
    <n v="280"/>
    <n v="2"/>
    <n v="31"/>
    <s v="No"/>
    <x v="1"/>
    <n v="4"/>
    <n v="0.73557692307692313"/>
    <x v="0"/>
    <s v="Monitor Sales"/>
  </r>
  <r>
    <n v="27"/>
    <s v="Product_99"/>
    <x v="0"/>
    <x v="0"/>
    <n v="49"/>
    <n v="369"/>
    <n v="350"/>
    <n v="4343.22"/>
    <n v="2506.58"/>
    <n v="148"/>
    <n v="2"/>
    <s v="2026-02-01"/>
    <n v="101"/>
    <n v="4"/>
    <n v="42"/>
    <s v="No"/>
    <x v="2"/>
    <n v="19"/>
    <n v="7.5306122448979593"/>
    <x v="1"/>
    <s v="Maintain Stock"/>
  </r>
  <r>
    <n v="28"/>
    <s v="Product_62"/>
    <x v="4"/>
    <x v="3"/>
    <n v="53"/>
    <n v="429"/>
    <n v="395"/>
    <n v="767.03"/>
    <n v="504.18"/>
    <n v="60"/>
    <n v="7"/>
    <s v="2026-03-04"/>
    <n v="170"/>
    <n v="1"/>
    <n v="20"/>
    <s v="Yes"/>
    <x v="0"/>
    <n v="34"/>
    <n v="8.0943396226415096"/>
    <x v="1"/>
    <s v="Maintain Stock"/>
  </r>
  <r>
    <n v="29"/>
    <s v="Product_17"/>
    <x v="0"/>
    <x v="3"/>
    <n v="321"/>
    <n v="145"/>
    <n v="172"/>
    <n v="2148.37"/>
    <n v="1442.55"/>
    <n v="94"/>
    <n v="1"/>
    <s v="2026-01-22"/>
    <n v="116"/>
    <n v="4"/>
    <n v="48"/>
    <s v="Yes"/>
    <x v="1"/>
    <n v="-27"/>
    <n v="0.45171339563862928"/>
    <x v="2"/>
    <s v="Apply Discount / Promotion"/>
  </r>
  <r>
    <n v="30"/>
    <s v="Product_58"/>
    <x v="0"/>
    <x v="1"/>
    <n v="255"/>
    <n v="106"/>
    <n v="69"/>
    <n v="742.31"/>
    <n v="464.9"/>
    <n v="109"/>
    <n v="1"/>
    <s v="2026-01-11"/>
    <n v="190"/>
    <n v="3"/>
    <n v="3"/>
    <s v="No"/>
    <x v="2"/>
    <n v="37"/>
    <n v="0.41568627450980394"/>
    <x v="2"/>
    <s v="Apply Discount / Promotion"/>
  </r>
  <r>
    <n v="31"/>
    <s v="Product_92"/>
    <x v="3"/>
    <x v="3"/>
    <n v="455"/>
    <n v="260"/>
    <n v="298"/>
    <n v="408.83"/>
    <n v="217.87"/>
    <n v="69"/>
    <n v="4"/>
    <s v="2026-03-05"/>
    <n v="133"/>
    <n v="2"/>
    <n v="40"/>
    <s v="No"/>
    <x v="1"/>
    <n v="-38"/>
    <n v="0.5714285714285714"/>
    <x v="0"/>
    <s v="Monitor Sales"/>
  </r>
  <r>
    <n v="32"/>
    <s v="Product_17"/>
    <x v="0"/>
    <x v="3"/>
    <n v="202"/>
    <n v="301"/>
    <n v="325"/>
    <n v="1100.92"/>
    <n v="754.75"/>
    <n v="55"/>
    <n v="13"/>
    <s v="2026-03-10"/>
    <n v="109"/>
    <n v="4"/>
    <n v="16"/>
    <s v="Yes"/>
    <x v="2"/>
    <n v="-24"/>
    <n v="1.4900990099009901"/>
    <x v="1"/>
    <s v="Maintain Stock"/>
  </r>
  <r>
    <n v="33"/>
    <s v="Product_64"/>
    <x v="0"/>
    <x v="2"/>
    <n v="106"/>
    <n v="0"/>
    <n v="14"/>
    <n v="3639.86"/>
    <n v="2111.0700000000002"/>
    <n v="85"/>
    <n v="11"/>
    <s v="2026-03-14"/>
    <n v="56"/>
    <n v="4"/>
    <n v="36"/>
    <s v="Yes"/>
    <x v="1"/>
    <n v="-14"/>
    <n v="0"/>
    <x v="2"/>
    <s v="Apply Discount / Promotion"/>
  </r>
  <r>
    <n v="34"/>
    <s v="Product_98"/>
    <x v="4"/>
    <x v="2"/>
    <n v="36"/>
    <n v="23"/>
    <n v="27"/>
    <n v="1945.04"/>
    <n v="1221.8399999999999"/>
    <n v="100"/>
    <n v="8"/>
    <s v="2026-03-21"/>
    <n v="50"/>
    <n v="1"/>
    <n v="7"/>
    <s v="Yes"/>
    <x v="2"/>
    <n v="-4"/>
    <n v="0.63888888888888884"/>
    <x v="0"/>
    <s v="Monitor Sales"/>
  </r>
  <r>
    <n v="35"/>
    <s v="Product_2"/>
    <x v="3"/>
    <x v="1"/>
    <n v="194"/>
    <n v="355"/>
    <n v="307"/>
    <n v="1789.49"/>
    <n v="1054.77"/>
    <n v="127"/>
    <n v="10"/>
    <s v="2026-02-17"/>
    <n v="125"/>
    <n v="1"/>
    <n v="50"/>
    <s v="Yes"/>
    <x v="2"/>
    <n v="48"/>
    <n v="1.8298969072164948"/>
    <x v="1"/>
    <s v="Maintain Stock"/>
  </r>
  <r>
    <n v="36"/>
    <s v="Product_86"/>
    <x v="2"/>
    <x v="2"/>
    <n v="321"/>
    <n v="267"/>
    <n v="245"/>
    <n v="1094.27"/>
    <n v="591.78"/>
    <n v="33"/>
    <n v="7"/>
    <s v="2026-02-10"/>
    <n v="224"/>
    <n v="1"/>
    <n v="19"/>
    <s v="Yes"/>
    <x v="2"/>
    <n v="22"/>
    <n v="0.83177570093457942"/>
    <x v="0"/>
    <s v="Monitor Sales"/>
  </r>
  <r>
    <n v="37"/>
    <s v="Product_41"/>
    <x v="3"/>
    <x v="1"/>
    <n v="217"/>
    <n v="191"/>
    <n v="191"/>
    <n v="304.48"/>
    <n v="177.07"/>
    <n v="121"/>
    <n v="1"/>
    <s v="2026-01-26"/>
    <n v="118"/>
    <n v="2"/>
    <n v="0"/>
    <s v="Yes"/>
    <x v="0"/>
    <n v="0"/>
    <n v="0.88018433179723499"/>
    <x v="0"/>
    <s v="Monitor Sales"/>
  </r>
  <r>
    <n v="38"/>
    <s v="Product_36"/>
    <x v="4"/>
    <x v="2"/>
    <n v="327"/>
    <n v="128"/>
    <n v="165"/>
    <n v="4427.17"/>
    <n v="2537.88"/>
    <n v="111"/>
    <n v="14"/>
    <s v="2026-03-11"/>
    <n v="254"/>
    <n v="1"/>
    <n v="34"/>
    <s v="No"/>
    <x v="2"/>
    <n v="-37"/>
    <n v="0.39143730886850153"/>
    <x v="2"/>
    <s v="Apply Discount / Promotion"/>
  </r>
  <r>
    <n v="39"/>
    <s v="Product_24"/>
    <x v="2"/>
    <x v="1"/>
    <n v="496"/>
    <n v="102"/>
    <n v="56"/>
    <n v="2371.12"/>
    <n v="1536.43"/>
    <n v="38"/>
    <n v="3"/>
    <s v="2026-02-27"/>
    <n v="204"/>
    <n v="2"/>
    <n v="14"/>
    <s v="No"/>
    <x v="2"/>
    <n v="46"/>
    <n v="0.20564516129032259"/>
    <x v="2"/>
    <s v="Apply Discount / Promotion"/>
  </r>
  <r>
    <n v="40"/>
    <s v="Product_39"/>
    <x v="2"/>
    <x v="3"/>
    <n v="249"/>
    <n v="409"/>
    <n v="376"/>
    <n v="1174.97"/>
    <n v="607.71"/>
    <n v="150"/>
    <n v="1"/>
    <s v="2026-03-22"/>
    <n v="292"/>
    <n v="4"/>
    <n v="50"/>
    <s v="No"/>
    <x v="2"/>
    <n v="33"/>
    <n v="1.642570281124498"/>
    <x v="1"/>
    <s v="Maintain Stock"/>
  </r>
  <r>
    <n v="41"/>
    <s v="Product_74"/>
    <x v="2"/>
    <x v="2"/>
    <n v="106"/>
    <n v="233"/>
    <n v="248"/>
    <n v="3836.18"/>
    <n v="2893.38"/>
    <n v="112"/>
    <n v="5"/>
    <s v="2026-02-09"/>
    <n v="244"/>
    <n v="4"/>
    <n v="39"/>
    <s v="Yes"/>
    <x v="2"/>
    <n v="-15"/>
    <n v="2.1981132075471699"/>
    <x v="1"/>
    <s v="Maintain Stock"/>
  </r>
  <r>
    <n v="42"/>
    <s v="Product_85"/>
    <x v="0"/>
    <x v="2"/>
    <n v="428"/>
    <n v="142"/>
    <n v="171"/>
    <n v="2853.06"/>
    <n v="1803.61"/>
    <n v="48"/>
    <n v="12"/>
    <s v="2026-01-10"/>
    <n v="301"/>
    <n v="1"/>
    <n v="40"/>
    <s v="Yes"/>
    <x v="0"/>
    <n v="-29"/>
    <n v="0.33177570093457942"/>
    <x v="2"/>
    <s v="Apply Discount / Promotion"/>
  </r>
  <r>
    <n v="43"/>
    <s v="Product_57"/>
    <x v="4"/>
    <x v="3"/>
    <n v="340"/>
    <n v="245"/>
    <n v="229"/>
    <n v="998.4"/>
    <n v="580.88"/>
    <n v="113"/>
    <n v="3"/>
    <s v="2026-02-01"/>
    <n v="204"/>
    <n v="1"/>
    <n v="5"/>
    <s v="Yes"/>
    <x v="1"/>
    <n v="16"/>
    <n v="0.72058823529411764"/>
    <x v="0"/>
    <s v="Monitor Sales"/>
  </r>
  <r>
    <n v="44"/>
    <s v="Product_21"/>
    <x v="3"/>
    <x v="2"/>
    <n v="193"/>
    <n v="309"/>
    <n v="298"/>
    <n v="4086.49"/>
    <n v="3066.6"/>
    <n v="73"/>
    <n v="13"/>
    <s v="2026-01-20"/>
    <n v="152"/>
    <n v="5"/>
    <n v="50"/>
    <s v="Yes"/>
    <x v="1"/>
    <n v="11"/>
    <n v="1.6010362694300517"/>
    <x v="1"/>
    <s v="Maintain Stock"/>
  </r>
  <r>
    <n v="45"/>
    <s v="Product_41"/>
    <x v="1"/>
    <x v="3"/>
    <n v="464"/>
    <n v="356"/>
    <n v="315"/>
    <n v="3090.84"/>
    <n v="1578.32"/>
    <n v="126"/>
    <n v="15"/>
    <s v="2026-03-23"/>
    <n v="314"/>
    <n v="5"/>
    <n v="49"/>
    <s v="No"/>
    <x v="2"/>
    <n v="41"/>
    <n v="0.76724137931034486"/>
    <x v="0"/>
    <s v="Monitor Sales"/>
  </r>
  <r>
    <n v="46"/>
    <s v="Product_42"/>
    <x v="1"/>
    <x v="2"/>
    <n v="500"/>
    <n v="130"/>
    <n v="118"/>
    <n v="1892.32"/>
    <n v="1045.45"/>
    <n v="149"/>
    <n v="15"/>
    <s v="2026-01-30"/>
    <n v="203"/>
    <n v="4"/>
    <n v="30"/>
    <s v="No"/>
    <x v="1"/>
    <n v="12"/>
    <n v="0.26"/>
    <x v="2"/>
    <s v="Apply Discount / Promotion"/>
  </r>
  <r>
    <n v="47"/>
    <s v="Product_42"/>
    <x v="3"/>
    <x v="1"/>
    <n v="37"/>
    <n v="194"/>
    <n v="210"/>
    <n v="2144.34"/>
    <n v="1155.6300000000001"/>
    <n v="46"/>
    <n v="9"/>
    <s v="2026-03-16"/>
    <n v="266"/>
    <n v="4"/>
    <n v="8"/>
    <s v="Yes"/>
    <x v="0"/>
    <n v="-16"/>
    <n v="5.243243243243243"/>
    <x v="1"/>
    <s v="Maintain Stock"/>
  </r>
  <r>
    <n v="48"/>
    <s v="Product_11"/>
    <x v="0"/>
    <x v="0"/>
    <n v="389"/>
    <n v="223"/>
    <n v="189"/>
    <n v="3533.45"/>
    <n v="2718.71"/>
    <n v="118"/>
    <n v="10"/>
    <s v="2026-01-04"/>
    <n v="125"/>
    <n v="5"/>
    <n v="41"/>
    <s v="Yes"/>
    <x v="2"/>
    <n v="34"/>
    <n v="0.57326478149100257"/>
    <x v="0"/>
    <s v="Monitor Sales"/>
  </r>
  <r>
    <n v="49"/>
    <s v="Product_13"/>
    <x v="1"/>
    <x v="3"/>
    <n v="431"/>
    <n v="207"/>
    <n v="233"/>
    <n v="3909.93"/>
    <n v="3012.95"/>
    <n v="79"/>
    <n v="10"/>
    <s v="2026-03-18"/>
    <n v="300"/>
    <n v="3"/>
    <n v="0"/>
    <s v="Yes"/>
    <x v="1"/>
    <n v="-26"/>
    <n v="0.48027842227378192"/>
    <x v="2"/>
    <s v="Apply Discount / Promotion"/>
  </r>
  <r>
    <n v="50"/>
    <s v="Product_89"/>
    <x v="3"/>
    <x v="2"/>
    <n v="65"/>
    <n v="156"/>
    <n v="182"/>
    <n v="2564.31"/>
    <n v="2031.34"/>
    <n v="73"/>
    <n v="7"/>
    <s v="2026-02-09"/>
    <n v="230"/>
    <n v="1"/>
    <n v="10"/>
    <s v="No"/>
    <x v="2"/>
    <n v="-26"/>
    <n v="2.4"/>
    <x v="1"/>
    <s v="Maintain Stock"/>
  </r>
  <r>
    <n v="51"/>
    <s v="Product_22"/>
    <x v="2"/>
    <x v="3"/>
    <n v="217"/>
    <n v="47"/>
    <n v="16"/>
    <n v="2812.84"/>
    <n v="2192.86"/>
    <n v="69"/>
    <n v="12"/>
    <s v="2026-03-04"/>
    <n v="68"/>
    <n v="5"/>
    <n v="36"/>
    <s v="No"/>
    <x v="1"/>
    <n v="31"/>
    <n v="0.21658986175115208"/>
    <x v="2"/>
    <s v="Apply Discount / Promotion"/>
  </r>
  <r>
    <n v="52"/>
    <s v="Product_64"/>
    <x v="1"/>
    <x v="1"/>
    <n v="187"/>
    <n v="22"/>
    <n v="66"/>
    <n v="3417.37"/>
    <n v="1736.79"/>
    <n v="103"/>
    <n v="12"/>
    <s v="2026-03-01"/>
    <n v="74"/>
    <n v="4"/>
    <n v="4"/>
    <s v="No"/>
    <x v="1"/>
    <n v="-44"/>
    <n v="0.11764705882352941"/>
    <x v="2"/>
    <s v="Apply Discount / Promotion"/>
  </r>
  <r>
    <n v="53"/>
    <s v="Product_59"/>
    <x v="1"/>
    <x v="2"/>
    <n v="336"/>
    <n v="251"/>
    <n v="300"/>
    <n v="4466.45"/>
    <n v="2235.89"/>
    <n v="78"/>
    <n v="4"/>
    <s v="2026-03-01"/>
    <n v="237"/>
    <n v="4"/>
    <n v="36"/>
    <s v="Yes"/>
    <x v="2"/>
    <n v="-49"/>
    <n v="0.74702380952380953"/>
    <x v="0"/>
    <s v="Monitor Sales"/>
  </r>
  <r>
    <n v="54"/>
    <s v="Product_18"/>
    <x v="0"/>
    <x v="2"/>
    <n v="346"/>
    <n v="299"/>
    <n v="325"/>
    <n v="2406.9499999999998"/>
    <n v="1763.33"/>
    <n v="109"/>
    <n v="2"/>
    <s v="2026-03-14"/>
    <n v="183"/>
    <n v="5"/>
    <n v="44"/>
    <s v="Yes"/>
    <x v="0"/>
    <n v="-26"/>
    <n v="0.86416184971098264"/>
    <x v="0"/>
    <s v="Monitor Sales"/>
  </r>
  <r>
    <n v="55"/>
    <s v="Product_99"/>
    <x v="1"/>
    <x v="2"/>
    <n v="312"/>
    <n v="152"/>
    <n v="156"/>
    <n v="491.11"/>
    <n v="273.72000000000003"/>
    <n v="137"/>
    <n v="8"/>
    <s v="2026-01-18"/>
    <n v="196"/>
    <n v="3"/>
    <n v="47"/>
    <s v="Yes"/>
    <x v="2"/>
    <n v="-4"/>
    <n v="0.48717948717948717"/>
    <x v="2"/>
    <s v="Apply Discount / Promotion"/>
  </r>
  <r>
    <n v="56"/>
    <s v="Product_48"/>
    <x v="4"/>
    <x v="3"/>
    <n v="428"/>
    <n v="127"/>
    <n v="136"/>
    <n v="4552.08"/>
    <n v="3042.39"/>
    <n v="121"/>
    <n v="4"/>
    <s v="2026-03-13"/>
    <n v="57"/>
    <n v="1"/>
    <n v="23"/>
    <s v="Yes"/>
    <x v="0"/>
    <n v="-9"/>
    <n v="0.29672897196261683"/>
    <x v="2"/>
    <s v="Apply Discount / Promotion"/>
  </r>
  <r>
    <n v="57"/>
    <s v="Product_50"/>
    <x v="0"/>
    <x v="3"/>
    <n v="310"/>
    <n v="110"/>
    <n v="160"/>
    <n v="3548.04"/>
    <n v="2710.53"/>
    <n v="75"/>
    <n v="12"/>
    <s v="2026-01-05"/>
    <n v="297"/>
    <n v="3"/>
    <n v="14"/>
    <s v="No"/>
    <x v="2"/>
    <n v="-50"/>
    <n v="0.35483870967741937"/>
    <x v="2"/>
    <s v="Apply Discount / Promotion"/>
  </r>
  <r>
    <n v="58"/>
    <s v="Product_42"/>
    <x v="0"/>
    <x v="0"/>
    <n v="336"/>
    <n v="38"/>
    <n v="72"/>
    <n v="3653.72"/>
    <n v="2286.7399999999998"/>
    <n v="147"/>
    <n v="4"/>
    <s v="2026-03-02"/>
    <n v="169"/>
    <n v="2"/>
    <n v="20"/>
    <s v="Yes"/>
    <x v="1"/>
    <n v="-34"/>
    <n v="0.1130952380952381"/>
    <x v="2"/>
    <s v="Apply Discount / Promotion"/>
  </r>
  <r>
    <n v="59"/>
    <s v="Product_28"/>
    <x v="1"/>
    <x v="2"/>
    <n v="68"/>
    <n v="177"/>
    <n v="140"/>
    <n v="674.73"/>
    <n v="368.06"/>
    <n v="75"/>
    <n v="3"/>
    <s v="2026-03-24"/>
    <n v="32"/>
    <n v="3"/>
    <n v="17"/>
    <s v="Yes"/>
    <x v="2"/>
    <n v="37"/>
    <n v="2.6029411764705883"/>
    <x v="1"/>
    <s v="Maintain Stock"/>
  </r>
  <r>
    <n v="60"/>
    <s v="Product_69"/>
    <x v="4"/>
    <x v="1"/>
    <n v="343"/>
    <n v="330"/>
    <n v="346"/>
    <n v="923.2"/>
    <n v="586.62"/>
    <n v="113"/>
    <n v="9"/>
    <s v="2026-01-24"/>
    <n v="96"/>
    <n v="2"/>
    <n v="35"/>
    <s v="Yes"/>
    <x v="0"/>
    <n v="-16"/>
    <n v="0.96209912536443154"/>
    <x v="0"/>
    <s v="Monitor Sales"/>
  </r>
  <r>
    <n v="61"/>
    <s v="Product_69"/>
    <x v="0"/>
    <x v="2"/>
    <n v="201"/>
    <n v="249"/>
    <n v="278"/>
    <n v="4533.29"/>
    <n v="2799.04"/>
    <n v="51"/>
    <n v="14"/>
    <s v="2026-01-11"/>
    <n v="182"/>
    <n v="5"/>
    <n v="43"/>
    <s v="No"/>
    <x v="1"/>
    <n v="-29"/>
    <n v="1.2388059701492538"/>
    <x v="1"/>
    <s v="Maintain Stock"/>
  </r>
  <r>
    <n v="62"/>
    <s v="Product_1"/>
    <x v="2"/>
    <x v="3"/>
    <n v="199"/>
    <n v="328"/>
    <n v="323"/>
    <n v="1537.54"/>
    <n v="949.91"/>
    <n v="57"/>
    <n v="14"/>
    <s v="2025-12-29"/>
    <n v="39"/>
    <n v="2"/>
    <n v="17"/>
    <s v="Yes"/>
    <x v="0"/>
    <n v="5"/>
    <n v="1.6482412060301508"/>
    <x v="1"/>
    <s v="Maintain Stock"/>
  </r>
  <r>
    <n v="63"/>
    <s v="Product_47"/>
    <x v="4"/>
    <x v="1"/>
    <n v="69"/>
    <n v="199"/>
    <n v="202"/>
    <n v="2089.17"/>
    <n v="1569.42"/>
    <n v="102"/>
    <n v="7"/>
    <s v="2026-03-25"/>
    <n v="32"/>
    <n v="3"/>
    <n v="0"/>
    <s v="Yes"/>
    <x v="0"/>
    <n v="-3"/>
    <n v="2.8840579710144927"/>
    <x v="1"/>
    <s v="Maintain Stock"/>
  </r>
  <r>
    <n v="64"/>
    <s v="Product_60"/>
    <x v="4"/>
    <x v="0"/>
    <n v="430"/>
    <n v="199"/>
    <n v="208"/>
    <n v="2090.65"/>
    <n v="1440.98"/>
    <n v="97"/>
    <n v="15"/>
    <s v="2026-01-21"/>
    <n v="192"/>
    <n v="4"/>
    <n v="0"/>
    <s v="Yes"/>
    <x v="2"/>
    <n v="-9"/>
    <n v="0.46279069767441861"/>
    <x v="2"/>
    <s v="Apply Discount / Promotion"/>
  </r>
  <r>
    <n v="65"/>
    <s v="Product_61"/>
    <x v="4"/>
    <x v="0"/>
    <n v="322"/>
    <n v="272"/>
    <n v="320"/>
    <n v="1187.01"/>
    <n v="875.62"/>
    <n v="132"/>
    <n v="10"/>
    <s v="2025-12-29"/>
    <n v="135"/>
    <n v="2"/>
    <n v="49"/>
    <s v="No"/>
    <x v="0"/>
    <n v="-48"/>
    <n v="0.84472049689440998"/>
    <x v="0"/>
    <s v="Monitor Sales"/>
  </r>
  <r>
    <n v="66"/>
    <s v="Product_39"/>
    <x v="0"/>
    <x v="3"/>
    <n v="363"/>
    <n v="239"/>
    <n v="216"/>
    <n v="4673.5"/>
    <n v="3192.68"/>
    <n v="68"/>
    <n v="6"/>
    <s v="2026-02-08"/>
    <n v="155"/>
    <n v="2"/>
    <n v="0"/>
    <s v="Yes"/>
    <x v="1"/>
    <n v="23"/>
    <n v="0.6584022038567493"/>
    <x v="0"/>
    <s v="Monitor Sales"/>
  </r>
  <r>
    <n v="67"/>
    <s v="Product_68"/>
    <x v="3"/>
    <x v="3"/>
    <n v="272"/>
    <n v="231"/>
    <n v="209"/>
    <n v="1874.41"/>
    <n v="1395.02"/>
    <n v="130"/>
    <n v="13"/>
    <s v="2026-02-18"/>
    <n v="339"/>
    <n v="5"/>
    <n v="4"/>
    <s v="Yes"/>
    <x v="1"/>
    <n v="22"/>
    <n v="0.84926470588235292"/>
    <x v="0"/>
    <s v="Monitor Sales"/>
  </r>
  <r>
    <n v="68"/>
    <s v="Product_76"/>
    <x v="4"/>
    <x v="2"/>
    <n v="183"/>
    <n v="385"/>
    <n v="366"/>
    <n v="1115.05"/>
    <n v="731.33"/>
    <n v="136"/>
    <n v="13"/>
    <s v="2026-02-23"/>
    <n v="120"/>
    <n v="5"/>
    <n v="43"/>
    <s v="Yes"/>
    <x v="1"/>
    <n v="19"/>
    <n v="2.1038251366120218"/>
    <x v="1"/>
    <s v="Maintain Stock"/>
  </r>
  <r>
    <n v="69"/>
    <s v="Product_48"/>
    <x v="0"/>
    <x v="2"/>
    <n v="247"/>
    <n v="289"/>
    <n v="311"/>
    <n v="2989.05"/>
    <n v="1928.97"/>
    <n v="119"/>
    <n v="7"/>
    <s v="2026-02-18"/>
    <n v="203"/>
    <n v="1"/>
    <n v="3"/>
    <s v="Yes"/>
    <x v="1"/>
    <n v="-22"/>
    <n v="1.1700404858299596"/>
    <x v="1"/>
    <s v="Maintain Stock"/>
  </r>
  <r>
    <n v="70"/>
    <s v="Product_88"/>
    <x v="2"/>
    <x v="2"/>
    <n v="115"/>
    <n v="125"/>
    <n v="165"/>
    <n v="741.43"/>
    <n v="582.41"/>
    <n v="102"/>
    <n v="2"/>
    <s v="2026-01-22"/>
    <n v="320"/>
    <n v="5"/>
    <n v="32"/>
    <s v="Yes"/>
    <x v="0"/>
    <n v="-40"/>
    <n v="1.0869565217391304"/>
    <x v="1"/>
    <s v="Maintain Stock"/>
  </r>
  <r>
    <n v="71"/>
    <s v="Product_51"/>
    <x v="4"/>
    <x v="1"/>
    <n v="179"/>
    <n v="137"/>
    <n v="98"/>
    <n v="380.08"/>
    <n v="270.95"/>
    <n v="89"/>
    <n v="15"/>
    <s v="2026-02-28"/>
    <n v="301"/>
    <n v="1"/>
    <n v="12"/>
    <s v="No"/>
    <x v="2"/>
    <n v="39"/>
    <n v="0.76536312849162014"/>
    <x v="0"/>
    <s v="Monitor Sales"/>
  </r>
  <r>
    <n v="72"/>
    <s v="Product_86"/>
    <x v="1"/>
    <x v="3"/>
    <n v="199"/>
    <n v="121"/>
    <n v="164"/>
    <n v="1151.72"/>
    <n v="659.11"/>
    <n v="149"/>
    <n v="7"/>
    <s v="2026-03-16"/>
    <n v="307"/>
    <n v="4"/>
    <n v="43"/>
    <s v="Yes"/>
    <x v="2"/>
    <n v="-43"/>
    <n v="0.60804020100502509"/>
    <x v="0"/>
    <s v="Monitor Sales"/>
  </r>
  <r>
    <n v="73"/>
    <s v="Product_76"/>
    <x v="4"/>
    <x v="2"/>
    <n v="228"/>
    <n v="119"/>
    <n v="165"/>
    <n v="3330.22"/>
    <n v="2078.6"/>
    <n v="53"/>
    <n v="14"/>
    <s v="2026-01-13"/>
    <n v="203"/>
    <n v="4"/>
    <n v="15"/>
    <s v="Yes"/>
    <x v="0"/>
    <n v="-46"/>
    <n v="0.52192982456140347"/>
    <x v="0"/>
    <s v="Monitor Sales"/>
  </r>
  <r>
    <n v="74"/>
    <s v="Product_93"/>
    <x v="4"/>
    <x v="0"/>
    <n v="127"/>
    <n v="0"/>
    <n v="31"/>
    <n v="4808.95"/>
    <n v="2887.91"/>
    <n v="149"/>
    <n v="4"/>
    <s v="2026-02-23"/>
    <n v="352"/>
    <n v="4"/>
    <n v="30"/>
    <s v="Yes"/>
    <x v="1"/>
    <n v="-31"/>
    <n v="0"/>
    <x v="2"/>
    <s v="Apply Discount / Promotion"/>
  </r>
  <r>
    <n v="75"/>
    <s v="Product_49"/>
    <x v="3"/>
    <x v="3"/>
    <n v="226"/>
    <n v="129"/>
    <n v="162"/>
    <n v="1326.04"/>
    <n v="839.65"/>
    <n v="103"/>
    <n v="12"/>
    <s v="2026-01-01"/>
    <n v="97"/>
    <n v="2"/>
    <n v="48"/>
    <s v="Yes"/>
    <x v="1"/>
    <n v="-33"/>
    <n v="0.57079646017699115"/>
    <x v="0"/>
    <s v="Monitor Sales"/>
  </r>
  <r>
    <n v="76"/>
    <s v="Product_30"/>
    <x v="4"/>
    <x v="1"/>
    <n v="251"/>
    <n v="131"/>
    <n v="104"/>
    <n v="1123.6500000000001"/>
    <n v="638.69000000000005"/>
    <n v="59"/>
    <n v="15"/>
    <s v="2026-01-15"/>
    <n v="341"/>
    <n v="2"/>
    <n v="43"/>
    <s v="No"/>
    <x v="2"/>
    <n v="27"/>
    <n v="0.52191235059760954"/>
    <x v="0"/>
    <s v="Monitor Sales"/>
  </r>
  <r>
    <n v="77"/>
    <s v="Product_18"/>
    <x v="0"/>
    <x v="2"/>
    <n v="425"/>
    <n v="112"/>
    <n v="67"/>
    <n v="1218.26"/>
    <n v="660.51"/>
    <n v="106"/>
    <n v="2"/>
    <s v="2026-02-09"/>
    <n v="83"/>
    <n v="3"/>
    <n v="29"/>
    <s v="No"/>
    <x v="1"/>
    <n v="45"/>
    <n v="0.2635294117647059"/>
    <x v="2"/>
    <s v="Apply Discount / Promotion"/>
  </r>
  <r>
    <n v="78"/>
    <s v="Product_45"/>
    <x v="3"/>
    <x v="2"/>
    <n v="58"/>
    <n v="360"/>
    <n v="367"/>
    <n v="2429.9"/>
    <n v="1590.87"/>
    <n v="112"/>
    <n v="3"/>
    <s v="2026-01-04"/>
    <n v="275"/>
    <n v="5"/>
    <n v="34"/>
    <s v="Yes"/>
    <x v="1"/>
    <n v="-7"/>
    <n v="6.2068965517241379"/>
    <x v="1"/>
    <s v="Maintain Stock"/>
  </r>
  <r>
    <n v="79"/>
    <s v="Product_17"/>
    <x v="0"/>
    <x v="1"/>
    <n v="54"/>
    <n v="306"/>
    <n v="318"/>
    <n v="1682.54"/>
    <n v="1008.08"/>
    <n v="68"/>
    <n v="6"/>
    <s v="2026-03-20"/>
    <n v="320"/>
    <n v="1"/>
    <n v="1"/>
    <s v="Yes"/>
    <x v="0"/>
    <n v="-12"/>
    <n v="5.666666666666667"/>
    <x v="1"/>
    <s v="Maintain Stock"/>
  </r>
  <r>
    <n v="80"/>
    <s v="Product_85"/>
    <x v="3"/>
    <x v="0"/>
    <n v="207"/>
    <n v="202"/>
    <n v="228"/>
    <n v="984.3"/>
    <n v="769.32"/>
    <n v="84"/>
    <n v="8"/>
    <s v="2026-01-02"/>
    <n v="134"/>
    <n v="3"/>
    <n v="32"/>
    <s v="No"/>
    <x v="1"/>
    <n v="-26"/>
    <n v="0.97584541062801933"/>
    <x v="0"/>
    <s v="Monitor Sales"/>
  </r>
  <r>
    <n v="81"/>
    <s v="Product_80"/>
    <x v="4"/>
    <x v="0"/>
    <n v="59"/>
    <n v="131"/>
    <n v="117"/>
    <n v="1900.12"/>
    <n v="1263.73"/>
    <n v="83"/>
    <n v="3"/>
    <s v="2026-01-18"/>
    <n v="320"/>
    <n v="5"/>
    <n v="7"/>
    <s v="Yes"/>
    <x v="0"/>
    <n v="14"/>
    <n v="2.2203389830508473"/>
    <x v="1"/>
    <s v="Maintain Stock"/>
  </r>
  <r>
    <n v="82"/>
    <s v="Product_41"/>
    <x v="2"/>
    <x v="1"/>
    <n v="288"/>
    <n v="129"/>
    <n v="126"/>
    <n v="1113.52"/>
    <n v="562.73"/>
    <n v="105"/>
    <n v="14"/>
    <s v="2026-02-17"/>
    <n v="200"/>
    <n v="5"/>
    <n v="46"/>
    <s v="Yes"/>
    <x v="0"/>
    <n v="3"/>
    <n v="0.44791666666666669"/>
    <x v="2"/>
    <s v="Apply Discount / Promotion"/>
  </r>
  <r>
    <n v="83"/>
    <s v="Product_53"/>
    <x v="4"/>
    <x v="2"/>
    <n v="351"/>
    <n v="176"/>
    <n v="160"/>
    <n v="3534.37"/>
    <n v="2242.54"/>
    <n v="130"/>
    <n v="13"/>
    <s v="2026-01-06"/>
    <n v="53"/>
    <n v="4"/>
    <n v="9"/>
    <s v="Yes"/>
    <x v="2"/>
    <n v="16"/>
    <n v="0.50142450142450146"/>
    <x v="0"/>
    <s v="Monitor Sales"/>
  </r>
  <r>
    <n v="84"/>
    <s v="Product_99"/>
    <x v="4"/>
    <x v="0"/>
    <n v="46"/>
    <n v="301"/>
    <n v="330"/>
    <n v="953.14"/>
    <n v="658.09"/>
    <n v="99"/>
    <n v="14"/>
    <s v="2026-01-23"/>
    <n v="94"/>
    <n v="5"/>
    <n v="32"/>
    <s v="No"/>
    <x v="1"/>
    <n v="-29"/>
    <n v="6.5434782608695654"/>
    <x v="1"/>
    <s v="Maintain Stock"/>
  </r>
  <r>
    <n v="85"/>
    <s v="Product_18"/>
    <x v="0"/>
    <x v="0"/>
    <n v="407"/>
    <n v="320"/>
    <n v="275"/>
    <n v="2337.2399999999998"/>
    <n v="1502.92"/>
    <n v="47"/>
    <n v="3"/>
    <s v="2026-03-21"/>
    <n v="109"/>
    <n v="2"/>
    <n v="6"/>
    <s v="No"/>
    <x v="0"/>
    <n v="45"/>
    <n v="0.78624078624078619"/>
    <x v="0"/>
    <s v="Monitor Sales"/>
  </r>
  <r>
    <n v="86"/>
    <s v="Product_61"/>
    <x v="1"/>
    <x v="3"/>
    <n v="267"/>
    <n v="156"/>
    <n v="126"/>
    <n v="1237.8"/>
    <n v="626.30999999999995"/>
    <n v="37"/>
    <n v="12"/>
    <s v="2026-03-01"/>
    <n v="149"/>
    <n v="3"/>
    <n v="15"/>
    <s v="Yes"/>
    <x v="0"/>
    <n v="30"/>
    <n v="0.5842696629213483"/>
    <x v="0"/>
    <s v="Monitor Sales"/>
  </r>
  <r>
    <n v="87"/>
    <s v="Product_92"/>
    <x v="0"/>
    <x v="3"/>
    <n v="58"/>
    <n v="359"/>
    <n v="378"/>
    <n v="629.83000000000004"/>
    <n v="388.89"/>
    <n v="139"/>
    <n v="14"/>
    <s v="2026-03-08"/>
    <n v="299"/>
    <n v="2"/>
    <n v="20"/>
    <s v="Yes"/>
    <x v="0"/>
    <n v="-19"/>
    <n v="6.1896551724137927"/>
    <x v="1"/>
    <s v="Maintain Stock"/>
  </r>
  <r>
    <n v="88"/>
    <s v="Product_84"/>
    <x v="1"/>
    <x v="1"/>
    <n v="80"/>
    <n v="266"/>
    <n v="291"/>
    <n v="3910.17"/>
    <n v="2184.85"/>
    <n v="104"/>
    <n v="12"/>
    <s v="2026-02-28"/>
    <n v="116"/>
    <n v="1"/>
    <n v="33"/>
    <s v="Yes"/>
    <x v="1"/>
    <n v="-25"/>
    <n v="3.3250000000000002"/>
    <x v="1"/>
    <s v="Maintain Stock"/>
  </r>
  <r>
    <n v="89"/>
    <s v="Product_40"/>
    <x v="1"/>
    <x v="1"/>
    <n v="487"/>
    <n v="60"/>
    <n v="53"/>
    <n v="4846.84"/>
    <n v="2571.56"/>
    <n v="103"/>
    <n v="14"/>
    <s v="2026-01-26"/>
    <n v="97"/>
    <n v="2"/>
    <n v="29"/>
    <s v="No"/>
    <x v="1"/>
    <n v="7"/>
    <n v="0.12320328542094455"/>
    <x v="2"/>
    <s v="Apply Discount / Promotion"/>
  </r>
  <r>
    <n v="90"/>
    <s v="Product_92"/>
    <x v="3"/>
    <x v="1"/>
    <n v="417"/>
    <n v="227"/>
    <n v="264"/>
    <n v="1352.27"/>
    <n v="968.91"/>
    <n v="150"/>
    <n v="12"/>
    <s v="2026-01-03"/>
    <n v="227"/>
    <n v="2"/>
    <n v="25"/>
    <s v="No"/>
    <x v="0"/>
    <n v="-37"/>
    <n v="0.54436450839328532"/>
    <x v="0"/>
    <s v="Monitor Sales"/>
  </r>
  <r>
    <n v="91"/>
    <s v="Product_47"/>
    <x v="2"/>
    <x v="0"/>
    <n v="196"/>
    <n v="48"/>
    <n v="31"/>
    <n v="2376.86"/>
    <n v="1472.52"/>
    <n v="86"/>
    <n v="3"/>
    <s v="2026-03-25"/>
    <n v="187"/>
    <n v="2"/>
    <n v="44"/>
    <s v="No"/>
    <x v="0"/>
    <n v="17"/>
    <n v="0.24489795918367346"/>
    <x v="2"/>
    <s v="Apply Discount / Promotion"/>
  </r>
  <r>
    <n v="92"/>
    <s v="Product_87"/>
    <x v="2"/>
    <x v="2"/>
    <n v="275"/>
    <n v="316"/>
    <n v="307"/>
    <n v="3085.34"/>
    <n v="2256.67"/>
    <n v="104"/>
    <n v="2"/>
    <s v="2026-01-15"/>
    <n v="304"/>
    <n v="3"/>
    <n v="26"/>
    <s v="No"/>
    <x v="1"/>
    <n v="9"/>
    <n v="1.1490909090909092"/>
    <x v="1"/>
    <s v="Maintain Stock"/>
  </r>
  <r>
    <n v="93"/>
    <s v="Product_5"/>
    <x v="2"/>
    <x v="1"/>
    <n v="440"/>
    <n v="407"/>
    <n v="364"/>
    <n v="4544.99"/>
    <n v="3096.86"/>
    <n v="80"/>
    <n v="11"/>
    <s v="2026-02-27"/>
    <n v="317"/>
    <n v="3"/>
    <n v="11"/>
    <s v="Yes"/>
    <x v="2"/>
    <n v="43"/>
    <n v="0.92500000000000004"/>
    <x v="0"/>
    <s v="Monitor Sales"/>
  </r>
  <r>
    <n v="94"/>
    <s v="Product_67"/>
    <x v="2"/>
    <x v="0"/>
    <n v="34"/>
    <n v="253"/>
    <n v="238"/>
    <n v="289.08"/>
    <n v="151.38"/>
    <n v="65"/>
    <n v="3"/>
    <s v="2026-01-30"/>
    <n v="110"/>
    <n v="2"/>
    <n v="21"/>
    <s v="No"/>
    <x v="1"/>
    <n v="15"/>
    <n v="7.4411764705882355"/>
    <x v="1"/>
    <s v="Maintain Stock"/>
  </r>
  <r>
    <n v="95"/>
    <s v="Product_52"/>
    <x v="1"/>
    <x v="2"/>
    <n v="392"/>
    <n v="99"/>
    <n v="93"/>
    <n v="4662.72"/>
    <n v="3071.66"/>
    <n v="110"/>
    <n v="15"/>
    <s v="2026-02-21"/>
    <n v="301"/>
    <n v="1"/>
    <n v="0"/>
    <s v="No"/>
    <x v="1"/>
    <n v="6"/>
    <n v="0.25255102040816324"/>
    <x v="2"/>
    <s v="Apply Discount / Promotion"/>
  </r>
  <r>
    <n v="96"/>
    <s v="Product_48"/>
    <x v="4"/>
    <x v="2"/>
    <n v="443"/>
    <n v="293"/>
    <n v="341"/>
    <n v="4445.2299999999996"/>
    <n v="2556.14"/>
    <n v="138"/>
    <n v="2"/>
    <s v="2025-12-29"/>
    <n v="205"/>
    <n v="1"/>
    <n v="26"/>
    <s v="No"/>
    <x v="1"/>
    <n v="-48"/>
    <n v="0.66139954853273142"/>
    <x v="0"/>
    <s v="Monitor Sales"/>
  </r>
  <r>
    <n v="97"/>
    <s v="Product_64"/>
    <x v="0"/>
    <x v="2"/>
    <n v="203"/>
    <n v="224"/>
    <n v="201"/>
    <n v="3719.44"/>
    <n v="2725.79"/>
    <n v="34"/>
    <n v="10"/>
    <s v="2026-02-15"/>
    <n v="279"/>
    <n v="4"/>
    <n v="9"/>
    <s v="No"/>
    <x v="1"/>
    <n v="23"/>
    <n v="1.103448275862069"/>
    <x v="1"/>
    <s v="Maintain Stock"/>
  </r>
  <r>
    <n v="98"/>
    <s v="Product_13"/>
    <x v="4"/>
    <x v="1"/>
    <n v="79"/>
    <n v="51"/>
    <n v="25"/>
    <n v="1976.01"/>
    <n v="1118.94"/>
    <n v="57"/>
    <n v="1"/>
    <s v="2026-02-22"/>
    <n v="33"/>
    <n v="5"/>
    <n v="45"/>
    <s v="Yes"/>
    <x v="0"/>
    <n v="26"/>
    <n v="0.64556962025316456"/>
    <x v="0"/>
    <s v="Monitor Sales"/>
  </r>
  <r>
    <n v="99"/>
    <s v="Product_99"/>
    <x v="0"/>
    <x v="2"/>
    <n v="113"/>
    <n v="339"/>
    <n v="291"/>
    <n v="4406.3"/>
    <n v="2311.08"/>
    <n v="104"/>
    <n v="2"/>
    <s v="2026-01-14"/>
    <n v="116"/>
    <n v="5"/>
    <n v="13"/>
    <s v="Yes"/>
    <x v="2"/>
    <n v="48"/>
    <n v="3"/>
    <x v="1"/>
    <s v="Maintain Stock"/>
  </r>
  <r>
    <n v="100"/>
    <s v="Product_47"/>
    <x v="2"/>
    <x v="2"/>
    <n v="120"/>
    <n v="100"/>
    <n v="132"/>
    <n v="2984.26"/>
    <n v="2339.33"/>
    <n v="57"/>
    <n v="6"/>
    <s v="2026-01-18"/>
    <n v="275"/>
    <n v="2"/>
    <n v="30"/>
    <s v="Yes"/>
    <x v="0"/>
    <n v="-32"/>
    <n v="0.83333333333333337"/>
    <x v="0"/>
    <s v="Monitor Sales"/>
  </r>
  <r>
    <n v="101"/>
    <s v="Product_58"/>
    <x v="3"/>
    <x v="1"/>
    <n v="204"/>
    <n v="262"/>
    <n v="239"/>
    <n v="311.14"/>
    <n v="190.84"/>
    <n v="72"/>
    <n v="12"/>
    <s v="2026-03-10"/>
    <n v="138"/>
    <n v="3"/>
    <n v="25"/>
    <s v="Yes"/>
    <x v="0"/>
    <n v="23"/>
    <n v="1.2843137254901962"/>
    <x v="1"/>
    <s v="Maintain Stock"/>
  </r>
  <r>
    <n v="102"/>
    <s v="Product_67"/>
    <x v="3"/>
    <x v="2"/>
    <n v="108"/>
    <n v="234"/>
    <n v="270"/>
    <n v="1164.8599999999999"/>
    <n v="880.48"/>
    <n v="36"/>
    <n v="14"/>
    <s v="2026-02-23"/>
    <n v="346"/>
    <n v="3"/>
    <n v="50"/>
    <s v="No"/>
    <x v="1"/>
    <n v="-36"/>
    <n v="2.1666666666666665"/>
    <x v="1"/>
    <s v="Maintain Stock"/>
  </r>
  <r>
    <n v="103"/>
    <s v="Product_48"/>
    <x v="0"/>
    <x v="2"/>
    <n v="412"/>
    <n v="28"/>
    <n v="27"/>
    <n v="4429.12"/>
    <n v="3198.36"/>
    <n v="146"/>
    <n v="8"/>
    <s v="2026-03-18"/>
    <n v="209"/>
    <n v="1"/>
    <n v="5"/>
    <s v="No"/>
    <x v="0"/>
    <n v="1"/>
    <n v="6.7961165048543687E-2"/>
    <x v="2"/>
    <s v="Apply Discount / Promotion"/>
  </r>
  <r>
    <n v="104"/>
    <s v="Product_48"/>
    <x v="4"/>
    <x v="0"/>
    <n v="25"/>
    <n v="169"/>
    <n v="164"/>
    <n v="3224.81"/>
    <n v="2548.08"/>
    <n v="89"/>
    <n v="5"/>
    <s v="2026-03-03"/>
    <n v="334"/>
    <n v="1"/>
    <n v="38"/>
    <s v="Yes"/>
    <x v="1"/>
    <n v="5"/>
    <n v="6.76"/>
    <x v="1"/>
    <s v="Maintain Stock"/>
  </r>
  <r>
    <n v="105"/>
    <s v="Product_40"/>
    <x v="1"/>
    <x v="2"/>
    <n v="41"/>
    <n v="34"/>
    <n v="31"/>
    <n v="3711.56"/>
    <n v="2309.4299999999998"/>
    <n v="114"/>
    <n v="5"/>
    <s v="2026-01-27"/>
    <n v="117"/>
    <n v="3"/>
    <n v="31"/>
    <s v="No"/>
    <x v="2"/>
    <n v="3"/>
    <n v="0.82926829268292679"/>
    <x v="0"/>
    <s v="Monitor Sales"/>
  </r>
  <r>
    <n v="106"/>
    <s v="Product_94"/>
    <x v="4"/>
    <x v="1"/>
    <n v="39"/>
    <n v="278"/>
    <n v="242"/>
    <n v="2443.75"/>
    <n v="1808.58"/>
    <n v="112"/>
    <n v="4"/>
    <s v="2026-03-12"/>
    <n v="62"/>
    <n v="1"/>
    <n v="47"/>
    <s v="Yes"/>
    <x v="2"/>
    <n v="36"/>
    <n v="7.1282051282051286"/>
    <x v="1"/>
    <s v="Maintain Stock"/>
  </r>
  <r>
    <n v="107"/>
    <s v="Product_13"/>
    <x v="3"/>
    <x v="1"/>
    <n v="247"/>
    <n v="190"/>
    <n v="193"/>
    <n v="1128.68"/>
    <n v="735.28"/>
    <n v="117"/>
    <n v="2"/>
    <s v="2026-01-11"/>
    <n v="118"/>
    <n v="1"/>
    <n v="41"/>
    <s v="Yes"/>
    <x v="1"/>
    <n v="-3"/>
    <n v="0.76923076923076927"/>
    <x v="0"/>
    <s v="Monitor Sales"/>
  </r>
  <r>
    <n v="108"/>
    <s v="Product_14"/>
    <x v="3"/>
    <x v="3"/>
    <n v="230"/>
    <n v="47"/>
    <n v="77"/>
    <n v="3341.89"/>
    <n v="2404.85"/>
    <n v="81"/>
    <n v="3"/>
    <s v="2026-03-22"/>
    <n v="310"/>
    <n v="1"/>
    <n v="30"/>
    <s v="No"/>
    <x v="2"/>
    <n v="-30"/>
    <n v="0.20434782608695654"/>
    <x v="2"/>
    <s v="Apply Discount / Promotion"/>
  </r>
  <r>
    <n v="109"/>
    <s v="Product_36"/>
    <x v="4"/>
    <x v="0"/>
    <n v="253"/>
    <n v="152"/>
    <n v="157"/>
    <n v="82.25"/>
    <n v="60.49"/>
    <n v="49"/>
    <n v="10"/>
    <s v="2026-01-02"/>
    <n v="319"/>
    <n v="4"/>
    <n v="20"/>
    <s v="Yes"/>
    <x v="2"/>
    <n v="-5"/>
    <n v="0.60079051383399207"/>
    <x v="0"/>
    <s v="Monitor Sales"/>
  </r>
  <r>
    <n v="110"/>
    <s v="Product_75"/>
    <x v="2"/>
    <x v="2"/>
    <n v="379"/>
    <n v="203"/>
    <n v="164"/>
    <n v="2810.5"/>
    <n v="1938.67"/>
    <n v="57"/>
    <n v="15"/>
    <s v="2026-02-06"/>
    <n v="289"/>
    <n v="1"/>
    <n v="17"/>
    <s v="No"/>
    <x v="0"/>
    <n v="39"/>
    <n v="0.53562005277044855"/>
    <x v="0"/>
    <s v="Monitor Sales"/>
  </r>
  <r>
    <n v="111"/>
    <s v="Product_25"/>
    <x v="1"/>
    <x v="2"/>
    <n v="207"/>
    <n v="125"/>
    <n v="174"/>
    <n v="3323.76"/>
    <n v="2415.0100000000002"/>
    <n v="37"/>
    <n v="14"/>
    <s v="2026-01-17"/>
    <n v="178"/>
    <n v="3"/>
    <n v="21"/>
    <s v="Yes"/>
    <x v="0"/>
    <n v="-49"/>
    <n v="0.60386473429951693"/>
    <x v="0"/>
    <s v="Monitor Sales"/>
  </r>
  <r>
    <n v="112"/>
    <s v="Product_38"/>
    <x v="2"/>
    <x v="0"/>
    <n v="348"/>
    <n v="199"/>
    <n v="199"/>
    <n v="4020.03"/>
    <n v="2334.7199999999998"/>
    <n v="125"/>
    <n v="12"/>
    <s v="2026-02-21"/>
    <n v="318"/>
    <n v="5"/>
    <n v="1"/>
    <s v="Yes"/>
    <x v="1"/>
    <n v="0"/>
    <n v="0.57183908045977017"/>
    <x v="0"/>
    <s v="Monitor Sales"/>
  </r>
  <r>
    <n v="113"/>
    <s v="Product_34"/>
    <x v="1"/>
    <x v="1"/>
    <n v="218"/>
    <n v="232"/>
    <n v="246"/>
    <n v="196.5"/>
    <n v="148.58000000000001"/>
    <n v="54"/>
    <n v="7"/>
    <s v="2026-03-23"/>
    <n v="138"/>
    <n v="5"/>
    <n v="28"/>
    <s v="Yes"/>
    <x v="1"/>
    <n v="-14"/>
    <n v="1.0642201834862386"/>
    <x v="1"/>
    <s v="Maintain Stock"/>
  </r>
  <r>
    <n v="114"/>
    <s v="Product_92"/>
    <x v="1"/>
    <x v="3"/>
    <n v="139"/>
    <n v="256"/>
    <n v="213"/>
    <n v="792.88"/>
    <n v="444.94"/>
    <n v="107"/>
    <n v="11"/>
    <s v="2026-03-27"/>
    <n v="38"/>
    <n v="5"/>
    <n v="1"/>
    <s v="No"/>
    <x v="2"/>
    <n v="43"/>
    <n v="1.8417266187050361"/>
    <x v="1"/>
    <s v="Maintain Stock"/>
  </r>
  <r>
    <n v="115"/>
    <s v="Product_51"/>
    <x v="0"/>
    <x v="0"/>
    <n v="22"/>
    <n v="368"/>
    <n v="368"/>
    <n v="1203.8699999999999"/>
    <n v="850.7"/>
    <n v="77"/>
    <n v="8"/>
    <s v="2026-01-10"/>
    <n v="41"/>
    <n v="4"/>
    <n v="32"/>
    <s v="No"/>
    <x v="2"/>
    <n v="0"/>
    <n v="16.727272727272727"/>
    <x v="1"/>
    <s v="Maintain Stock"/>
  </r>
  <r>
    <n v="116"/>
    <s v="Product_82"/>
    <x v="4"/>
    <x v="0"/>
    <n v="375"/>
    <n v="85"/>
    <n v="78"/>
    <n v="4233.29"/>
    <n v="2503.04"/>
    <n v="48"/>
    <n v="6"/>
    <s v="2026-01-27"/>
    <n v="145"/>
    <n v="1"/>
    <n v="12"/>
    <s v="Yes"/>
    <x v="0"/>
    <n v="7"/>
    <n v="0.22666666666666666"/>
    <x v="2"/>
    <s v="Apply Discount / Promotion"/>
  </r>
  <r>
    <n v="117"/>
    <s v="Product_44"/>
    <x v="3"/>
    <x v="1"/>
    <n v="479"/>
    <n v="193"/>
    <n v="202"/>
    <n v="4870.22"/>
    <n v="2643.01"/>
    <n v="77"/>
    <n v="3"/>
    <s v="2026-01-07"/>
    <n v="79"/>
    <n v="3"/>
    <n v="18"/>
    <s v="No"/>
    <x v="2"/>
    <n v="-9"/>
    <n v="0.40292275574112735"/>
    <x v="2"/>
    <s v="Apply Discount / Promotion"/>
  </r>
  <r>
    <n v="118"/>
    <s v="Product_58"/>
    <x v="2"/>
    <x v="3"/>
    <n v="63"/>
    <n v="333"/>
    <n v="377"/>
    <n v="1845.42"/>
    <n v="1212.06"/>
    <n v="33"/>
    <n v="14"/>
    <s v="2026-03-10"/>
    <n v="81"/>
    <n v="3"/>
    <n v="21"/>
    <s v="Yes"/>
    <x v="1"/>
    <n v="-44"/>
    <n v="5.2857142857142856"/>
    <x v="1"/>
    <s v="Maintain Stock"/>
  </r>
  <r>
    <n v="119"/>
    <s v="Product_26"/>
    <x v="4"/>
    <x v="3"/>
    <n v="423"/>
    <n v="169"/>
    <n v="141"/>
    <n v="4346.24"/>
    <n v="2180.3000000000002"/>
    <n v="35"/>
    <n v="6"/>
    <s v="2026-03-26"/>
    <n v="257"/>
    <n v="5"/>
    <n v="45"/>
    <s v="No"/>
    <x v="2"/>
    <n v="28"/>
    <n v="0.39952718676122934"/>
    <x v="2"/>
    <s v="Apply Discount / Promotion"/>
  </r>
  <r>
    <n v="120"/>
    <s v="Product_18"/>
    <x v="4"/>
    <x v="0"/>
    <n v="235"/>
    <n v="37"/>
    <n v="29"/>
    <n v="3526.87"/>
    <n v="2408.77"/>
    <n v="92"/>
    <n v="8"/>
    <s v="2026-01-22"/>
    <n v="356"/>
    <n v="2"/>
    <n v="2"/>
    <s v="No"/>
    <x v="1"/>
    <n v="8"/>
    <n v="0.1574468085106383"/>
    <x v="2"/>
    <s v="Apply Discount / Promotion"/>
  </r>
  <r>
    <n v="121"/>
    <s v="Product_3"/>
    <x v="3"/>
    <x v="3"/>
    <n v="459"/>
    <n v="32"/>
    <n v="79"/>
    <n v="4728.5600000000004"/>
    <n v="2557.63"/>
    <n v="84"/>
    <n v="15"/>
    <s v="2026-02-28"/>
    <n v="348"/>
    <n v="5"/>
    <n v="22"/>
    <s v="Yes"/>
    <x v="2"/>
    <n v="-47"/>
    <n v="6.9716775599128547E-2"/>
    <x v="2"/>
    <s v="Apply Discount / Promotion"/>
  </r>
  <r>
    <n v="122"/>
    <s v="Product_6"/>
    <x v="2"/>
    <x v="1"/>
    <n v="311"/>
    <n v="101"/>
    <n v="55"/>
    <n v="403.05"/>
    <n v="306.63"/>
    <n v="36"/>
    <n v="8"/>
    <s v="2026-01-06"/>
    <n v="192"/>
    <n v="1"/>
    <n v="30"/>
    <s v="No"/>
    <x v="1"/>
    <n v="46"/>
    <n v="0.32475884244372988"/>
    <x v="2"/>
    <s v="Apply Discount / Promotion"/>
  </r>
  <r>
    <n v="123"/>
    <s v="Product_40"/>
    <x v="2"/>
    <x v="0"/>
    <n v="478"/>
    <n v="281"/>
    <n v="271"/>
    <n v="3628.43"/>
    <n v="2666.47"/>
    <n v="40"/>
    <n v="8"/>
    <s v="2026-03-01"/>
    <n v="130"/>
    <n v="2"/>
    <n v="29"/>
    <s v="Yes"/>
    <x v="0"/>
    <n v="10"/>
    <n v="0.58786610878661083"/>
    <x v="0"/>
    <s v="Monitor Sales"/>
  </r>
  <r>
    <n v="124"/>
    <s v="Product_78"/>
    <x v="0"/>
    <x v="1"/>
    <n v="463"/>
    <n v="271"/>
    <n v="249"/>
    <n v="903.46"/>
    <n v="605.46"/>
    <n v="42"/>
    <n v="10"/>
    <s v="2025-12-30"/>
    <n v="94"/>
    <n v="3"/>
    <n v="3"/>
    <s v="Yes"/>
    <x v="0"/>
    <n v="22"/>
    <n v="0.58531317494600432"/>
    <x v="0"/>
    <s v="Monitor Sales"/>
  </r>
  <r>
    <n v="125"/>
    <s v="Product_53"/>
    <x v="1"/>
    <x v="3"/>
    <n v="459"/>
    <n v="347"/>
    <n v="300"/>
    <n v="1776.97"/>
    <n v="1226.25"/>
    <n v="82"/>
    <n v="7"/>
    <s v="2026-01-19"/>
    <n v="52"/>
    <n v="4"/>
    <n v="25"/>
    <s v="Yes"/>
    <x v="1"/>
    <n v="47"/>
    <n v="0.75599128540305016"/>
    <x v="0"/>
    <s v="Monitor Sales"/>
  </r>
  <r>
    <n v="126"/>
    <s v="Product_97"/>
    <x v="0"/>
    <x v="3"/>
    <n v="213"/>
    <n v="190"/>
    <n v="222"/>
    <n v="984.42"/>
    <n v="742.83"/>
    <n v="37"/>
    <n v="10"/>
    <s v="2026-01-16"/>
    <n v="95"/>
    <n v="1"/>
    <n v="36"/>
    <s v="No"/>
    <x v="0"/>
    <n v="-32"/>
    <n v="0.892018779342723"/>
    <x v="0"/>
    <s v="Monitor Sales"/>
  </r>
  <r>
    <n v="127"/>
    <s v="Product_5"/>
    <x v="0"/>
    <x v="1"/>
    <n v="409"/>
    <n v="338"/>
    <n v="312"/>
    <n v="4807.82"/>
    <n v="2703.86"/>
    <n v="100"/>
    <n v="6"/>
    <s v="2026-02-08"/>
    <n v="315"/>
    <n v="2"/>
    <n v="19"/>
    <s v="No"/>
    <x v="1"/>
    <n v="26"/>
    <n v="0.82640586797066018"/>
    <x v="0"/>
    <s v="Monitor Sales"/>
  </r>
  <r>
    <n v="128"/>
    <s v="Product_47"/>
    <x v="0"/>
    <x v="3"/>
    <n v="79"/>
    <n v="208"/>
    <n v="188"/>
    <n v="203.31"/>
    <n v="106.93"/>
    <n v="137"/>
    <n v="7"/>
    <s v="2026-02-12"/>
    <n v="82"/>
    <n v="3"/>
    <n v="27"/>
    <s v="Yes"/>
    <x v="0"/>
    <n v="20"/>
    <n v="2.6329113924050631"/>
    <x v="1"/>
    <s v="Maintain Stock"/>
  </r>
  <r>
    <n v="129"/>
    <s v="Product_35"/>
    <x v="4"/>
    <x v="2"/>
    <n v="37"/>
    <n v="393"/>
    <n v="343"/>
    <n v="710.49"/>
    <n v="411.47"/>
    <n v="121"/>
    <n v="12"/>
    <s v="2026-03-07"/>
    <n v="63"/>
    <n v="3"/>
    <n v="12"/>
    <s v="Yes"/>
    <x v="1"/>
    <n v="50"/>
    <n v="10.621621621621621"/>
    <x v="1"/>
    <s v="Maintain Stock"/>
  </r>
  <r>
    <n v="130"/>
    <s v="Product_54"/>
    <x v="1"/>
    <x v="1"/>
    <n v="79"/>
    <n v="287"/>
    <n v="277"/>
    <n v="208.32"/>
    <n v="156.94999999999999"/>
    <n v="63"/>
    <n v="1"/>
    <s v="2026-02-10"/>
    <n v="100"/>
    <n v="4"/>
    <n v="41"/>
    <s v="No"/>
    <x v="2"/>
    <n v="10"/>
    <n v="3.6329113924050631"/>
    <x v="1"/>
    <s v="Maintain Stock"/>
  </r>
  <r>
    <n v="131"/>
    <s v="Product_65"/>
    <x v="1"/>
    <x v="2"/>
    <n v="328"/>
    <n v="154"/>
    <n v="192"/>
    <n v="3085.86"/>
    <n v="2384.0700000000002"/>
    <n v="77"/>
    <n v="13"/>
    <s v="2026-03-06"/>
    <n v="33"/>
    <n v="4"/>
    <n v="28"/>
    <s v="Yes"/>
    <x v="2"/>
    <n v="-38"/>
    <n v="0.46951219512195119"/>
    <x v="2"/>
    <s v="Apply Discount / Promotion"/>
  </r>
  <r>
    <n v="132"/>
    <s v="Product_94"/>
    <x v="2"/>
    <x v="1"/>
    <n v="407"/>
    <n v="36"/>
    <n v="48"/>
    <n v="4975.29"/>
    <n v="3424.71"/>
    <n v="112"/>
    <n v="5"/>
    <s v="2026-02-16"/>
    <n v="255"/>
    <n v="3"/>
    <n v="43"/>
    <s v="No"/>
    <x v="2"/>
    <n v="-12"/>
    <n v="8.8452088452088448E-2"/>
    <x v="2"/>
    <s v="Apply Discount / Promotion"/>
  </r>
  <r>
    <n v="133"/>
    <s v="Product_99"/>
    <x v="4"/>
    <x v="1"/>
    <n v="276"/>
    <n v="339"/>
    <n v="344"/>
    <n v="772.12"/>
    <n v="406.49"/>
    <n v="142"/>
    <n v="2"/>
    <s v="2026-03-02"/>
    <n v="135"/>
    <n v="1"/>
    <n v="4"/>
    <s v="Yes"/>
    <x v="0"/>
    <n v="-5"/>
    <n v="1.2282608695652173"/>
    <x v="1"/>
    <s v="Maintain Stock"/>
  </r>
  <r>
    <n v="134"/>
    <s v="Product_33"/>
    <x v="0"/>
    <x v="2"/>
    <n v="127"/>
    <n v="186"/>
    <n v="179"/>
    <n v="2247.4299999999998"/>
    <n v="1360.39"/>
    <n v="88"/>
    <n v="4"/>
    <s v="2026-02-22"/>
    <n v="283"/>
    <n v="1"/>
    <n v="14"/>
    <s v="Yes"/>
    <x v="2"/>
    <n v="7"/>
    <n v="1.4645669291338583"/>
    <x v="1"/>
    <s v="Maintain Stock"/>
  </r>
  <r>
    <n v="135"/>
    <s v="Product_87"/>
    <x v="1"/>
    <x v="3"/>
    <n v="262"/>
    <n v="286"/>
    <n v="327"/>
    <n v="3016.62"/>
    <n v="2207.46"/>
    <n v="70"/>
    <n v="3"/>
    <s v="2026-02-17"/>
    <n v="30"/>
    <n v="2"/>
    <n v="33"/>
    <s v="Yes"/>
    <x v="1"/>
    <n v="-41"/>
    <n v="1.0916030534351144"/>
    <x v="1"/>
    <s v="Maintain Stock"/>
  </r>
  <r>
    <n v="136"/>
    <s v="Product_36"/>
    <x v="1"/>
    <x v="0"/>
    <n v="483"/>
    <n v="379"/>
    <n v="390"/>
    <n v="4162.53"/>
    <n v="2375.23"/>
    <n v="59"/>
    <n v="6"/>
    <s v="2026-01-11"/>
    <n v="298"/>
    <n v="1"/>
    <n v="42"/>
    <s v="No"/>
    <x v="2"/>
    <n v="-11"/>
    <n v="0.78467908902691508"/>
    <x v="0"/>
    <s v="Monitor Sales"/>
  </r>
  <r>
    <n v="137"/>
    <s v="Product_36"/>
    <x v="3"/>
    <x v="0"/>
    <n v="81"/>
    <n v="258"/>
    <n v="241"/>
    <n v="1486.17"/>
    <n v="958.19"/>
    <n v="74"/>
    <n v="7"/>
    <s v="2026-03-08"/>
    <n v="38"/>
    <n v="4"/>
    <n v="35"/>
    <s v="Yes"/>
    <x v="1"/>
    <n v="17"/>
    <n v="3.1851851851851851"/>
    <x v="1"/>
    <s v="Maintain Stock"/>
  </r>
  <r>
    <n v="138"/>
    <s v="Product_3"/>
    <x v="0"/>
    <x v="3"/>
    <n v="297"/>
    <n v="369"/>
    <n v="380"/>
    <n v="3021.4"/>
    <n v="2210.1999999999998"/>
    <n v="96"/>
    <n v="14"/>
    <s v="2026-03-08"/>
    <n v="143"/>
    <n v="4"/>
    <n v="39"/>
    <s v="No"/>
    <x v="1"/>
    <n v="-11"/>
    <n v="1.2424242424242424"/>
    <x v="1"/>
    <s v="Maintain Stock"/>
  </r>
  <r>
    <n v="139"/>
    <s v="Product_52"/>
    <x v="0"/>
    <x v="2"/>
    <n v="50"/>
    <n v="7"/>
    <n v="11"/>
    <n v="2066.42"/>
    <n v="1474.32"/>
    <n v="109"/>
    <n v="13"/>
    <s v="2026-03-14"/>
    <n v="61"/>
    <n v="4"/>
    <n v="16"/>
    <s v="No"/>
    <x v="2"/>
    <n v="-4"/>
    <n v="0.14000000000000001"/>
    <x v="2"/>
    <s v="Apply Discount / Promotion"/>
  </r>
  <r>
    <n v="140"/>
    <s v="Product_2"/>
    <x v="3"/>
    <x v="2"/>
    <n v="307"/>
    <n v="298"/>
    <n v="288"/>
    <n v="2624.48"/>
    <n v="1699.76"/>
    <n v="120"/>
    <n v="2"/>
    <s v="2026-03-01"/>
    <n v="119"/>
    <n v="4"/>
    <n v="47"/>
    <s v="No"/>
    <x v="0"/>
    <n v="10"/>
    <n v="0.97068403908794787"/>
    <x v="0"/>
    <s v="Monitor Sales"/>
  </r>
  <r>
    <n v="141"/>
    <s v="Product_42"/>
    <x v="1"/>
    <x v="3"/>
    <n v="136"/>
    <n v="157"/>
    <n v="121"/>
    <n v="3501.27"/>
    <n v="2182.3200000000002"/>
    <n v="60"/>
    <n v="13"/>
    <s v="2026-03-26"/>
    <n v="47"/>
    <n v="4"/>
    <n v="4"/>
    <s v="Yes"/>
    <x v="1"/>
    <n v="36"/>
    <n v="1.1544117647058822"/>
    <x v="1"/>
    <s v="Maintain Stock"/>
  </r>
  <r>
    <n v="142"/>
    <s v="Product_83"/>
    <x v="2"/>
    <x v="1"/>
    <n v="115"/>
    <n v="186"/>
    <n v="212"/>
    <n v="4334.8999999999996"/>
    <n v="3298.07"/>
    <n v="72"/>
    <n v="11"/>
    <s v="2026-03-01"/>
    <n v="224"/>
    <n v="1"/>
    <n v="2"/>
    <s v="Yes"/>
    <x v="0"/>
    <n v="-26"/>
    <n v="1.6173913043478261"/>
    <x v="1"/>
    <s v="Maintain Stock"/>
  </r>
  <r>
    <n v="143"/>
    <s v="Product_93"/>
    <x v="4"/>
    <x v="0"/>
    <n v="68"/>
    <n v="50"/>
    <n v="36"/>
    <n v="1861.74"/>
    <n v="1200.03"/>
    <n v="130"/>
    <n v="13"/>
    <s v="2026-02-12"/>
    <n v="274"/>
    <n v="2"/>
    <n v="14"/>
    <s v="Yes"/>
    <x v="1"/>
    <n v="14"/>
    <n v="0.73529411764705888"/>
    <x v="0"/>
    <s v="Monitor Sales"/>
  </r>
  <r>
    <n v="144"/>
    <s v="Product_17"/>
    <x v="0"/>
    <x v="0"/>
    <n v="143"/>
    <n v="270"/>
    <n v="228"/>
    <n v="561.08000000000004"/>
    <n v="345.23"/>
    <n v="31"/>
    <n v="6"/>
    <s v="2026-01-04"/>
    <n v="357"/>
    <n v="1"/>
    <n v="17"/>
    <s v="Yes"/>
    <x v="1"/>
    <n v="42"/>
    <n v="1.8881118881118881"/>
    <x v="1"/>
    <s v="Maintain Stock"/>
  </r>
  <r>
    <n v="145"/>
    <s v="Product_9"/>
    <x v="2"/>
    <x v="3"/>
    <n v="241"/>
    <n v="409"/>
    <n v="377"/>
    <n v="3051.31"/>
    <n v="1870"/>
    <n v="52"/>
    <n v="5"/>
    <s v="2026-02-16"/>
    <n v="364"/>
    <n v="5"/>
    <n v="46"/>
    <s v="No"/>
    <x v="0"/>
    <n v="32"/>
    <n v="1.6970954356846473"/>
    <x v="1"/>
    <s v="Maintain Stock"/>
  </r>
  <r>
    <n v="146"/>
    <s v="Product_32"/>
    <x v="0"/>
    <x v="2"/>
    <n v="469"/>
    <n v="379"/>
    <n v="396"/>
    <n v="2331.48"/>
    <n v="1322.63"/>
    <n v="101"/>
    <n v="15"/>
    <s v="2026-03-04"/>
    <n v="312"/>
    <n v="4"/>
    <n v="23"/>
    <s v="No"/>
    <x v="2"/>
    <n v="-17"/>
    <n v="0.8081023454157783"/>
    <x v="0"/>
    <s v="Monitor Sales"/>
  </r>
  <r>
    <n v="147"/>
    <s v="Product_27"/>
    <x v="1"/>
    <x v="3"/>
    <n v="69"/>
    <n v="114"/>
    <n v="151"/>
    <n v="2301.63"/>
    <n v="1221.3800000000001"/>
    <n v="149"/>
    <n v="10"/>
    <s v="2026-02-28"/>
    <n v="76"/>
    <n v="2"/>
    <n v="44"/>
    <s v="No"/>
    <x v="0"/>
    <n v="-37"/>
    <n v="1.6521739130434783"/>
    <x v="1"/>
    <s v="Maintain Stock"/>
  </r>
  <r>
    <n v="148"/>
    <s v="Product_34"/>
    <x v="0"/>
    <x v="2"/>
    <n v="102"/>
    <n v="3"/>
    <n v="38"/>
    <n v="2231.06"/>
    <n v="1444.83"/>
    <n v="148"/>
    <n v="14"/>
    <s v="2026-01-07"/>
    <n v="226"/>
    <n v="1"/>
    <n v="14"/>
    <s v="Yes"/>
    <x v="0"/>
    <n v="-35"/>
    <n v="2.9411764705882353E-2"/>
    <x v="2"/>
    <s v="Apply Discount / Promotion"/>
  </r>
  <r>
    <n v="149"/>
    <s v="Product_79"/>
    <x v="3"/>
    <x v="3"/>
    <n v="369"/>
    <n v="349"/>
    <n v="352"/>
    <n v="818.38"/>
    <n v="528.9"/>
    <n v="84"/>
    <n v="14"/>
    <s v="2026-01-21"/>
    <n v="330"/>
    <n v="5"/>
    <n v="29"/>
    <s v="No"/>
    <x v="2"/>
    <n v="-3"/>
    <n v="0.94579945799457998"/>
    <x v="0"/>
    <s v="Monitor Sales"/>
  </r>
  <r>
    <n v="150"/>
    <s v="Product_5"/>
    <x v="2"/>
    <x v="1"/>
    <n v="24"/>
    <n v="87"/>
    <n v="101"/>
    <n v="252.48"/>
    <n v="183.24"/>
    <n v="138"/>
    <n v="11"/>
    <s v="2025-12-31"/>
    <n v="343"/>
    <n v="2"/>
    <n v="23"/>
    <s v="No"/>
    <x v="0"/>
    <n v="-14"/>
    <n v="3.625"/>
    <x v="1"/>
    <s v="Maintain Stock"/>
  </r>
  <r>
    <n v="151"/>
    <s v="Product_53"/>
    <x v="2"/>
    <x v="3"/>
    <n v="206"/>
    <n v="401"/>
    <n v="360"/>
    <n v="3097.63"/>
    <n v="1695.87"/>
    <n v="56"/>
    <n v="1"/>
    <s v="2026-03-19"/>
    <n v="342"/>
    <n v="3"/>
    <n v="48"/>
    <s v="No"/>
    <x v="0"/>
    <n v="41"/>
    <n v="1.9466019417475728"/>
    <x v="1"/>
    <s v="Maintain Stock"/>
  </r>
  <r>
    <n v="152"/>
    <s v="Product_71"/>
    <x v="4"/>
    <x v="3"/>
    <n v="185"/>
    <n v="318"/>
    <n v="334"/>
    <n v="732.95"/>
    <n v="470.92"/>
    <n v="64"/>
    <n v="14"/>
    <s v="2026-01-29"/>
    <n v="113"/>
    <n v="1"/>
    <n v="47"/>
    <s v="No"/>
    <x v="2"/>
    <n v="-16"/>
    <n v="1.7189189189189189"/>
    <x v="1"/>
    <s v="Maintain Stock"/>
  </r>
  <r>
    <n v="153"/>
    <s v="Product_25"/>
    <x v="4"/>
    <x v="3"/>
    <n v="296"/>
    <n v="121"/>
    <n v="91"/>
    <n v="4182.53"/>
    <n v="2932.85"/>
    <n v="107"/>
    <n v="3"/>
    <s v="2026-03-05"/>
    <n v="319"/>
    <n v="4"/>
    <n v="10"/>
    <s v="No"/>
    <x v="2"/>
    <n v="30"/>
    <n v="0.40878378378378377"/>
    <x v="2"/>
    <s v="Apply Discount / Promotion"/>
  </r>
  <r>
    <n v="154"/>
    <s v="Product_100"/>
    <x v="3"/>
    <x v="3"/>
    <n v="72"/>
    <n v="80"/>
    <n v="125"/>
    <n v="1370.8"/>
    <n v="702.01"/>
    <n v="49"/>
    <n v="1"/>
    <s v="2026-01-27"/>
    <n v="190"/>
    <n v="3"/>
    <n v="43"/>
    <s v="No"/>
    <x v="2"/>
    <n v="-45"/>
    <n v="1.1111111111111112"/>
    <x v="1"/>
    <s v="Maintain Stock"/>
  </r>
  <r>
    <n v="155"/>
    <s v="Product_62"/>
    <x v="4"/>
    <x v="3"/>
    <n v="329"/>
    <n v="183"/>
    <n v="182"/>
    <n v="4876.04"/>
    <n v="3818.2"/>
    <n v="82"/>
    <n v="1"/>
    <s v="2026-02-09"/>
    <n v="108"/>
    <n v="5"/>
    <n v="49"/>
    <s v="No"/>
    <x v="0"/>
    <n v="1"/>
    <n v="0.55623100303951367"/>
    <x v="0"/>
    <s v="Monitor Sales"/>
  </r>
  <r>
    <n v="156"/>
    <s v="Product_57"/>
    <x v="3"/>
    <x v="3"/>
    <n v="374"/>
    <n v="223"/>
    <n v="184"/>
    <n v="1657.72"/>
    <n v="1239.24"/>
    <n v="94"/>
    <n v="7"/>
    <s v="2026-03-01"/>
    <n v="62"/>
    <n v="5"/>
    <n v="34"/>
    <s v="No"/>
    <x v="1"/>
    <n v="39"/>
    <n v="0.59625668449197866"/>
    <x v="0"/>
    <s v="Monitor Sales"/>
  </r>
  <r>
    <n v="157"/>
    <s v="Product_5"/>
    <x v="4"/>
    <x v="3"/>
    <n v="435"/>
    <n v="342"/>
    <n v="333"/>
    <n v="1984.71"/>
    <n v="1531.28"/>
    <n v="150"/>
    <n v="8"/>
    <s v="2026-01-27"/>
    <n v="134"/>
    <n v="4"/>
    <n v="45"/>
    <s v="No"/>
    <x v="1"/>
    <n v="9"/>
    <n v="0.78620689655172415"/>
    <x v="0"/>
    <s v="Monitor Sales"/>
  </r>
  <r>
    <n v="158"/>
    <s v="Product_27"/>
    <x v="4"/>
    <x v="0"/>
    <n v="385"/>
    <n v="23"/>
    <n v="34"/>
    <n v="3749.64"/>
    <n v="1951.12"/>
    <n v="31"/>
    <n v="15"/>
    <s v="2026-01-03"/>
    <n v="225"/>
    <n v="2"/>
    <n v="31"/>
    <s v="No"/>
    <x v="2"/>
    <n v="-11"/>
    <n v="5.9740259740259739E-2"/>
    <x v="2"/>
    <s v="Apply Discount / Promotion"/>
  </r>
  <r>
    <n v="159"/>
    <s v="Product_54"/>
    <x v="4"/>
    <x v="3"/>
    <n v="322"/>
    <n v="288"/>
    <n v="251"/>
    <n v="2203.19"/>
    <n v="1740.74"/>
    <n v="94"/>
    <n v="7"/>
    <s v="2026-01-13"/>
    <n v="234"/>
    <n v="2"/>
    <n v="28"/>
    <s v="No"/>
    <x v="2"/>
    <n v="37"/>
    <n v="0.89440993788819878"/>
    <x v="0"/>
    <s v="Monitor Sales"/>
  </r>
  <r>
    <n v="160"/>
    <s v="Product_28"/>
    <x v="4"/>
    <x v="0"/>
    <n v="271"/>
    <n v="228"/>
    <n v="230"/>
    <n v="2234.46"/>
    <n v="1480.87"/>
    <n v="46"/>
    <n v="9"/>
    <s v="2026-01-23"/>
    <n v="200"/>
    <n v="1"/>
    <n v="17"/>
    <s v="No"/>
    <x v="2"/>
    <n v="-2"/>
    <n v="0.84132841328413288"/>
    <x v="0"/>
    <s v="Monitor Sales"/>
  </r>
  <r>
    <n v="161"/>
    <s v="Product_36"/>
    <x v="4"/>
    <x v="1"/>
    <n v="367"/>
    <n v="265"/>
    <n v="216"/>
    <n v="1337.9"/>
    <n v="908.92"/>
    <n v="48"/>
    <n v="12"/>
    <s v="2026-03-13"/>
    <n v="136"/>
    <n v="1"/>
    <n v="4"/>
    <s v="Yes"/>
    <x v="0"/>
    <n v="49"/>
    <n v="0.72207084468664851"/>
    <x v="0"/>
    <s v="Monitor Sales"/>
  </r>
  <r>
    <n v="162"/>
    <s v="Product_60"/>
    <x v="0"/>
    <x v="1"/>
    <n v="85"/>
    <n v="228"/>
    <n v="246"/>
    <n v="75.92"/>
    <n v="45.84"/>
    <n v="87"/>
    <n v="13"/>
    <s v="2026-03-14"/>
    <n v="168"/>
    <n v="1"/>
    <n v="5"/>
    <s v="Yes"/>
    <x v="2"/>
    <n v="-18"/>
    <n v="2.6823529411764704"/>
    <x v="1"/>
    <s v="Maintain Stock"/>
  </r>
  <r>
    <n v="163"/>
    <s v="Product_52"/>
    <x v="4"/>
    <x v="0"/>
    <n v="173"/>
    <n v="281"/>
    <n v="235"/>
    <n v="934.26"/>
    <n v="702.67"/>
    <n v="79"/>
    <n v="1"/>
    <s v="2026-02-06"/>
    <n v="249"/>
    <n v="4"/>
    <n v="39"/>
    <s v="No"/>
    <x v="2"/>
    <n v="46"/>
    <n v="1.6242774566473988"/>
    <x v="1"/>
    <s v="Maintain Stock"/>
  </r>
  <r>
    <n v="164"/>
    <s v="Product_52"/>
    <x v="4"/>
    <x v="2"/>
    <n v="82"/>
    <n v="32"/>
    <n v="42"/>
    <n v="2660.96"/>
    <n v="1724.18"/>
    <n v="59"/>
    <n v="9"/>
    <s v="2026-02-23"/>
    <n v="35"/>
    <n v="1"/>
    <n v="7"/>
    <s v="No"/>
    <x v="0"/>
    <n v="-10"/>
    <n v="0.3902439024390244"/>
    <x v="2"/>
    <s v="Apply Discount / Promotion"/>
  </r>
  <r>
    <n v="165"/>
    <s v="Product_8"/>
    <x v="3"/>
    <x v="1"/>
    <n v="117"/>
    <n v="132"/>
    <n v="164"/>
    <n v="3785.27"/>
    <n v="2124.12"/>
    <n v="45"/>
    <n v="9"/>
    <s v="2026-02-22"/>
    <n v="101"/>
    <n v="1"/>
    <n v="35"/>
    <s v="Yes"/>
    <x v="2"/>
    <n v="-32"/>
    <n v="1.1282051282051282"/>
    <x v="1"/>
    <s v="Maintain Stock"/>
  </r>
  <r>
    <n v="166"/>
    <s v="Product_31"/>
    <x v="4"/>
    <x v="0"/>
    <n v="382"/>
    <n v="287"/>
    <n v="237"/>
    <n v="4936.05"/>
    <n v="2521.59"/>
    <n v="124"/>
    <n v="3"/>
    <s v="2026-01-31"/>
    <n v="131"/>
    <n v="1"/>
    <n v="17"/>
    <s v="Yes"/>
    <x v="1"/>
    <n v="50"/>
    <n v="0.75130890052356025"/>
    <x v="0"/>
    <s v="Monitor Sales"/>
  </r>
  <r>
    <n v="167"/>
    <s v="Product_11"/>
    <x v="1"/>
    <x v="0"/>
    <n v="166"/>
    <n v="18"/>
    <n v="12"/>
    <n v="314.92"/>
    <n v="158.88"/>
    <n v="70"/>
    <n v="14"/>
    <s v="2026-02-12"/>
    <n v="285"/>
    <n v="3"/>
    <n v="11"/>
    <s v="No"/>
    <x v="1"/>
    <n v="6"/>
    <n v="0.10843373493975904"/>
    <x v="2"/>
    <s v="Apply Discount / Promotion"/>
  </r>
  <r>
    <n v="168"/>
    <s v="Product_44"/>
    <x v="0"/>
    <x v="2"/>
    <n v="268"/>
    <n v="325"/>
    <n v="302"/>
    <n v="4574.97"/>
    <n v="2568.5300000000002"/>
    <n v="81"/>
    <n v="3"/>
    <s v="2026-01-18"/>
    <n v="129"/>
    <n v="5"/>
    <n v="41"/>
    <s v="No"/>
    <x v="0"/>
    <n v="23"/>
    <n v="1.2126865671641791"/>
    <x v="1"/>
    <s v="Maintain Stock"/>
  </r>
  <r>
    <n v="169"/>
    <s v="Product_45"/>
    <x v="3"/>
    <x v="1"/>
    <n v="284"/>
    <n v="259"/>
    <n v="294"/>
    <n v="1510.65"/>
    <n v="968.78"/>
    <n v="112"/>
    <n v="13"/>
    <s v="2026-01-14"/>
    <n v="41"/>
    <n v="2"/>
    <n v="34"/>
    <s v="Yes"/>
    <x v="0"/>
    <n v="-35"/>
    <n v="0.9119718309859155"/>
    <x v="0"/>
    <s v="Monitor Sales"/>
  </r>
  <r>
    <n v="170"/>
    <s v="Product_68"/>
    <x v="0"/>
    <x v="3"/>
    <n v="95"/>
    <n v="50"/>
    <n v="19"/>
    <n v="3832.04"/>
    <n v="2761.49"/>
    <n v="49"/>
    <n v="15"/>
    <s v="2026-03-10"/>
    <n v="55"/>
    <n v="1"/>
    <n v="32"/>
    <s v="No"/>
    <x v="2"/>
    <n v="31"/>
    <n v="0.52631578947368418"/>
    <x v="0"/>
    <s v="Monitor Sales"/>
  </r>
  <r>
    <n v="171"/>
    <s v="Product_39"/>
    <x v="4"/>
    <x v="1"/>
    <n v="219"/>
    <n v="74"/>
    <n v="70"/>
    <n v="3362.14"/>
    <n v="2307.4499999999998"/>
    <n v="47"/>
    <n v="9"/>
    <s v="2026-02-01"/>
    <n v="185"/>
    <n v="4"/>
    <n v="23"/>
    <s v="No"/>
    <x v="1"/>
    <n v="4"/>
    <n v="0.33789954337899542"/>
    <x v="2"/>
    <s v="Apply Discount / Promotion"/>
  </r>
  <r>
    <n v="172"/>
    <s v="Product_3"/>
    <x v="1"/>
    <x v="2"/>
    <n v="420"/>
    <n v="284"/>
    <n v="313"/>
    <n v="4950.01"/>
    <n v="3529.7"/>
    <n v="122"/>
    <n v="2"/>
    <s v="2026-03-09"/>
    <n v="259"/>
    <n v="4"/>
    <n v="13"/>
    <s v="No"/>
    <x v="0"/>
    <n v="-29"/>
    <n v="0.67619047619047623"/>
    <x v="0"/>
    <s v="Monitor Sales"/>
  </r>
  <r>
    <n v="173"/>
    <s v="Product_37"/>
    <x v="3"/>
    <x v="1"/>
    <n v="416"/>
    <n v="53"/>
    <n v="12"/>
    <n v="4876.6899999999996"/>
    <n v="3510.37"/>
    <n v="94"/>
    <n v="6"/>
    <s v="2026-01-26"/>
    <n v="347"/>
    <n v="3"/>
    <n v="46"/>
    <s v="No"/>
    <x v="2"/>
    <n v="41"/>
    <n v="0.12740384615384615"/>
    <x v="2"/>
    <s v="Apply Discount / Promotion"/>
  </r>
  <r>
    <n v="174"/>
    <s v="Product_17"/>
    <x v="3"/>
    <x v="0"/>
    <n v="174"/>
    <n v="356"/>
    <n v="330"/>
    <n v="1449.95"/>
    <n v="811.94"/>
    <n v="109"/>
    <n v="13"/>
    <s v="2026-02-25"/>
    <n v="337"/>
    <n v="3"/>
    <n v="30"/>
    <s v="No"/>
    <x v="2"/>
    <n v="26"/>
    <n v="2.0459770114942528"/>
    <x v="1"/>
    <s v="Maintain Stock"/>
  </r>
  <r>
    <n v="175"/>
    <s v="Product_48"/>
    <x v="4"/>
    <x v="3"/>
    <n v="57"/>
    <n v="372"/>
    <n v="374"/>
    <n v="964.51"/>
    <n v="625.08000000000004"/>
    <n v="123"/>
    <n v="3"/>
    <s v="2026-03-22"/>
    <n v="99"/>
    <n v="1"/>
    <n v="42"/>
    <s v="No"/>
    <x v="0"/>
    <n v="-2"/>
    <n v="6.5263157894736841"/>
    <x v="1"/>
    <s v="Maintain Stock"/>
  </r>
  <r>
    <n v="176"/>
    <s v="Product_40"/>
    <x v="2"/>
    <x v="2"/>
    <n v="437"/>
    <n v="147"/>
    <n v="194"/>
    <n v="1573.73"/>
    <n v="1087.56"/>
    <n v="62"/>
    <n v="15"/>
    <s v="2026-01-24"/>
    <n v="54"/>
    <n v="1"/>
    <n v="41"/>
    <s v="No"/>
    <x v="1"/>
    <n v="-47"/>
    <n v="0.33638443935926776"/>
    <x v="2"/>
    <s v="Apply Discount / Promotion"/>
  </r>
  <r>
    <n v="177"/>
    <s v="Product_24"/>
    <x v="1"/>
    <x v="1"/>
    <n v="325"/>
    <n v="177"/>
    <n v="190"/>
    <n v="4625.54"/>
    <n v="2394.11"/>
    <n v="50"/>
    <n v="3"/>
    <s v="2026-01-24"/>
    <n v="87"/>
    <n v="5"/>
    <n v="21"/>
    <s v="Yes"/>
    <x v="1"/>
    <n v="-13"/>
    <n v="0.54461538461538461"/>
    <x v="0"/>
    <s v="Monitor Sales"/>
  </r>
  <r>
    <n v="178"/>
    <s v="Product_51"/>
    <x v="1"/>
    <x v="0"/>
    <n v="436"/>
    <n v="243"/>
    <n v="229"/>
    <n v="1720.5"/>
    <n v="1211.5"/>
    <n v="83"/>
    <n v="2"/>
    <s v="2026-01-25"/>
    <n v="246"/>
    <n v="2"/>
    <n v="35"/>
    <s v="No"/>
    <x v="0"/>
    <n v="14"/>
    <n v="0.55733944954128445"/>
    <x v="0"/>
    <s v="Monitor Sales"/>
  </r>
  <r>
    <n v="179"/>
    <s v="Product_81"/>
    <x v="2"/>
    <x v="3"/>
    <n v="318"/>
    <n v="37"/>
    <n v="74"/>
    <n v="3643.85"/>
    <n v="2624.61"/>
    <n v="130"/>
    <n v="6"/>
    <s v="2025-12-29"/>
    <n v="109"/>
    <n v="2"/>
    <n v="19"/>
    <s v="No"/>
    <x v="2"/>
    <n v="-37"/>
    <n v="0.11635220125786164"/>
    <x v="2"/>
    <s v="Apply Discount / Promotion"/>
  </r>
  <r>
    <n v="180"/>
    <s v="Product_33"/>
    <x v="2"/>
    <x v="1"/>
    <n v="93"/>
    <n v="172"/>
    <n v="174"/>
    <n v="4015.79"/>
    <n v="2253.31"/>
    <n v="68"/>
    <n v="9"/>
    <s v="2026-03-07"/>
    <n v="273"/>
    <n v="2"/>
    <n v="12"/>
    <s v="No"/>
    <x v="2"/>
    <n v="-2"/>
    <n v="1.8494623655913978"/>
    <x v="1"/>
    <s v="Maintain Stock"/>
  </r>
  <r>
    <n v="181"/>
    <s v="Product_15"/>
    <x v="2"/>
    <x v="0"/>
    <n v="335"/>
    <n v="114"/>
    <n v="90"/>
    <n v="679.56"/>
    <n v="432.27"/>
    <n v="55"/>
    <n v="6"/>
    <s v="2025-12-29"/>
    <n v="256"/>
    <n v="4"/>
    <n v="37"/>
    <s v="Yes"/>
    <x v="2"/>
    <n v="24"/>
    <n v="0.34029850746268658"/>
    <x v="2"/>
    <s v="Apply Discount / Promotion"/>
  </r>
  <r>
    <n v="182"/>
    <s v="Product_49"/>
    <x v="2"/>
    <x v="0"/>
    <n v="373"/>
    <n v="107"/>
    <n v="150"/>
    <n v="4089.65"/>
    <n v="2492"/>
    <n v="107"/>
    <n v="12"/>
    <s v="2026-03-14"/>
    <n v="337"/>
    <n v="3"/>
    <n v="27"/>
    <s v="Yes"/>
    <x v="0"/>
    <n v="-43"/>
    <n v="0.28686327077747992"/>
    <x v="2"/>
    <s v="Apply Discount / Promotion"/>
  </r>
  <r>
    <n v="183"/>
    <s v="Product_40"/>
    <x v="4"/>
    <x v="1"/>
    <n v="357"/>
    <n v="411"/>
    <n v="366"/>
    <n v="3905.65"/>
    <n v="2431.46"/>
    <n v="127"/>
    <n v="14"/>
    <s v="2026-01-27"/>
    <n v="109"/>
    <n v="3"/>
    <n v="24"/>
    <s v="Yes"/>
    <x v="2"/>
    <n v="45"/>
    <n v="1.1512605042016806"/>
    <x v="1"/>
    <s v="Maintain Stock"/>
  </r>
  <r>
    <n v="184"/>
    <s v="Product_73"/>
    <x v="2"/>
    <x v="1"/>
    <n v="298"/>
    <n v="105"/>
    <n v="120"/>
    <n v="3764.11"/>
    <n v="2012.09"/>
    <n v="42"/>
    <n v="8"/>
    <s v="2026-02-02"/>
    <n v="173"/>
    <n v="3"/>
    <n v="25"/>
    <s v="No"/>
    <x v="0"/>
    <n v="-15"/>
    <n v="0.3523489932885906"/>
    <x v="2"/>
    <s v="Apply Discount / Promotion"/>
  </r>
  <r>
    <n v="185"/>
    <s v="Product_84"/>
    <x v="1"/>
    <x v="3"/>
    <n v="488"/>
    <n v="306"/>
    <n v="335"/>
    <n v="4474.71"/>
    <n v="2629.27"/>
    <n v="116"/>
    <n v="7"/>
    <s v="2026-02-21"/>
    <n v="199"/>
    <n v="1"/>
    <n v="37"/>
    <s v="Yes"/>
    <x v="2"/>
    <n v="-29"/>
    <n v="0.62704918032786883"/>
    <x v="0"/>
    <s v="Monitor Sales"/>
  </r>
  <r>
    <n v="186"/>
    <s v="Product_5"/>
    <x v="3"/>
    <x v="2"/>
    <n v="433"/>
    <n v="246"/>
    <n v="217"/>
    <n v="910.19"/>
    <n v="618.80999999999995"/>
    <n v="73"/>
    <n v="7"/>
    <s v="2026-02-22"/>
    <n v="265"/>
    <n v="5"/>
    <n v="32"/>
    <s v="No"/>
    <x v="0"/>
    <n v="29"/>
    <n v="0.56812933025404155"/>
    <x v="0"/>
    <s v="Monitor Sales"/>
  </r>
  <r>
    <n v="187"/>
    <s v="Product_50"/>
    <x v="0"/>
    <x v="2"/>
    <n v="282"/>
    <n v="328"/>
    <n v="345"/>
    <n v="3725.47"/>
    <n v="2321.34"/>
    <n v="30"/>
    <n v="13"/>
    <s v="2026-02-15"/>
    <n v="310"/>
    <n v="2"/>
    <n v="41"/>
    <s v="Yes"/>
    <x v="1"/>
    <n v="-17"/>
    <n v="1.1631205673758864"/>
    <x v="1"/>
    <s v="Maintain Stock"/>
  </r>
  <r>
    <n v="188"/>
    <s v="Product_34"/>
    <x v="2"/>
    <x v="3"/>
    <n v="315"/>
    <n v="7"/>
    <n v="10"/>
    <n v="4886.8900000000003"/>
    <n v="3717.51"/>
    <n v="58"/>
    <n v="11"/>
    <s v="2026-03-28"/>
    <n v="306"/>
    <n v="2"/>
    <n v="17"/>
    <s v="No"/>
    <x v="2"/>
    <n v="-3"/>
    <n v="2.2222222222222223E-2"/>
    <x v="2"/>
    <s v="Apply Discount / Promotion"/>
  </r>
  <r>
    <n v="189"/>
    <s v="Product_87"/>
    <x v="3"/>
    <x v="3"/>
    <n v="42"/>
    <n v="279"/>
    <n v="243"/>
    <n v="3982.03"/>
    <n v="2095.2399999999998"/>
    <n v="150"/>
    <n v="7"/>
    <s v="2026-03-10"/>
    <n v="145"/>
    <n v="3"/>
    <n v="46"/>
    <s v="No"/>
    <x v="1"/>
    <n v="36"/>
    <n v="6.6428571428571432"/>
    <x v="1"/>
    <s v="Maintain Stock"/>
  </r>
  <r>
    <n v="190"/>
    <s v="Product_98"/>
    <x v="0"/>
    <x v="1"/>
    <n v="148"/>
    <n v="277"/>
    <n v="300"/>
    <n v="2375.59"/>
    <n v="1890.74"/>
    <n v="93"/>
    <n v="1"/>
    <s v="2026-02-07"/>
    <n v="253"/>
    <n v="1"/>
    <n v="43"/>
    <s v="Yes"/>
    <x v="0"/>
    <n v="-23"/>
    <n v="1.8716216216216217"/>
    <x v="1"/>
    <s v="Maintain Stock"/>
  </r>
  <r>
    <n v="191"/>
    <s v="Product_50"/>
    <x v="0"/>
    <x v="0"/>
    <n v="76"/>
    <n v="136"/>
    <n v="186"/>
    <n v="2874.8"/>
    <n v="1807.56"/>
    <n v="37"/>
    <n v="1"/>
    <s v="2026-03-06"/>
    <n v="307"/>
    <n v="3"/>
    <n v="24"/>
    <s v="Yes"/>
    <x v="0"/>
    <n v="-50"/>
    <n v="1.7894736842105263"/>
    <x v="1"/>
    <s v="Maintain Stock"/>
  </r>
  <r>
    <n v="192"/>
    <s v="Product_75"/>
    <x v="0"/>
    <x v="0"/>
    <n v="406"/>
    <n v="67"/>
    <n v="19"/>
    <n v="1403.31"/>
    <n v="846.33"/>
    <n v="80"/>
    <n v="6"/>
    <s v="2026-02-08"/>
    <n v="359"/>
    <n v="5"/>
    <n v="6"/>
    <s v="No"/>
    <x v="1"/>
    <n v="48"/>
    <n v="0.16502463054187191"/>
    <x v="2"/>
    <s v="Apply Discount / Promotion"/>
  </r>
  <r>
    <n v="193"/>
    <s v="Product_8"/>
    <x v="1"/>
    <x v="2"/>
    <n v="201"/>
    <n v="137"/>
    <n v="158"/>
    <n v="4505.99"/>
    <n v="2943.01"/>
    <n v="142"/>
    <n v="11"/>
    <s v="2026-01-05"/>
    <n v="232"/>
    <n v="4"/>
    <n v="29"/>
    <s v="Yes"/>
    <x v="1"/>
    <n v="-21"/>
    <n v="0.68159203980099503"/>
    <x v="0"/>
    <s v="Monitor Sales"/>
  </r>
  <r>
    <n v="194"/>
    <s v="Product_58"/>
    <x v="0"/>
    <x v="1"/>
    <n v="498"/>
    <n v="267"/>
    <n v="286"/>
    <n v="3186.42"/>
    <n v="2508.13"/>
    <n v="124"/>
    <n v="12"/>
    <s v="2026-03-14"/>
    <n v="45"/>
    <n v="4"/>
    <n v="5"/>
    <s v="No"/>
    <x v="1"/>
    <n v="-19"/>
    <n v="0.53614457831325302"/>
    <x v="0"/>
    <s v="Monitor Sales"/>
  </r>
  <r>
    <n v="195"/>
    <s v="Product_39"/>
    <x v="2"/>
    <x v="2"/>
    <n v="270"/>
    <n v="79"/>
    <n v="59"/>
    <n v="3569.88"/>
    <n v="1986.35"/>
    <n v="137"/>
    <n v="11"/>
    <s v="2026-03-08"/>
    <n v="65"/>
    <n v="1"/>
    <n v="29"/>
    <s v="Yes"/>
    <x v="1"/>
    <n v="20"/>
    <n v="0.29259259259259257"/>
    <x v="2"/>
    <s v="Apply Discount / Promotion"/>
  </r>
  <r>
    <n v="196"/>
    <s v="Product_93"/>
    <x v="1"/>
    <x v="2"/>
    <n v="60"/>
    <n v="288"/>
    <n v="290"/>
    <n v="1648.19"/>
    <n v="980.55"/>
    <n v="63"/>
    <n v="10"/>
    <s v="2026-01-20"/>
    <n v="315"/>
    <n v="2"/>
    <n v="48"/>
    <s v="Yes"/>
    <x v="1"/>
    <n v="-2"/>
    <n v="4.8"/>
    <x v="1"/>
    <s v="Maintain Stock"/>
  </r>
  <r>
    <n v="197"/>
    <s v="Product_37"/>
    <x v="4"/>
    <x v="2"/>
    <n v="46"/>
    <n v="192"/>
    <n v="231"/>
    <n v="2981.74"/>
    <n v="2021.71"/>
    <n v="69"/>
    <n v="3"/>
    <s v="2026-02-27"/>
    <n v="224"/>
    <n v="2"/>
    <n v="20"/>
    <s v="No"/>
    <x v="2"/>
    <n v="-39"/>
    <n v="4.1739130434782608"/>
    <x v="1"/>
    <s v="Maintain Stock"/>
  </r>
  <r>
    <n v="198"/>
    <s v="Product_83"/>
    <x v="4"/>
    <x v="0"/>
    <n v="342"/>
    <n v="105"/>
    <n v="153"/>
    <n v="2992.38"/>
    <n v="1886.61"/>
    <n v="99"/>
    <n v="10"/>
    <s v="2026-03-02"/>
    <n v="30"/>
    <n v="2"/>
    <n v="6"/>
    <s v="Yes"/>
    <x v="1"/>
    <n v="-48"/>
    <n v="0.30701754385964913"/>
    <x v="2"/>
    <s v="Apply Discount / Promotion"/>
  </r>
  <r>
    <n v="199"/>
    <s v="Product_30"/>
    <x v="2"/>
    <x v="2"/>
    <n v="288"/>
    <n v="69"/>
    <n v="105"/>
    <n v="4861.1000000000004"/>
    <n v="3583.27"/>
    <n v="132"/>
    <n v="15"/>
    <s v="2026-02-16"/>
    <n v="235"/>
    <n v="1"/>
    <n v="31"/>
    <s v="No"/>
    <x v="1"/>
    <n v="-36"/>
    <n v="0.23958333333333334"/>
    <x v="2"/>
    <s v="Apply Discount / Promotion"/>
  </r>
  <r>
    <n v="200"/>
    <s v="Product_61"/>
    <x v="2"/>
    <x v="3"/>
    <n v="246"/>
    <n v="77"/>
    <n v="89"/>
    <n v="2480.9299999999998"/>
    <n v="1830.24"/>
    <n v="129"/>
    <n v="1"/>
    <s v="2026-01-28"/>
    <n v="168"/>
    <n v="2"/>
    <n v="38"/>
    <s v="Yes"/>
    <x v="0"/>
    <n v="-12"/>
    <n v="0.31300813008130079"/>
    <x v="2"/>
    <s v="Apply Discount / Promotion"/>
  </r>
  <r>
    <n v="201"/>
    <s v="Product_8"/>
    <x v="2"/>
    <x v="2"/>
    <n v="286"/>
    <n v="0"/>
    <n v="31"/>
    <n v="4926.68"/>
    <n v="3285.18"/>
    <n v="88"/>
    <n v="14"/>
    <s v="2026-01-11"/>
    <n v="75"/>
    <n v="2"/>
    <n v="7"/>
    <s v="Yes"/>
    <x v="1"/>
    <n v="-31"/>
    <n v="0"/>
    <x v="2"/>
    <s v="Apply Discount / Promotion"/>
  </r>
  <r>
    <n v="202"/>
    <s v="Product_56"/>
    <x v="2"/>
    <x v="2"/>
    <n v="368"/>
    <n v="341"/>
    <n v="347"/>
    <n v="4442.17"/>
    <n v="2900.85"/>
    <n v="62"/>
    <n v="8"/>
    <s v="2026-02-07"/>
    <n v="205"/>
    <n v="5"/>
    <n v="35"/>
    <s v="No"/>
    <x v="0"/>
    <n v="-6"/>
    <n v="0.92663043478260865"/>
    <x v="0"/>
    <s v="Monitor Sales"/>
  </r>
  <r>
    <n v="203"/>
    <s v="Product_90"/>
    <x v="0"/>
    <x v="1"/>
    <n v="308"/>
    <n v="341"/>
    <n v="388"/>
    <n v="3394.46"/>
    <n v="2619.3200000000002"/>
    <n v="32"/>
    <n v="9"/>
    <s v="2026-02-28"/>
    <n v="320"/>
    <n v="5"/>
    <n v="31"/>
    <s v="Yes"/>
    <x v="2"/>
    <n v="-47"/>
    <n v="1.1071428571428572"/>
    <x v="1"/>
    <s v="Maintain Stock"/>
  </r>
  <r>
    <n v="204"/>
    <s v="Product_59"/>
    <x v="1"/>
    <x v="3"/>
    <n v="158"/>
    <n v="0"/>
    <n v="29"/>
    <n v="2700.11"/>
    <n v="1356.22"/>
    <n v="100"/>
    <n v="12"/>
    <s v="2026-01-16"/>
    <n v="103"/>
    <n v="3"/>
    <n v="41"/>
    <s v="Yes"/>
    <x v="1"/>
    <n v="-29"/>
    <n v="0"/>
    <x v="2"/>
    <s v="Apply Discount / Promotion"/>
  </r>
  <r>
    <n v="205"/>
    <s v="Product_55"/>
    <x v="1"/>
    <x v="1"/>
    <n v="223"/>
    <n v="219"/>
    <n v="226"/>
    <n v="4235.8900000000003"/>
    <n v="2168.6"/>
    <n v="128"/>
    <n v="5"/>
    <s v="2026-01-01"/>
    <n v="39"/>
    <n v="2"/>
    <n v="14"/>
    <s v="Yes"/>
    <x v="0"/>
    <n v="-7"/>
    <n v="0.98206278026905824"/>
    <x v="0"/>
    <s v="Monitor Sales"/>
  </r>
  <r>
    <n v="206"/>
    <s v="Product_29"/>
    <x v="1"/>
    <x v="0"/>
    <n v="194"/>
    <n v="191"/>
    <n v="219"/>
    <n v="3437.28"/>
    <n v="2533.52"/>
    <n v="148"/>
    <n v="6"/>
    <s v="2026-03-15"/>
    <n v="297"/>
    <n v="4"/>
    <n v="50"/>
    <s v="No"/>
    <x v="1"/>
    <n v="-28"/>
    <n v="0.98453608247422686"/>
    <x v="0"/>
    <s v="Monitor Sales"/>
  </r>
  <r>
    <n v="207"/>
    <s v="Product_57"/>
    <x v="3"/>
    <x v="3"/>
    <n v="441"/>
    <n v="405"/>
    <n v="377"/>
    <n v="3545.14"/>
    <n v="2026.96"/>
    <n v="46"/>
    <n v="15"/>
    <s v="2026-03-06"/>
    <n v="284"/>
    <n v="4"/>
    <n v="21"/>
    <s v="No"/>
    <x v="1"/>
    <n v="28"/>
    <n v="0.91836734693877553"/>
    <x v="0"/>
    <s v="Monitor Sales"/>
  </r>
  <r>
    <n v="208"/>
    <s v="Product_25"/>
    <x v="1"/>
    <x v="3"/>
    <n v="439"/>
    <n v="254"/>
    <n v="257"/>
    <n v="3150.3"/>
    <n v="1968.18"/>
    <n v="130"/>
    <n v="14"/>
    <s v="2026-03-17"/>
    <n v="200"/>
    <n v="1"/>
    <n v="13"/>
    <s v="No"/>
    <x v="2"/>
    <n v="-3"/>
    <n v="0.57858769931662868"/>
    <x v="0"/>
    <s v="Monitor Sales"/>
  </r>
  <r>
    <n v="209"/>
    <s v="Product_80"/>
    <x v="4"/>
    <x v="0"/>
    <n v="75"/>
    <n v="422"/>
    <n v="388"/>
    <n v="3574.94"/>
    <n v="2714.03"/>
    <n v="68"/>
    <n v="11"/>
    <s v="2026-01-03"/>
    <n v="41"/>
    <n v="1"/>
    <n v="3"/>
    <s v="No"/>
    <x v="2"/>
    <n v="34"/>
    <n v="5.6266666666666669"/>
    <x v="1"/>
    <s v="Maintain Stock"/>
  </r>
  <r>
    <n v="210"/>
    <s v="Product_68"/>
    <x v="4"/>
    <x v="0"/>
    <n v="370"/>
    <n v="202"/>
    <n v="152"/>
    <n v="2004.16"/>
    <n v="1284.4000000000001"/>
    <n v="65"/>
    <n v="10"/>
    <s v="2026-03-06"/>
    <n v="242"/>
    <n v="2"/>
    <n v="47"/>
    <s v="No"/>
    <x v="2"/>
    <n v="50"/>
    <n v="0.54594594594594592"/>
    <x v="0"/>
    <s v="Monitor Sales"/>
  </r>
  <r>
    <n v="211"/>
    <s v="Product_35"/>
    <x v="1"/>
    <x v="2"/>
    <n v="252"/>
    <n v="107"/>
    <n v="109"/>
    <n v="3246.23"/>
    <n v="2043.05"/>
    <n v="116"/>
    <n v="5"/>
    <s v="2026-02-02"/>
    <n v="51"/>
    <n v="2"/>
    <n v="39"/>
    <s v="Yes"/>
    <x v="0"/>
    <n v="-2"/>
    <n v="0.42460317460317459"/>
    <x v="2"/>
    <s v="Apply Discount / Promotion"/>
  </r>
  <r>
    <n v="212"/>
    <s v="Product_65"/>
    <x v="2"/>
    <x v="0"/>
    <n v="359"/>
    <n v="122"/>
    <n v="104"/>
    <n v="621.54"/>
    <n v="486.69"/>
    <n v="64"/>
    <n v="4"/>
    <s v="2026-02-06"/>
    <n v="163"/>
    <n v="1"/>
    <n v="32"/>
    <s v="No"/>
    <x v="2"/>
    <n v="18"/>
    <n v="0.33983286908077992"/>
    <x v="2"/>
    <s v="Apply Discount / Promotion"/>
  </r>
  <r>
    <n v="213"/>
    <s v="Product_4"/>
    <x v="3"/>
    <x v="2"/>
    <n v="145"/>
    <n v="388"/>
    <n v="385"/>
    <n v="4792.43"/>
    <n v="2805.05"/>
    <n v="45"/>
    <n v="12"/>
    <s v="2026-01-10"/>
    <n v="125"/>
    <n v="3"/>
    <n v="16"/>
    <s v="No"/>
    <x v="0"/>
    <n v="3"/>
    <n v="2.6758620689655173"/>
    <x v="1"/>
    <s v="Maintain Stock"/>
  </r>
  <r>
    <n v="214"/>
    <s v="Product_65"/>
    <x v="2"/>
    <x v="1"/>
    <n v="37"/>
    <n v="254"/>
    <n v="283"/>
    <n v="1662.46"/>
    <n v="906.42"/>
    <n v="55"/>
    <n v="10"/>
    <s v="2026-01-31"/>
    <n v="40"/>
    <n v="3"/>
    <n v="6"/>
    <s v="Yes"/>
    <x v="2"/>
    <n v="-29"/>
    <n v="6.8648648648648649"/>
    <x v="1"/>
    <s v="Maintain Stock"/>
  </r>
  <r>
    <n v="215"/>
    <s v="Product_74"/>
    <x v="2"/>
    <x v="2"/>
    <n v="363"/>
    <n v="0"/>
    <n v="25"/>
    <n v="1640.41"/>
    <n v="1222.8399999999999"/>
    <n v="105"/>
    <n v="3"/>
    <s v="2025-12-29"/>
    <n v="62"/>
    <n v="4"/>
    <n v="39"/>
    <s v="No"/>
    <x v="2"/>
    <n v="-25"/>
    <n v="0"/>
    <x v="2"/>
    <s v="Apply Discount / Promotion"/>
  </r>
  <r>
    <n v="216"/>
    <s v="Product_68"/>
    <x v="2"/>
    <x v="0"/>
    <n v="386"/>
    <n v="0"/>
    <n v="17"/>
    <n v="1132.06"/>
    <n v="757.2"/>
    <n v="54"/>
    <n v="6"/>
    <s v="2026-01-15"/>
    <n v="55"/>
    <n v="2"/>
    <n v="4"/>
    <s v="Yes"/>
    <x v="0"/>
    <n v="-17"/>
    <n v="0"/>
    <x v="2"/>
    <s v="Apply Discount / Promotion"/>
  </r>
  <r>
    <n v="217"/>
    <s v="Product_26"/>
    <x v="1"/>
    <x v="3"/>
    <n v="24"/>
    <n v="245"/>
    <n v="253"/>
    <n v="701.29"/>
    <n v="532.07000000000005"/>
    <n v="72"/>
    <n v="7"/>
    <s v="2026-02-12"/>
    <n v="252"/>
    <n v="4"/>
    <n v="31"/>
    <s v="Yes"/>
    <x v="1"/>
    <n v="-8"/>
    <n v="10.208333333333334"/>
    <x v="1"/>
    <s v="Maintain Stock"/>
  </r>
  <r>
    <n v="218"/>
    <s v="Product_80"/>
    <x v="3"/>
    <x v="2"/>
    <n v="486"/>
    <n v="4"/>
    <n v="32"/>
    <n v="1300.76"/>
    <n v="859.05"/>
    <n v="45"/>
    <n v="10"/>
    <s v="2026-03-16"/>
    <n v="190"/>
    <n v="2"/>
    <n v="20"/>
    <s v="No"/>
    <x v="0"/>
    <n v="-28"/>
    <n v="8.23045267489712E-3"/>
    <x v="2"/>
    <s v="Apply Discount / Promotion"/>
  </r>
  <r>
    <n v="219"/>
    <s v="Product_86"/>
    <x v="3"/>
    <x v="0"/>
    <n v="374"/>
    <n v="156"/>
    <n v="113"/>
    <n v="1921.47"/>
    <n v="1218.8699999999999"/>
    <n v="70"/>
    <n v="4"/>
    <s v="2026-02-20"/>
    <n v="79"/>
    <n v="5"/>
    <n v="34"/>
    <s v="No"/>
    <x v="0"/>
    <n v="43"/>
    <n v="0.41711229946524064"/>
    <x v="2"/>
    <s v="Apply Discount / Promotion"/>
  </r>
  <r>
    <n v="220"/>
    <s v="Product_89"/>
    <x v="3"/>
    <x v="1"/>
    <n v="41"/>
    <n v="11"/>
    <n v="41"/>
    <n v="3474.29"/>
    <n v="2005.37"/>
    <n v="66"/>
    <n v="4"/>
    <s v="2026-02-23"/>
    <n v="274"/>
    <n v="5"/>
    <n v="11"/>
    <s v="Yes"/>
    <x v="0"/>
    <n v="-30"/>
    <n v="0.26829268292682928"/>
    <x v="2"/>
    <s v="Apply Discount / Promotion"/>
  </r>
  <r>
    <n v="221"/>
    <s v="Product_14"/>
    <x v="3"/>
    <x v="1"/>
    <n v="292"/>
    <n v="251"/>
    <n v="267"/>
    <n v="1765.1"/>
    <n v="917.06"/>
    <n v="63"/>
    <n v="12"/>
    <s v="2026-02-11"/>
    <n v="238"/>
    <n v="1"/>
    <n v="40"/>
    <s v="Yes"/>
    <x v="0"/>
    <n v="-16"/>
    <n v="0.8595890410958904"/>
    <x v="0"/>
    <s v="Monitor Sales"/>
  </r>
  <r>
    <n v="222"/>
    <s v="Product_91"/>
    <x v="3"/>
    <x v="1"/>
    <n v="273"/>
    <n v="104"/>
    <n v="146"/>
    <n v="1131.8699999999999"/>
    <n v="893.6"/>
    <n v="113"/>
    <n v="15"/>
    <s v="2026-03-26"/>
    <n v="230"/>
    <n v="1"/>
    <n v="30"/>
    <s v="Yes"/>
    <x v="1"/>
    <n v="-42"/>
    <n v="0.38095238095238093"/>
    <x v="2"/>
    <s v="Apply Discount / Promotion"/>
  </r>
  <r>
    <n v="223"/>
    <s v="Product_53"/>
    <x v="3"/>
    <x v="1"/>
    <n v="405"/>
    <n v="359"/>
    <n v="336"/>
    <n v="4474.04"/>
    <n v="3207.33"/>
    <n v="120"/>
    <n v="9"/>
    <s v="2026-02-02"/>
    <n v="137"/>
    <n v="1"/>
    <n v="20"/>
    <s v="No"/>
    <x v="0"/>
    <n v="23"/>
    <n v="0.88641975308641974"/>
    <x v="0"/>
    <s v="Monitor Sales"/>
  </r>
  <r>
    <n v="224"/>
    <s v="Product_58"/>
    <x v="1"/>
    <x v="2"/>
    <n v="183"/>
    <n v="32"/>
    <n v="78"/>
    <n v="2056.02"/>
    <n v="1127.82"/>
    <n v="52"/>
    <n v="7"/>
    <s v="2026-03-04"/>
    <n v="173"/>
    <n v="5"/>
    <n v="10"/>
    <s v="No"/>
    <x v="2"/>
    <n v="-46"/>
    <n v="0.17486338797814208"/>
    <x v="2"/>
    <s v="Apply Discount / Promotion"/>
  </r>
  <r>
    <n v="225"/>
    <s v="Product_73"/>
    <x v="1"/>
    <x v="0"/>
    <n v="487"/>
    <n v="312"/>
    <n v="284"/>
    <n v="3271.58"/>
    <n v="1652.97"/>
    <n v="53"/>
    <n v="8"/>
    <s v="2026-03-27"/>
    <n v="319"/>
    <n v="1"/>
    <n v="14"/>
    <s v="Yes"/>
    <x v="0"/>
    <n v="28"/>
    <n v="0.64065708418891165"/>
    <x v="0"/>
    <s v="Monitor Sales"/>
  </r>
  <r>
    <n v="226"/>
    <s v="Product_5"/>
    <x v="2"/>
    <x v="0"/>
    <n v="56"/>
    <n v="46"/>
    <n v="84"/>
    <n v="4744.3"/>
    <n v="3392.65"/>
    <n v="126"/>
    <n v="14"/>
    <s v="2026-03-05"/>
    <n v="158"/>
    <n v="5"/>
    <n v="17"/>
    <s v="Yes"/>
    <x v="0"/>
    <n v="-38"/>
    <n v="0.8214285714285714"/>
    <x v="0"/>
    <s v="Monitor Sales"/>
  </r>
  <r>
    <n v="227"/>
    <s v="Product_81"/>
    <x v="0"/>
    <x v="2"/>
    <n v="384"/>
    <n v="73"/>
    <n v="43"/>
    <n v="2574.5100000000002"/>
    <n v="1600.28"/>
    <n v="81"/>
    <n v="1"/>
    <s v="2026-01-30"/>
    <n v="327"/>
    <n v="4"/>
    <n v="1"/>
    <s v="Yes"/>
    <x v="2"/>
    <n v="30"/>
    <n v="0.19010416666666666"/>
    <x v="2"/>
    <s v="Apply Discount / Promotion"/>
  </r>
  <r>
    <n v="228"/>
    <s v="Product_46"/>
    <x v="3"/>
    <x v="0"/>
    <n v="203"/>
    <n v="57"/>
    <n v="44"/>
    <n v="2166.08"/>
    <n v="1508.64"/>
    <n v="106"/>
    <n v="6"/>
    <s v="2026-02-20"/>
    <n v="313"/>
    <n v="3"/>
    <n v="44"/>
    <s v="No"/>
    <x v="0"/>
    <n v="13"/>
    <n v="0.28078817733990147"/>
    <x v="2"/>
    <s v="Apply Discount / Promotion"/>
  </r>
  <r>
    <n v="229"/>
    <s v="Product_45"/>
    <x v="1"/>
    <x v="1"/>
    <n v="470"/>
    <n v="371"/>
    <n v="332"/>
    <n v="3955.4"/>
    <n v="2986.79"/>
    <n v="104"/>
    <n v="3"/>
    <s v="2026-03-14"/>
    <n v="67"/>
    <n v="2"/>
    <n v="8"/>
    <s v="Yes"/>
    <x v="1"/>
    <n v="39"/>
    <n v="0.78936170212765955"/>
    <x v="0"/>
    <s v="Monitor Sales"/>
  </r>
  <r>
    <n v="230"/>
    <s v="Product_51"/>
    <x v="1"/>
    <x v="1"/>
    <n v="93"/>
    <n v="120"/>
    <n v="159"/>
    <n v="3823.85"/>
    <n v="2703.66"/>
    <n v="71"/>
    <n v="13"/>
    <s v="2026-01-20"/>
    <n v="71"/>
    <n v="5"/>
    <n v="24"/>
    <s v="No"/>
    <x v="0"/>
    <n v="-39"/>
    <n v="1.2903225806451613"/>
    <x v="1"/>
    <s v="Maintain Stock"/>
  </r>
  <r>
    <n v="231"/>
    <s v="Product_52"/>
    <x v="4"/>
    <x v="2"/>
    <n v="436"/>
    <n v="221"/>
    <n v="187"/>
    <n v="4079.06"/>
    <n v="2079.19"/>
    <n v="103"/>
    <n v="15"/>
    <s v="2026-01-17"/>
    <n v="316"/>
    <n v="4"/>
    <n v="40"/>
    <s v="No"/>
    <x v="1"/>
    <n v="34"/>
    <n v="0.50688073394495414"/>
    <x v="0"/>
    <s v="Monitor Sales"/>
  </r>
  <r>
    <n v="232"/>
    <s v="Product_64"/>
    <x v="3"/>
    <x v="3"/>
    <n v="500"/>
    <n v="120"/>
    <n v="81"/>
    <n v="422.54"/>
    <n v="241.11"/>
    <n v="47"/>
    <n v="6"/>
    <s v="2026-03-03"/>
    <n v="271"/>
    <n v="2"/>
    <n v="26"/>
    <s v="No"/>
    <x v="2"/>
    <n v="39"/>
    <n v="0.24"/>
    <x v="2"/>
    <s v="Apply Discount / Promotion"/>
  </r>
  <r>
    <n v="233"/>
    <s v="Product_42"/>
    <x v="3"/>
    <x v="3"/>
    <n v="205"/>
    <n v="219"/>
    <n v="184"/>
    <n v="1691.08"/>
    <n v="1017.73"/>
    <n v="75"/>
    <n v="6"/>
    <s v="2026-01-17"/>
    <n v="315"/>
    <n v="1"/>
    <n v="29"/>
    <s v="No"/>
    <x v="0"/>
    <n v="35"/>
    <n v="1.0682926829268293"/>
    <x v="1"/>
    <s v="Maintain Stock"/>
  </r>
  <r>
    <n v="234"/>
    <s v="Product_15"/>
    <x v="2"/>
    <x v="2"/>
    <n v="489"/>
    <n v="323"/>
    <n v="281"/>
    <n v="4920.0200000000004"/>
    <n v="2889.78"/>
    <n v="128"/>
    <n v="1"/>
    <s v="2026-02-24"/>
    <n v="209"/>
    <n v="1"/>
    <n v="27"/>
    <s v="No"/>
    <x v="0"/>
    <n v="42"/>
    <n v="0.66053169734151329"/>
    <x v="0"/>
    <s v="Monitor Sales"/>
  </r>
  <r>
    <n v="235"/>
    <s v="Product_96"/>
    <x v="4"/>
    <x v="0"/>
    <n v="234"/>
    <n v="24"/>
    <n v="51"/>
    <n v="804.45"/>
    <n v="613.37"/>
    <n v="114"/>
    <n v="10"/>
    <s v="2026-01-02"/>
    <n v="205"/>
    <n v="4"/>
    <n v="50"/>
    <s v="No"/>
    <x v="0"/>
    <n v="-27"/>
    <n v="0.10256410256410256"/>
    <x v="2"/>
    <s v="Apply Discount / Promotion"/>
  </r>
  <r>
    <n v="236"/>
    <s v="Product_6"/>
    <x v="3"/>
    <x v="2"/>
    <n v="493"/>
    <n v="145"/>
    <n v="123"/>
    <n v="4419.97"/>
    <n v="2733.52"/>
    <n v="38"/>
    <n v="3"/>
    <s v="2026-03-26"/>
    <n v="206"/>
    <n v="5"/>
    <n v="41"/>
    <s v="No"/>
    <x v="0"/>
    <n v="22"/>
    <n v="0.29411764705882354"/>
    <x v="2"/>
    <s v="Apply Discount / Promotion"/>
  </r>
  <r>
    <n v="237"/>
    <s v="Product_9"/>
    <x v="3"/>
    <x v="2"/>
    <n v="315"/>
    <n v="75"/>
    <n v="76"/>
    <n v="3331.2"/>
    <n v="1953.29"/>
    <n v="96"/>
    <n v="13"/>
    <s v="2026-03-08"/>
    <n v="216"/>
    <n v="5"/>
    <n v="5"/>
    <s v="No"/>
    <x v="1"/>
    <n v="-1"/>
    <n v="0.23809523809523808"/>
    <x v="2"/>
    <s v="Apply Discount / Promotion"/>
  </r>
  <r>
    <n v="238"/>
    <s v="Product_1"/>
    <x v="2"/>
    <x v="1"/>
    <n v="35"/>
    <n v="278"/>
    <n v="263"/>
    <n v="3763.17"/>
    <n v="2262.4899999999998"/>
    <n v="34"/>
    <n v="3"/>
    <s v="2026-01-24"/>
    <n v="216"/>
    <n v="3"/>
    <n v="46"/>
    <s v="Yes"/>
    <x v="2"/>
    <n v="15"/>
    <n v="7.9428571428571431"/>
    <x v="1"/>
    <s v="Maintain Stock"/>
  </r>
  <r>
    <n v="239"/>
    <s v="Product_81"/>
    <x v="2"/>
    <x v="2"/>
    <n v="355"/>
    <n v="328"/>
    <n v="362"/>
    <n v="4408.95"/>
    <n v="3430.82"/>
    <n v="70"/>
    <n v="14"/>
    <s v="2026-02-14"/>
    <n v="290"/>
    <n v="5"/>
    <n v="16"/>
    <s v="Yes"/>
    <x v="2"/>
    <n v="-34"/>
    <n v="0.92394366197183098"/>
    <x v="0"/>
    <s v="Monitor Sales"/>
  </r>
  <r>
    <n v="240"/>
    <s v="Product_6"/>
    <x v="4"/>
    <x v="2"/>
    <n v="464"/>
    <n v="255"/>
    <n v="300"/>
    <n v="4199.1899999999996"/>
    <n v="2835.54"/>
    <n v="98"/>
    <n v="7"/>
    <s v="2026-03-01"/>
    <n v="317"/>
    <n v="4"/>
    <n v="18"/>
    <s v="Yes"/>
    <x v="1"/>
    <n v="-45"/>
    <n v="0.54956896551724133"/>
    <x v="0"/>
    <s v="Monitor Sales"/>
  </r>
  <r>
    <n v="241"/>
    <s v="Product_65"/>
    <x v="0"/>
    <x v="0"/>
    <n v="53"/>
    <n v="225"/>
    <n v="239"/>
    <n v="3660.46"/>
    <n v="2393.5700000000002"/>
    <n v="75"/>
    <n v="12"/>
    <s v="2026-03-11"/>
    <n v="202"/>
    <n v="3"/>
    <n v="23"/>
    <s v="No"/>
    <x v="1"/>
    <n v="-14"/>
    <n v="4.2452830188679247"/>
    <x v="1"/>
    <s v="Maintain Stock"/>
  </r>
  <r>
    <n v="242"/>
    <s v="Product_60"/>
    <x v="2"/>
    <x v="3"/>
    <n v="321"/>
    <n v="282"/>
    <n v="248"/>
    <n v="4602.1000000000004"/>
    <n v="2340.98"/>
    <n v="41"/>
    <n v="8"/>
    <s v="2026-02-06"/>
    <n v="257"/>
    <n v="4"/>
    <n v="7"/>
    <s v="No"/>
    <x v="1"/>
    <n v="34"/>
    <n v="0.87850467289719625"/>
    <x v="0"/>
    <s v="Monitor Sales"/>
  </r>
  <r>
    <n v="243"/>
    <s v="Product_21"/>
    <x v="0"/>
    <x v="2"/>
    <n v="417"/>
    <n v="337"/>
    <n v="354"/>
    <n v="1050.53"/>
    <n v="593.01"/>
    <n v="47"/>
    <n v="11"/>
    <s v="2026-03-06"/>
    <n v="71"/>
    <n v="4"/>
    <n v="38"/>
    <s v="Yes"/>
    <x v="1"/>
    <n v="-17"/>
    <n v="0.80815347721822539"/>
    <x v="0"/>
    <s v="Monitor Sales"/>
  </r>
  <r>
    <n v="244"/>
    <s v="Product_39"/>
    <x v="1"/>
    <x v="0"/>
    <n v="362"/>
    <n v="0"/>
    <n v="46"/>
    <n v="2750.67"/>
    <n v="1583.26"/>
    <n v="132"/>
    <n v="14"/>
    <s v="2026-02-01"/>
    <n v="259"/>
    <n v="2"/>
    <n v="12"/>
    <s v="No"/>
    <x v="0"/>
    <n v="-46"/>
    <n v="0"/>
    <x v="2"/>
    <s v="Apply Discount / Promotion"/>
  </r>
  <r>
    <n v="245"/>
    <s v="Product_21"/>
    <x v="1"/>
    <x v="1"/>
    <n v="285"/>
    <n v="159"/>
    <n v="143"/>
    <n v="605.27"/>
    <n v="433.64"/>
    <n v="127"/>
    <n v="15"/>
    <s v="2026-02-26"/>
    <n v="296"/>
    <n v="2"/>
    <n v="29"/>
    <s v="No"/>
    <x v="0"/>
    <n v="16"/>
    <n v="0.55789473684210522"/>
    <x v="0"/>
    <s v="Monitor Sales"/>
  </r>
  <r>
    <n v="246"/>
    <s v="Product_45"/>
    <x v="2"/>
    <x v="3"/>
    <n v="389"/>
    <n v="393"/>
    <n v="352"/>
    <n v="3185.32"/>
    <n v="1811.63"/>
    <n v="44"/>
    <n v="6"/>
    <s v="2026-02-19"/>
    <n v="179"/>
    <n v="1"/>
    <n v="5"/>
    <s v="Yes"/>
    <x v="0"/>
    <n v="41"/>
    <n v="1.0102827763496145"/>
    <x v="1"/>
    <s v="Maintain Stock"/>
  </r>
  <r>
    <n v="247"/>
    <s v="Product_55"/>
    <x v="0"/>
    <x v="2"/>
    <n v="353"/>
    <n v="114"/>
    <n v="118"/>
    <n v="1821.75"/>
    <n v="1280.0999999999999"/>
    <n v="92"/>
    <n v="12"/>
    <s v="2026-01-28"/>
    <n v="183"/>
    <n v="2"/>
    <n v="50"/>
    <s v="No"/>
    <x v="0"/>
    <n v="-4"/>
    <n v="0.32294617563739375"/>
    <x v="2"/>
    <s v="Apply Discount / Promotion"/>
  </r>
  <r>
    <n v="248"/>
    <s v="Product_15"/>
    <x v="1"/>
    <x v="3"/>
    <n v="142"/>
    <n v="233"/>
    <n v="283"/>
    <n v="947.61"/>
    <n v="667.49"/>
    <n v="119"/>
    <n v="2"/>
    <s v="2026-01-17"/>
    <n v="127"/>
    <n v="2"/>
    <n v="35"/>
    <s v="Yes"/>
    <x v="2"/>
    <n v="-50"/>
    <n v="1.6408450704225352"/>
    <x v="1"/>
    <s v="Maintain Stock"/>
  </r>
  <r>
    <n v="249"/>
    <s v="Product_96"/>
    <x v="4"/>
    <x v="0"/>
    <n v="255"/>
    <n v="332"/>
    <n v="320"/>
    <n v="297.87"/>
    <n v="227.05"/>
    <n v="77"/>
    <n v="13"/>
    <s v="2026-03-12"/>
    <n v="150"/>
    <n v="3"/>
    <n v="13"/>
    <s v="No"/>
    <x v="1"/>
    <n v="12"/>
    <n v="1.3019607843137255"/>
    <x v="1"/>
    <s v="Maintain Stock"/>
  </r>
  <r>
    <n v="250"/>
    <s v="Product_72"/>
    <x v="3"/>
    <x v="2"/>
    <n v="486"/>
    <n v="84"/>
    <n v="45"/>
    <n v="620.53"/>
    <n v="342.41"/>
    <n v="149"/>
    <n v="10"/>
    <s v="2026-02-21"/>
    <n v="116"/>
    <n v="1"/>
    <n v="21"/>
    <s v="No"/>
    <x v="1"/>
    <n v="39"/>
    <n v="0.1728395061728395"/>
    <x v="2"/>
    <s v="Apply Discount / Promotion"/>
  </r>
  <r>
    <n v="251"/>
    <s v="Product_99"/>
    <x v="1"/>
    <x v="0"/>
    <n v="328"/>
    <n v="154"/>
    <n v="130"/>
    <n v="1306.26"/>
    <n v="786.88"/>
    <n v="40"/>
    <n v="13"/>
    <s v="2026-02-04"/>
    <n v="272"/>
    <n v="5"/>
    <n v="30"/>
    <s v="Yes"/>
    <x v="0"/>
    <n v="24"/>
    <n v="0.46951219512195119"/>
    <x v="2"/>
    <s v="Apply Discount / Promotion"/>
  </r>
  <r>
    <n v="252"/>
    <s v="Product_50"/>
    <x v="3"/>
    <x v="0"/>
    <n v="348"/>
    <n v="176"/>
    <n v="206"/>
    <n v="2738.71"/>
    <n v="1847.32"/>
    <n v="89"/>
    <n v="2"/>
    <s v="2026-01-29"/>
    <n v="337"/>
    <n v="5"/>
    <n v="26"/>
    <s v="Yes"/>
    <x v="2"/>
    <n v="-30"/>
    <n v="0.50574712643678166"/>
    <x v="0"/>
    <s v="Monitor Sales"/>
  </r>
  <r>
    <n v="253"/>
    <s v="Product_62"/>
    <x v="3"/>
    <x v="1"/>
    <n v="339"/>
    <n v="124"/>
    <n v="150"/>
    <n v="3890.95"/>
    <n v="2755.55"/>
    <n v="89"/>
    <n v="4"/>
    <s v="2026-02-23"/>
    <n v="62"/>
    <n v="3"/>
    <n v="50"/>
    <s v="Yes"/>
    <x v="0"/>
    <n v="-26"/>
    <n v="0.36578171091445427"/>
    <x v="2"/>
    <s v="Apply Discount / Promotion"/>
  </r>
  <r>
    <n v="254"/>
    <s v="Product_85"/>
    <x v="3"/>
    <x v="3"/>
    <n v="354"/>
    <n v="292"/>
    <n v="243"/>
    <n v="4891.08"/>
    <n v="3509.56"/>
    <n v="56"/>
    <n v="15"/>
    <s v="2026-01-10"/>
    <n v="173"/>
    <n v="3"/>
    <n v="5"/>
    <s v="Yes"/>
    <x v="2"/>
    <n v="49"/>
    <n v="0.82485875706214684"/>
    <x v="0"/>
    <s v="Monitor Sales"/>
  </r>
  <r>
    <n v="255"/>
    <s v="Product_66"/>
    <x v="1"/>
    <x v="1"/>
    <n v="452"/>
    <n v="241"/>
    <n v="211"/>
    <n v="792.08"/>
    <n v="561.39"/>
    <n v="109"/>
    <n v="5"/>
    <s v="2026-01-23"/>
    <n v="237"/>
    <n v="1"/>
    <n v="10"/>
    <s v="No"/>
    <x v="1"/>
    <n v="30"/>
    <n v="0.5331858407079646"/>
    <x v="0"/>
    <s v="Monitor Sales"/>
  </r>
  <r>
    <n v="256"/>
    <s v="Product_66"/>
    <x v="1"/>
    <x v="2"/>
    <n v="468"/>
    <n v="302"/>
    <n v="281"/>
    <n v="1990.03"/>
    <n v="1415.34"/>
    <n v="106"/>
    <n v="1"/>
    <s v="2026-02-05"/>
    <n v="343"/>
    <n v="5"/>
    <n v="29"/>
    <s v="Yes"/>
    <x v="1"/>
    <n v="21"/>
    <n v="0.64529914529914534"/>
    <x v="0"/>
    <s v="Monitor Sales"/>
  </r>
  <r>
    <n v="257"/>
    <s v="Product_78"/>
    <x v="4"/>
    <x v="1"/>
    <n v="390"/>
    <n v="115"/>
    <n v="140"/>
    <n v="1009.72"/>
    <n v="579.28"/>
    <n v="110"/>
    <n v="1"/>
    <s v="2026-03-17"/>
    <n v="100"/>
    <n v="3"/>
    <n v="30"/>
    <s v="No"/>
    <x v="0"/>
    <n v="-25"/>
    <n v="0.29487179487179488"/>
    <x v="2"/>
    <s v="Apply Discount / Promotion"/>
  </r>
  <r>
    <n v="258"/>
    <s v="Product_56"/>
    <x v="4"/>
    <x v="1"/>
    <n v="421"/>
    <n v="225"/>
    <n v="198"/>
    <n v="241.45"/>
    <n v="165.7"/>
    <n v="64"/>
    <n v="6"/>
    <s v="2026-01-10"/>
    <n v="341"/>
    <n v="3"/>
    <n v="31"/>
    <s v="No"/>
    <x v="1"/>
    <n v="27"/>
    <n v="0.53444180522565321"/>
    <x v="0"/>
    <s v="Monitor Sales"/>
  </r>
  <r>
    <n v="259"/>
    <s v="Product_18"/>
    <x v="1"/>
    <x v="1"/>
    <n v="249"/>
    <n v="40"/>
    <n v="43"/>
    <n v="1678.68"/>
    <n v="999.61"/>
    <n v="42"/>
    <n v="14"/>
    <s v="2026-01-05"/>
    <n v="109"/>
    <n v="4"/>
    <n v="16"/>
    <s v="No"/>
    <x v="1"/>
    <n v="-3"/>
    <n v="0.1606425702811245"/>
    <x v="2"/>
    <s v="Apply Discount / Promotion"/>
  </r>
  <r>
    <n v="260"/>
    <s v="Product_29"/>
    <x v="1"/>
    <x v="1"/>
    <n v="401"/>
    <n v="282"/>
    <n v="286"/>
    <n v="1715.36"/>
    <n v="982.08"/>
    <n v="86"/>
    <n v="2"/>
    <s v="2026-03-28"/>
    <n v="304"/>
    <n v="4"/>
    <n v="39"/>
    <s v="Yes"/>
    <x v="1"/>
    <n v="-4"/>
    <n v="0.70324189526184544"/>
    <x v="0"/>
    <s v="Monitor Sales"/>
  </r>
  <r>
    <n v="261"/>
    <s v="Product_27"/>
    <x v="4"/>
    <x v="3"/>
    <n v="53"/>
    <n v="278"/>
    <n v="234"/>
    <n v="4025.38"/>
    <n v="3041.79"/>
    <n v="147"/>
    <n v="12"/>
    <s v="2026-03-12"/>
    <n v="353"/>
    <n v="1"/>
    <n v="40"/>
    <s v="No"/>
    <x v="0"/>
    <n v="44"/>
    <n v="5.2452830188679247"/>
    <x v="1"/>
    <s v="Maintain Stock"/>
  </r>
  <r>
    <n v="262"/>
    <s v="Product_83"/>
    <x v="3"/>
    <x v="3"/>
    <n v="50"/>
    <n v="339"/>
    <n v="382"/>
    <n v="1712.34"/>
    <n v="954.09"/>
    <n v="110"/>
    <n v="12"/>
    <s v="2026-02-08"/>
    <n v="88"/>
    <n v="1"/>
    <n v="26"/>
    <s v="Yes"/>
    <x v="1"/>
    <n v="-43"/>
    <n v="6.78"/>
    <x v="1"/>
    <s v="Maintain Stock"/>
  </r>
  <r>
    <n v="263"/>
    <s v="Product_16"/>
    <x v="1"/>
    <x v="0"/>
    <n v="414"/>
    <n v="294"/>
    <n v="311"/>
    <n v="4925.3100000000004"/>
    <n v="3705.25"/>
    <n v="137"/>
    <n v="5"/>
    <s v="2026-01-05"/>
    <n v="243"/>
    <n v="1"/>
    <n v="34"/>
    <s v="No"/>
    <x v="1"/>
    <n v="-17"/>
    <n v="0.71014492753623193"/>
    <x v="0"/>
    <s v="Monitor Sales"/>
  </r>
  <r>
    <n v="264"/>
    <s v="Product_59"/>
    <x v="2"/>
    <x v="2"/>
    <n v="212"/>
    <n v="323"/>
    <n v="281"/>
    <n v="839.58"/>
    <n v="453.72"/>
    <n v="49"/>
    <n v="15"/>
    <s v="2026-01-21"/>
    <n v="43"/>
    <n v="1"/>
    <n v="30"/>
    <s v="Yes"/>
    <x v="2"/>
    <n v="42"/>
    <n v="1.5235849056603774"/>
    <x v="1"/>
    <s v="Maintain Stock"/>
  </r>
  <r>
    <n v="265"/>
    <s v="Product_10"/>
    <x v="1"/>
    <x v="0"/>
    <n v="423"/>
    <n v="317"/>
    <n v="288"/>
    <n v="4494.5600000000004"/>
    <n v="3417"/>
    <n v="86"/>
    <n v="2"/>
    <s v="2026-02-09"/>
    <n v="318"/>
    <n v="5"/>
    <n v="0"/>
    <s v="Yes"/>
    <x v="2"/>
    <n v="29"/>
    <n v="0.74940898345153661"/>
    <x v="0"/>
    <s v="Monitor Sales"/>
  </r>
  <r>
    <n v="266"/>
    <s v="Product_39"/>
    <x v="2"/>
    <x v="3"/>
    <n v="170"/>
    <n v="211"/>
    <n v="243"/>
    <n v="1455.77"/>
    <n v="799.78"/>
    <n v="84"/>
    <n v="15"/>
    <s v="2026-01-28"/>
    <n v="210"/>
    <n v="3"/>
    <n v="34"/>
    <s v="Yes"/>
    <x v="0"/>
    <n v="-32"/>
    <n v="1.2411764705882353"/>
    <x v="1"/>
    <s v="Maintain Stock"/>
  </r>
  <r>
    <n v="267"/>
    <s v="Product_31"/>
    <x v="4"/>
    <x v="0"/>
    <n v="332"/>
    <n v="287"/>
    <n v="251"/>
    <n v="352.46"/>
    <n v="184.25"/>
    <n v="146"/>
    <n v="6"/>
    <s v="2026-01-17"/>
    <n v="276"/>
    <n v="1"/>
    <n v="28"/>
    <s v="No"/>
    <x v="2"/>
    <n v="36"/>
    <n v="0.86445783132530118"/>
    <x v="0"/>
    <s v="Monitor Sales"/>
  </r>
  <r>
    <n v="268"/>
    <s v="Product_2"/>
    <x v="4"/>
    <x v="0"/>
    <n v="20"/>
    <n v="449"/>
    <n v="400"/>
    <n v="1011.24"/>
    <n v="604.20000000000005"/>
    <n v="115"/>
    <n v="4"/>
    <s v="2026-03-14"/>
    <n v="180"/>
    <n v="1"/>
    <n v="16"/>
    <s v="No"/>
    <x v="2"/>
    <n v="49"/>
    <n v="22.45"/>
    <x v="1"/>
    <s v="Maintain Stock"/>
  </r>
  <r>
    <n v="269"/>
    <s v="Product_73"/>
    <x v="3"/>
    <x v="1"/>
    <n v="486"/>
    <n v="276"/>
    <n v="292"/>
    <n v="1308.06"/>
    <n v="748.95"/>
    <n v="102"/>
    <n v="3"/>
    <s v="2026-01-13"/>
    <n v="181"/>
    <n v="2"/>
    <n v="6"/>
    <s v="Yes"/>
    <x v="1"/>
    <n v="-16"/>
    <n v="0.5679012345679012"/>
    <x v="0"/>
    <s v="Monitor Sales"/>
  </r>
  <r>
    <n v="270"/>
    <s v="Product_49"/>
    <x v="0"/>
    <x v="3"/>
    <n v="389"/>
    <n v="181"/>
    <n v="190"/>
    <n v="4493.96"/>
    <n v="2304.02"/>
    <n v="149"/>
    <n v="6"/>
    <s v="2026-02-26"/>
    <n v="176"/>
    <n v="2"/>
    <n v="18"/>
    <s v="Yes"/>
    <x v="2"/>
    <n v="-9"/>
    <n v="0.4652956298200514"/>
    <x v="2"/>
    <s v="Apply Discount / Promotion"/>
  </r>
  <r>
    <n v="271"/>
    <s v="Product_2"/>
    <x v="2"/>
    <x v="1"/>
    <n v="479"/>
    <n v="227"/>
    <n v="231"/>
    <n v="1516.96"/>
    <n v="879.53"/>
    <n v="104"/>
    <n v="8"/>
    <s v="2026-02-06"/>
    <n v="260"/>
    <n v="4"/>
    <n v="28"/>
    <s v="No"/>
    <x v="1"/>
    <n v="-4"/>
    <n v="0.47390396659707723"/>
    <x v="2"/>
    <s v="Apply Discount / Promotion"/>
  </r>
  <r>
    <n v="272"/>
    <s v="Product_94"/>
    <x v="3"/>
    <x v="0"/>
    <n v="462"/>
    <n v="351"/>
    <n v="379"/>
    <n v="645.88"/>
    <n v="345.14"/>
    <n v="103"/>
    <n v="5"/>
    <s v="2026-03-15"/>
    <n v="88"/>
    <n v="2"/>
    <n v="6"/>
    <s v="No"/>
    <x v="2"/>
    <n v="-28"/>
    <n v="0.75974025974025972"/>
    <x v="0"/>
    <s v="Monitor Sales"/>
  </r>
  <r>
    <n v="273"/>
    <s v="Product_14"/>
    <x v="4"/>
    <x v="3"/>
    <n v="165"/>
    <n v="17"/>
    <n v="48"/>
    <n v="1515.03"/>
    <n v="1038.2"/>
    <n v="80"/>
    <n v="1"/>
    <s v="2026-02-06"/>
    <n v="143"/>
    <n v="3"/>
    <n v="6"/>
    <s v="No"/>
    <x v="2"/>
    <n v="-31"/>
    <n v="0.10303030303030303"/>
    <x v="2"/>
    <s v="Apply Discount / Promotion"/>
  </r>
  <r>
    <n v="274"/>
    <s v="Product_59"/>
    <x v="0"/>
    <x v="1"/>
    <n v="490"/>
    <n v="0"/>
    <n v="10"/>
    <n v="3201.36"/>
    <n v="1686.02"/>
    <n v="50"/>
    <n v="1"/>
    <s v="2026-02-09"/>
    <n v="203"/>
    <n v="1"/>
    <n v="44"/>
    <s v="No"/>
    <x v="2"/>
    <n v="-10"/>
    <n v="0"/>
    <x v="2"/>
    <s v="Apply Discount / Promotion"/>
  </r>
  <r>
    <n v="275"/>
    <s v="Product_85"/>
    <x v="0"/>
    <x v="2"/>
    <n v="205"/>
    <n v="141"/>
    <n v="92"/>
    <n v="265.33999999999997"/>
    <n v="153.03"/>
    <n v="75"/>
    <n v="1"/>
    <s v="2026-03-10"/>
    <n v="279"/>
    <n v="1"/>
    <n v="8"/>
    <s v="Yes"/>
    <x v="2"/>
    <n v="49"/>
    <n v="0.68780487804878043"/>
    <x v="0"/>
    <s v="Monitor Sales"/>
  </r>
  <r>
    <n v="276"/>
    <s v="Product_13"/>
    <x v="3"/>
    <x v="0"/>
    <n v="412"/>
    <n v="116"/>
    <n v="96"/>
    <n v="1604.66"/>
    <n v="1157.6199999999999"/>
    <n v="89"/>
    <n v="8"/>
    <s v="2026-03-10"/>
    <n v="251"/>
    <n v="1"/>
    <n v="16"/>
    <s v="Yes"/>
    <x v="2"/>
    <n v="20"/>
    <n v="0.28155339805825241"/>
    <x v="2"/>
    <s v="Apply Discount / Promotion"/>
  </r>
  <r>
    <n v="277"/>
    <s v="Product_18"/>
    <x v="2"/>
    <x v="2"/>
    <n v="424"/>
    <n v="122"/>
    <n v="123"/>
    <n v="3449.35"/>
    <n v="2140.09"/>
    <n v="129"/>
    <n v="5"/>
    <s v="2026-02-25"/>
    <n v="189"/>
    <n v="2"/>
    <n v="34"/>
    <s v="Yes"/>
    <x v="2"/>
    <n v="-1"/>
    <n v="0.28773584905660377"/>
    <x v="2"/>
    <s v="Apply Discount / Promotion"/>
  </r>
  <r>
    <n v="278"/>
    <s v="Product_18"/>
    <x v="4"/>
    <x v="0"/>
    <n v="296"/>
    <n v="378"/>
    <n v="394"/>
    <n v="1934.98"/>
    <n v="1338.88"/>
    <n v="106"/>
    <n v="7"/>
    <s v="2026-02-19"/>
    <n v="206"/>
    <n v="4"/>
    <n v="14"/>
    <s v="No"/>
    <x v="0"/>
    <n v="-16"/>
    <n v="1.277027027027027"/>
    <x v="1"/>
    <s v="Maintain Stock"/>
  </r>
  <r>
    <n v="279"/>
    <s v="Product_55"/>
    <x v="4"/>
    <x v="3"/>
    <n v="198"/>
    <n v="384"/>
    <n v="397"/>
    <n v="2374.39"/>
    <n v="1279.77"/>
    <n v="38"/>
    <n v="2"/>
    <s v="2026-03-27"/>
    <n v="161"/>
    <n v="3"/>
    <n v="3"/>
    <s v="No"/>
    <x v="0"/>
    <n v="-13"/>
    <n v="1.9393939393939394"/>
    <x v="1"/>
    <s v="Maintain Stock"/>
  </r>
  <r>
    <n v="280"/>
    <s v="Product_52"/>
    <x v="4"/>
    <x v="1"/>
    <n v="276"/>
    <n v="238"/>
    <n v="252"/>
    <n v="3519.58"/>
    <n v="2273.4899999999998"/>
    <n v="47"/>
    <n v="13"/>
    <s v="2026-01-16"/>
    <n v="181"/>
    <n v="5"/>
    <n v="26"/>
    <s v="No"/>
    <x v="1"/>
    <n v="-14"/>
    <n v="0.8623188405797102"/>
    <x v="0"/>
    <s v="Monitor Sales"/>
  </r>
  <r>
    <n v="281"/>
    <s v="Product_37"/>
    <x v="4"/>
    <x v="3"/>
    <n v="72"/>
    <n v="241"/>
    <n v="228"/>
    <n v="207.1"/>
    <n v="148.06"/>
    <n v="126"/>
    <n v="8"/>
    <s v="2025-12-30"/>
    <n v="239"/>
    <n v="1"/>
    <n v="3"/>
    <s v="Yes"/>
    <x v="1"/>
    <n v="13"/>
    <n v="3.3472222222222223"/>
    <x v="1"/>
    <s v="Maintain Stock"/>
  </r>
  <r>
    <n v="282"/>
    <s v="Product_66"/>
    <x v="1"/>
    <x v="3"/>
    <n v="27"/>
    <n v="277"/>
    <n v="297"/>
    <n v="4592.8100000000004"/>
    <n v="2384.7399999999998"/>
    <n v="74"/>
    <n v="3"/>
    <s v="2026-02-06"/>
    <n v="160"/>
    <n v="4"/>
    <n v="9"/>
    <s v="No"/>
    <x v="2"/>
    <n v="-20"/>
    <n v="10.25925925925926"/>
    <x v="1"/>
    <s v="Maintain Stock"/>
  </r>
  <r>
    <n v="283"/>
    <s v="Product_35"/>
    <x v="0"/>
    <x v="2"/>
    <n v="478"/>
    <n v="392"/>
    <n v="386"/>
    <n v="140.47999999999999"/>
    <n v="80.650000000000006"/>
    <n v="100"/>
    <n v="1"/>
    <s v="2026-03-05"/>
    <n v="351"/>
    <n v="3"/>
    <n v="29"/>
    <s v="No"/>
    <x v="0"/>
    <n v="6"/>
    <n v="0.82008368200836823"/>
    <x v="0"/>
    <s v="Monitor Sales"/>
  </r>
  <r>
    <n v="284"/>
    <s v="Product_34"/>
    <x v="0"/>
    <x v="1"/>
    <n v="231"/>
    <n v="179"/>
    <n v="131"/>
    <n v="3978.94"/>
    <n v="2941.94"/>
    <n v="101"/>
    <n v="7"/>
    <s v="2026-01-06"/>
    <n v="184"/>
    <n v="3"/>
    <n v="10"/>
    <s v="No"/>
    <x v="1"/>
    <n v="48"/>
    <n v="0.77489177489177485"/>
    <x v="0"/>
    <s v="Monitor Sales"/>
  </r>
  <r>
    <n v="285"/>
    <s v="Product_67"/>
    <x v="2"/>
    <x v="3"/>
    <n v="40"/>
    <n v="85"/>
    <n v="36"/>
    <n v="3676.49"/>
    <n v="2759.24"/>
    <n v="43"/>
    <n v="5"/>
    <s v="2026-03-14"/>
    <n v="259"/>
    <n v="3"/>
    <n v="23"/>
    <s v="No"/>
    <x v="1"/>
    <n v="49"/>
    <n v="2.125"/>
    <x v="1"/>
    <s v="Maintain Stock"/>
  </r>
  <r>
    <n v="286"/>
    <s v="Product_74"/>
    <x v="1"/>
    <x v="2"/>
    <n v="247"/>
    <n v="157"/>
    <n v="138"/>
    <n v="1751.6"/>
    <n v="1154.57"/>
    <n v="118"/>
    <n v="3"/>
    <s v="2026-01-11"/>
    <n v="352"/>
    <n v="1"/>
    <n v="29"/>
    <s v="Yes"/>
    <x v="2"/>
    <n v="19"/>
    <n v="0.63562753036437247"/>
    <x v="0"/>
    <s v="Monitor Sales"/>
  </r>
  <r>
    <n v="287"/>
    <s v="Product_48"/>
    <x v="0"/>
    <x v="2"/>
    <n v="373"/>
    <n v="187"/>
    <n v="186"/>
    <n v="1797.23"/>
    <n v="1318.99"/>
    <n v="122"/>
    <n v="5"/>
    <s v="2026-02-10"/>
    <n v="252"/>
    <n v="3"/>
    <n v="9"/>
    <s v="Yes"/>
    <x v="2"/>
    <n v="1"/>
    <n v="0.50134048257372654"/>
    <x v="0"/>
    <s v="Monitor Sales"/>
  </r>
  <r>
    <n v="288"/>
    <s v="Product_8"/>
    <x v="4"/>
    <x v="1"/>
    <n v="44"/>
    <n v="94"/>
    <n v="113"/>
    <n v="1471.58"/>
    <n v="1062.99"/>
    <n v="39"/>
    <n v="6"/>
    <s v="2026-01-07"/>
    <n v="58"/>
    <n v="2"/>
    <n v="44"/>
    <s v="No"/>
    <x v="2"/>
    <n v="-19"/>
    <n v="2.1363636363636362"/>
    <x v="1"/>
    <s v="Maintain Stock"/>
  </r>
  <r>
    <n v="289"/>
    <s v="Product_20"/>
    <x v="4"/>
    <x v="0"/>
    <n v="111"/>
    <n v="395"/>
    <n v="363"/>
    <n v="1530.24"/>
    <n v="976.62"/>
    <n v="108"/>
    <n v="7"/>
    <s v="2026-02-10"/>
    <n v="75"/>
    <n v="4"/>
    <n v="8"/>
    <s v="Yes"/>
    <x v="2"/>
    <n v="32"/>
    <n v="3.5585585585585586"/>
    <x v="1"/>
    <s v="Maintain Stock"/>
  </r>
  <r>
    <n v="290"/>
    <s v="Product_29"/>
    <x v="0"/>
    <x v="1"/>
    <n v="141"/>
    <n v="305"/>
    <n v="262"/>
    <n v="1699.25"/>
    <n v="1119.0999999999999"/>
    <n v="63"/>
    <n v="3"/>
    <s v="2026-02-28"/>
    <n v="52"/>
    <n v="1"/>
    <n v="46"/>
    <s v="Yes"/>
    <x v="1"/>
    <n v="43"/>
    <n v="2.1631205673758864"/>
    <x v="1"/>
    <s v="Maintain Stock"/>
  </r>
  <r>
    <n v="291"/>
    <s v="Product_75"/>
    <x v="3"/>
    <x v="2"/>
    <n v="113"/>
    <n v="366"/>
    <n v="384"/>
    <n v="3231.6"/>
    <n v="2363.34"/>
    <n v="143"/>
    <n v="11"/>
    <s v="2026-01-13"/>
    <n v="37"/>
    <n v="1"/>
    <n v="17"/>
    <s v="Yes"/>
    <x v="0"/>
    <n v="-18"/>
    <n v="3.2389380530973453"/>
    <x v="1"/>
    <s v="Maintain Stock"/>
  </r>
  <r>
    <n v="292"/>
    <s v="Product_94"/>
    <x v="3"/>
    <x v="0"/>
    <n v="276"/>
    <n v="25"/>
    <n v="32"/>
    <n v="4577.46"/>
    <n v="2820.05"/>
    <n v="82"/>
    <n v="12"/>
    <s v="2026-02-03"/>
    <n v="180"/>
    <n v="5"/>
    <n v="32"/>
    <s v="No"/>
    <x v="0"/>
    <n v="-7"/>
    <n v="9.0579710144927536E-2"/>
    <x v="2"/>
    <s v="Apply Discount / Promotion"/>
  </r>
  <r>
    <n v="293"/>
    <s v="Product_30"/>
    <x v="1"/>
    <x v="3"/>
    <n v="320"/>
    <n v="36"/>
    <n v="80"/>
    <n v="2522.14"/>
    <n v="1435.76"/>
    <n v="31"/>
    <n v="15"/>
    <s v="2026-03-04"/>
    <n v="172"/>
    <n v="3"/>
    <n v="27"/>
    <s v="No"/>
    <x v="1"/>
    <n v="-44"/>
    <n v="0.1125"/>
    <x v="2"/>
    <s v="Apply Discount / Promotion"/>
  </r>
  <r>
    <n v="294"/>
    <s v="Product_57"/>
    <x v="1"/>
    <x v="3"/>
    <n v="79"/>
    <n v="32"/>
    <n v="13"/>
    <n v="4530.26"/>
    <n v="2519.04"/>
    <n v="73"/>
    <n v="15"/>
    <s v="2025-12-29"/>
    <n v="49"/>
    <n v="2"/>
    <n v="12"/>
    <s v="No"/>
    <x v="2"/>
    <n v="19"/>
    <n v="0.4050632911392405"/>
    <x v="2"/>
    <s v="Apply Discount / Promotion"/>
  </r>
  <r>
    <n v="295"/>
    <s v="Product_96"/>
    <x v="2"/>
    <x v="2"/>
    <n v="249"/>
    <n v="148"/>
    <n v="102"/>
    <n v="631.16"/>
    <n v="365.39"/>
    <n v="91"/>
    <n v="3"/>
    <s v="2026-03-24"/>
    <n v="252"/>
    <n v="3"/>
    <n v="41"/>
    <s v="Yes"/>
    <x v="2"/>
    <n v="46"/>
    <n v="0.59437751004016059"/>
    <x v="0"/>
    <s v="Monitor Sales"/>
  </r>
  <r>
    <n v="296"/>
    <s v="Product_91"/>
    <x v="0"/>
    <x v="2"/>
    <n v="150"/>
    <n v="370"/>
    <n v="336"/>
    <n v="4199.8999999999996"/>
    <n v="2472.7600000000002"/>
    <n v="43"/>
    <n v="14"/>
    <s v="2026-01-10"/>
    <n v="99"/>
    <n v="2"/>
    <n v="34"/>
    <s v="Yes"/>
    <x v="0"/>
    <n v="34"/>
    <n v="2.4666666666666668"/>
    <x v="1"/>
    <s v="Maintain Stock"/>
  </r>
  <r>
    <n v="297"/>
    <s v="Product_97"/>
    <x v="0"/>
    <x v="3"/>
    <n v="251"/>
    <n v="292"/>
    <n v="246"/>
    <n v="3337.92"/>
    <n v="2179.4299999999998"/>
    <n v="68"/>
    <n v="12"/>
    <s v="2026-02-28"/>
    <n v="35"/>
    <n v="1"/>
    <n v="25"/>
    <s v="Yes"/>
    <x v="0"/>
    <n v="46"/>
    <n v="1.1633466135458168"/>
    <x v="1"/>
    <s v="Maintain Stock"/>
  </r>
  <r>
    <n v="298"/>
    <s v="Product_40"/>
    <x v="3"/>
    <x v="3"/>
    <n v="373"/>
    <n v="168"/>
    <n v="178"/>
    <n v="725.69"/>
    <n v="421.92"/>
    <n v="45"/>
    <n v="6"/>
    <s v="2026-03-18"/>
    <n v="210"/>
    <n v="3"/>
    <n v="35"/>
    <s v="Yes"/>
    <x v="1"/>
    <n v="-10"/>
    <n v="0.45040214477211798"/>
    <x v="2"/>
    <s v="Apply Discount / Promotion"/>
  </r>
  <r>
    <n v="299"/>
    <s v="Product_54"/>
    <x v="3"/>
    <x v="1"/>
    <n v="281"/>
    <n v="246"/>
    <n v="252"/>
    <n v="3380.15"/>
    <n v="2689.37"/>
    <n v="114"/>
    <n v="12"/>
    <s v="2026-03-09"/>
    <n v="307"/>
    <n v="4"/>
    <n v="35"/>
    <s v="Yes"/>
    <x v="2"/>
    <n v="-6"/>
    <n v="0.8754448398576512"/>
    <x v="0"/>
    <s v="Monitor Sales"/>
  </r>
  <r>
    <n v="300"/>
    <s v="Product_73"/>
    <x v="4"/>
    <x v="3"/>
    <n v="269"/>
    <n v="246"/>
    <n v="258"/>
    <n v="3557.26"/>
    <n v="2267.4299999999998"/>
    <n v="139"/>
    <n v="2"/>
    <s v="2026-03-06"/>
    <n v="268"/>
    <n v="5"/>
    <n v="23"/>
    <s v="Yes"/>
    <x v="0"/>
    <n v="-12"/>
    <n v="0.91449814126394047"/>
    <x v="0"/>
    <s v="Monitor Sales"/>
  </r>
  <r>
    <n v="301"/>
    <s v="Product_48"/>
    <x v="2"/>
    <x v="2"/>
    <n v="364"/>
    <n v="207"/>
    <n v="176"/>
    <n v="2029.54"/>
    <n v="1521.4"/>
    <n v="92"/>
    <n v="1"/>
    <s v="2026-01-11"/>
    <n v="42"/>
    <n v="5"/>
    <n v="11"/>
    <s v="No"/>
    <x v="1"/>
    <n v="31"/>
    <n v="0.56868131868131866"/>
    <x v="0"/>
    <s v="Monitor Sales"/>
  </r>
  <r>
    <n v="302"/>
    <s v="Product_89"/>
    <x v="4"/>
    <x v="3"/>
    <n v="360"/>
    <n v="18"/>
    <n v="31"/>
    <n v="1020.41"/>
    <n v="700.76"/>
    <n v="102"/>
    <n v="10"/>
    <s v="2026-03-22"/>
    <n v="235"/>
    <n v="3"/>
    <n v="6"/>
    <s v="Yes"/>
    <x v="0"/>
    <n v="-13"/>
    <n v="0.05"/>
    <x v="2"/>
    <s v="Apply Discount / Promotion"/>
  </r>
  <r>
    <n v="303"/>
    <s v="Product_40"/>
    <x v="2"/>
    <x v="3"/>
    <n v="379"/>
    <n v="359"/>
    <n v="372"/>
    <n v="3335.94"/>
    <n v="2615.65"/>
    <n v="128"/>
    <n v="11"/>
    <s v="2026-02-02"/>
    <n v="306"/>
    <n v="2"/>
    <n v="0"/>
    <s v="No"/>
    <x v="0"/>
    <n v="-13"/>
    <n v="0.94722955145118737"/>
    <x v="0"/>
    <s v="Monitor Sales"/>
  </r>
  <r>
    <n v="304"/>
    <s v="Product_73"/>
    <x v="1"/>
    <x v="3"/>
    <n v="64"/>
    <n v="249"/>
    <n v="206"/>
    <n v="2329.52"/>
    <n v="1718.86"/>
    <n v="107"/>
    <n v="7"/>
    <s v="2026-01-13"/>
    <n v="135"/>
    <n v="4"/>
    <n v="14"/>
    <s v="No"/>
    <x v="1"/>
    <n v="43"/>
    <n v="3.890625"/>
    <x v="1"/>
    <s v="Maintain Stock"/>
  </r>
  <r>
    <n v="305"/>
    <s v="Product_54"/>
    <x v="2"/>
    <x v="2"/>
    <n v="246"/>
    <n v="236"/>
    <n v="237"/>
    <n v="1916.06"/>
    <n v="1431.23"/>
    <n v="92"/>
    <n v="12"/>
    <s v="2025-12-31"/>
    <n v="44"/>
    <n v="3"/>
    <n v="49"/>
    <s v="Yes"/>
    <x v="2"/>
    <n v="-1"/>
    <n v="0.95934959349593496"/>
    <x v="0"/>
    <s v="Monitor Sales"/>
  </r>
  <r>
    <n v="306"/>
    <s v="Product_87"/>
    <x v="1"/>
    <x v="3"/>
    <n v="142"/>
    <n v="172"/>
    <n v="182"/>
    <n v="634.29999999999995"/>
    <n v="329.21"/>
    <n v="49"/>
    <n v="6"/>
    <s v="2026-02-16"/>
    <n v="248"/>
    <n v="4"/>
    <n v="11"/>
    <s v="Yes"/>
    <x v="1"/>
    <n v="-10"/>
    <n v="1.2112676056338028"/>
    <x v="1"/>
    <s v="Maintain Stock"/>
  </r>
  <r>
    <n v="307"/>
    <s v="Product_98"/>
    <x v="3"/>
    <x v="1"/>
    <n v="205"/>
    <n v="16"/>
    <n v="37"/>
    <n v="4717.6899999999996"/>
    <n v="2462.63"/>
    <n v="98"/>
    <n v="1"/>
    <s v="2026-01-03"/>
    <n v="261"/>
    <n v="4"/>
    <n v="12"/>
    <s v="Yes"/>
    <x v="2"/>
    <n v="-21"/>
    <n v="7.8048780487804878E-2"/>
    <x v="2"/>
    <s v="Apply Discount / Promotion"/>
  </r>
  <r>
    <n v="308"/>
    <s v="Product_30"/>
    <x v="0"/>
    <x v="3"/>
    <n v="419"/>
    <n v="275"/>
    <n v="264"/>
    <n v="4579.1400000000003"/>
    <n v="2973.42"/>
    <n v="40"/>
    <n v="7"/>
    <s v="2026-01-28"/>
    <n v="209"/>
    <n v="1"/>
    <n v="25"/>
    <s v="No"/>
    <x v="1"/>
    <n v="11"/>
    <n v="0.65632458233890212"/>
    <x v="0"/>
    <s v="Monitor Sales"/>
  </r>
  <r>
    <n v="309"/>
    <s v="Product_49"/>
    <x v="0"/>
    <x v="1"/>
    <n v="455"/>
    <n v="162"/>
    <n v="208"/>
    <n v="2844.29"/>
    <n v="1675.61"/>
    <n v="119"/>
    <n v="4"/>
    <s v="2025-12-30"/>
    <n v="187"/>
    <n v="1"/>
    <n v="15"/>
    <s v="Yes"/>
    <x v="0"/>
    <n v="-46"/>
    <n v="0.35604395604395606"/>
    <x v="2"/>
    <s v="Apply Discount / Promotion"/>
  </r>
  <r>
    <n v="310"/>
    <s v="Product_89"/>
    <x v="4"/>
    <x v="1"/>
    <n v="84"/>
    <n v="303"/>
    <n v="352"/>
    <n v="2929.6"/>
    <n v="2186.7600000000002"/>
    <n v="54"/>
    <n v="5"/>
    <s v="2026-03-05"/>
    <n v="234"/>
    <n v="2"/>
    <n v="25"/>
    <s v="Yes"/>
    <x v="0"/>
    <n v="-49"/>
    <n v="3.6071428571428572"/>
    <x v="1"/>
    <s v="Maintain Stock"/>
  </r>
  <r>
    <n v="311"/>
    <s v="Product_29"/>
    <x v="2"/>
    <x v="2"/>
    <n v="77"/>
    <n v="273"/>
    <n v="306"/>
    <n v="4758.4399999999996"/>
    <n v="2916.76"/>
    <n v="70"/>
    <n v="3"/>
    <s v="2026-01-28"/>
    <n v="140"/>
    <n v="5"/>
    <n v="12"/>
    <s v="Yes"/>
    <x v="1"/>
    <n v="-33"/>
    <n v="3.5454545454545454"/>
    <x v="1"/>
    <s v="Maintain Stock"/>
  </r>
  <r>
    <n v="312"/>
    <s v="Product_64"/>
    <x v="4"/>
    <x v="3"/>
    <n v="470"/>
    <n v="137"/>
    <n v="150"/>
    <n v="2480.8200000000002"/>
    <n v="1401.44"/>
    <n v="90"/>
    <n v="11"/>
    <s v="2026-03-16"/>
    <n v="207"/>
    <n v="4"/>
    <n v="4"/>
    <s v="No"/>
    <x v="2"/>
    <n v="-13"/>
    <n v="0.29148936170212764"/>
    <x v="2"/>
    <s v="Apply Discount / Promotion"/>
  </r>
  <r>
    <n v="313"/>
    <s v="Product_86"/>
    <x v="3"/>
    <x v="1"/>
    <n v="450"/>
    <n v="3"/>
    <n v="49"/>
    <n v="1677.88"/>
    <n v="1076.8900000000001"/>
    <n v="119"/>
    <n v="1"/>
    <s v="2026-03-07"/>
    <n v="280"/>
    <n v="1"/>
    <n v="6"/>
    <s v="No"/>
    <x v="1"/>
    <n v="-46"/>
    <n v="6.6666666666666671E-3"/>
    <x v="2"/>
    <s v="Apply Discount / Promotion"/>
  </r>
  <r>
    <n v="314"/>
    <s v="Product_87"/>
    <x v="2"/>
    <x v="3"/>
    <n v="489"/>
    <n v="319"/>
    <n v="271"/>
    <n v="1944.76"/>
    <n v="1241.42"/>
    <n v="92"/>
    <n v="11"/>
    <s v="2026-02-01"/>
    <n v="70"/>
    <n v="3"/>
    <n v="38"/>
    <s v="No"/>
    <x v="1"/>
    <n v="48"/>
    <n v="0.65235173824130877"/>
    <x v="0"/>
    <s v="Monitor Sales"/>
  </r>
  <r>
    <n v="315"/>
    <s v="Product_10"/>
    <x v="1"/>
    <x v="0"/>
    <n v="492"/>
    <n v="2"/>
    <n v="52"/>
    <n v="1067.04"/>
    <n v="578.79999999999995"/>
    <n v="92"/>
    <n v="5"/>
    <s v="2026-01-11"/>
    <n v="354"/>
    <n v="2"/>
    <n v="18"/>
    <s v="Yes"/>
    <x v="1"/>
    <n v="-50"/>
    <n v="4.0650406504065045E-3"/>
    <x v="2"/>
    <s v="Apply Discount / Promotion"/>
  </r>
  <r>
    <n v="316"/>
    <s v="Product_30"/>
    <x v="1"/>
    <x v="0"/>
    <n v="458"/>
    <n v="360"/>
    <n v="388"/>
    <n v="4180.7299999999996"/>
    <n v="2633.05"/>
    <n v="101"/>
    <n v="10"/>
    <s v="2026-03-19"/>
    <n v="351"/>
    <n v="3"/>
    <n v="20"/>
    <s v="Yes"/>
    <x v="2"/>
    <n v="-28"/>
    <n v="0.78602620087336239"/>
    <x v="0"/>
    <s v="Monitor Sales"/>
  </r>
  <r>
    <n v="317"/>
    <s v="Product_17"/>
    <x v="0"/>
    <x v="0"/>
    <n v="416"/>
    <n v="223"/>
    <n v="248"/>
    <n v="1119.1199999999999"/>
    <n v="731.16"/>
    <n v="59"/>
    <n v="9"/>
    <s v="2026-03-24"/>
    <n v="262"/>
    <n v="5"/>
    <n v="37"/>
    <s v="Yes"/>
    <x v="2"/>
    <n v="-25"/>
    <n v="0.53605769230769229"/>
    <x v="0"/>
    <s v="Monitor Sales"/>
  </r>
  <r>
    <n v="318"/>
    <s v="Product_90"/>
    <x v="0"/>
    <x v="1"/>
    <n v="282"/>
    <n v="114"/>
    <n v="72"/>
    <n v="2395.41"/>
    <n v="1208.1099999999999"/>
    <n v="98"/>
    <n v="5"/>
    <s v="2026-01-01"/>
    <n v="98"/>
    <n v="4"/>
    <n v="20"/>
    <s v="Yes"/>
    <x v="1"/>
    <n v="42"/>
    <n v="0.40425531914893614"/>
    <x v="2"/>
    <s v="Apply Discount / Promotion"/>
  </r>
  <r>
    <n v="319"/>
    <s v="Product_81"/>
    <x v="2"/>
    <x v="0"/>
    <n v="152"/>
    <n v="310"/>
    <n v="314"/>
    <n v="4439.0600000000004"/>
    <n v="2455.52"/>
    <n v="47"/>
    <n v="8"/>
    <s v="2026-03-20"/>
    <n v="124"/>
    <n v="4"/>
    <n v="35"/>
    <s v="No"/>
    <x v="2"/>
    <n v="-4"/>
    <n v="2.0394736842105261"/>
    <x v="1"/>
    <s v="Maintain Stock"/>
  </r>
  <r>
    <n v="320"/>
    <s v="Product_49"/>
    <x v="4"/>
    <x v="3"/>
    <n v="335"/>
    <n v="65"/>
    <n v="68"/>
    <n v="254.16"/>
    <n v="127.58"/>
    <n v="127"/>
    <n v="7"/>
    <s v="2026-02-02"/>
    <n v="70"/>
    <n v="3"/>
    <n v="25"/>
    <s v="Yes"/>
    <x v="1"/>
    <n v="-3"/>
    <n v="0.19402985074626866"/>
    <x v="2"/>
    <s v="Apply Discount / Promotion"/>
  </r>
  <r>
    <n v="321"/>
    <s v="Product_91"/>
    <x v="3"/>
    <x v="3"/>
    <n v="128"/>
    <n v="72"/>
    <n v="39"/>
    <n v="2343.69"/>
    <n v="1346.07"/>
    <n v="62"/>
    <n v="7"/>
    <s v="2026-03-27"/>
    <n v="338"/>
    <n v="1"/>
    <n v="40"/>
    <s v="Yes"/>
    <x v="2"/>
    <n v="33"/>
    <n v="0.5625"/>
    <x v="0"/>
    <s v="Monitor Sales"/>
  </r>
  <r>
    <n v="322"/>
    <s v="Product_1"/>
    <x v="2"/>
    <x v="2"/>
    <n v="254"/>
    <n v="76"/>
    <n v="98"/>
    <n v="1200.78"/>
    <n v="865.31"/>
    <n v="86"/>
    <n v="7"/>
    <s v="2026-03-22"/>
    <n v="209"/>
    <n v="5"/>
    <n v="15"/>
    <s v="Yes"/>
    <x v="0"/>
    <n v="-22"/>
    <n v="0.29921259842519687"/>
    <x v="2"/>
    <s v="Apply Discount / Promotion"/>
  </r>
  <r>
    <n v="323"/>
    <s v="Product_53"/>
    <x v="1"/>
    <x v="1"/>
    <n v="250"/>
    <n v="307"/>
    <n v="290"/>
    <n v="3705.38"/>
    <n v="2953.56"/>
    <n v="66"/>
    <n v="10"/>
    <s v="2026-01-06"/>
    <n v="144"/>
    <n v="4"/>
    <n v="42"/>
    <s v="Yes"/>
    <x v="2"/>
    <n v="17"/>
    <n v="1.228"/>
    <x v="1"/>
    <s v="Maintain Stock"/>
  </r>
  <r>
    <n v="324"/>
    <s v="Product_91"/>
    <x v="2"/>
    <x v="0"/>
    <n v="438"/>
    <n v="176"/>
    <n v="176"/>
    <n v="1351.24"/>
    <n v="848.21"/>
    <n v="71"/>
    <n v="2"/>
    <s v="2026-01-04"/>
    <n v="214"/>
    <n v="1"/>
    <n v="46"/>
    <s v="Yes"/>
    <x v="1"/>
    <n v="0"/>
    <n v="0.40182648401826482"/>
    <x v="2"/>
    <s v="Apply Discount / Promotion"/>
  </r>
  <r>
    <n v="325"/>
    <s v="Product_87"/>
    <x v="0"/>
    <x v="3"/>
    <n v="260"/>
    <n v="326"/>
    <n v="319"/>
    <n v="2210.7399999999998"/>
    <n v="1208.95"/>
    <n v="144"/>
    <n v="3"/>
    <s v="2026-01-08"/>
    <n v="269"/>
    <n v="2"/>
    <n v="30"/>
    <s v="No"/>
    <x v="0"/>
    <n v="7"/>
    <n v="1.2538461538461538"/>
    <x v="1"/>
    <s v="Maintain Stock"/>
  </r>
  <r>
    <n v="326"/>
    <s v="Product_4"/>
    <x v="0"/>
    <x v="3"/>
    <n v="64"/>
    <n v="222"/>
    <n v="248"/>
    <n v="282.87"/>
    <n v="149.63"/>
    <n v="123"/>
    <n v="4"/>
    <s v="2025-12-29"/>
    <n v="202"/>
    <n v="2"/>
    <n v="38"/>
    <s v="Yes"/>
    <x v="2"/>
    <n v="-26"/>
    <n v="3.46875"/>
    <x v="1"/>
    <s v="Maintain Stock"/>
  </r>
  <r>
    <n v="327"/>
    <s v="Product_46"/>
    <x v="2"/>
    <x v="2"/>
    <n v="95"/>
    <n v="119"/>
    <n v="74"/>
    <n v="2593.35"/>
    <n v="1596.35"/>
    <n v="37"/>
    <n v="5"/>
    <s v="2026-02-16"/>
    <n v="226"/>
    <n v="3"/>
    <n v="24"/>
    <s v="Yes"/>
    <x v="1"/>
    <n v="45"/>
    <n v="1.2526315789473683"/>
    <x v="1"/>
    <s v="Maintain Stock"/>
  </r>
  <r>
    <n v="328"/>
    <s v="Product_19"/>
    <x v="2"/>
    <x v="3"/>
    <n v="317"/>
    <n v="63"/>
    <n v="57"/>
    <n v="3814.23"/>
    <n v="2343.15"/>
    <n v="109"/>
    <n v="6"/>
    <s v="2026-03-28"/>
    <n v="119"/>
    <n v="5"/>
    <n v="35"/>
    <s v="No"/>
    <x v="0"/>
    <n v="6"/>
    <n v="0.19873817034700317"/>
    <x v="2"/>
    <s v="Apply Discount / Promotion"/>
  </r>
  <r>
    <n v="329"/>
    <s v="Product_98"/>
    <x v="4"/>
    <x v="1"/>
    <n v="31"/>
    <n v="334"/>
    <n v="311"/>
    <n v="391.15"/>
    <n v="298.08999999999997"/>
    <n v="148"/>
    <n v="4"/>
    <s v="2026-03-02"/>
    <n v="91"/>
    <n v="2"/>
    <n v="23"/>
    <s v="Yes"/>
    <x v="0"/>
    <n v="23"/>
    <n v="10.774193548387096"/>
    <x v="1"/>
    <s v="Maintain Stock"/>
  </r>
  <r>
    <n v="330"/>
    <s v="Product_29"/>
    <x v="0"/>
    <x v="3"/>
    <n v="119"/>
    <n v="184"/>
    <n v="171"/>
    <n v="4909.8900000000003"/>
    <n v="3522.64"/>
    <n v="60"/>
    <n v="9"/>
    <s v="2026-02-02"/>
    <n v="197"/>
    <n v="3"/>
    <n v="37"/>
    <s v="Yes"/>
    <x v="2"/>
    <n v="13"/>
    <n v="1.546218487394958"/>
    <x v="1"/>
    <s v="Maintain Stock"/>
  </r>
  <r>
    <n v="331"/>
    <s v="Product_70"/>
    <x v="3"/>
    <x v="2"/>
    <n v="210"/>
    <n v="185"/>
    <n v="196"/>
    <n v="1465.07"/>
    <n v="1082.8900000000001"/>
    <n v="54"/>
    <n v="8"/>
    <s v="2026-03-25"/>
    <n v="220"/>
    <n v="2"/>
    <n v="45"/>
    <s v="No"/>
    <x v="0"/>
    <n v="-11"/>
    <n v="0.88095238095238093"/>
    <x v="0"/>
    <s v="Monitor Sales"/>
  </r>
  <r>
    <n v="332"/>
    <s v="Product_32"/>
    <x v="3"/>
    <x v="1"/>
    <n v="175"/>
    <n v="155"/>
    <n v="166"/>
    <n v="4396.58"/>
    <n v="3180.63"/>
    <n v="133"/>
    <n v="3"/>
    <s v="2026-01-28"/>
    <n v="177"/>
    <n v="2"/>
    <n v="34"/>
    <s v="Yes"/>
    <x v="0"/>
    <n v="-11"/>
    <n v="0.88571428571428568"/>
    <x v="0"/>
    <s v="Monitor Sales"/>
  </r>
  <r>
    <n v="333"/>
    <s v="Product_9"/>
    <x v="0"/>
    <x v="2"/>
    <n v="235"/>
    <n v="187"/>
    <n v="165"/>
    <n v="3726.12"/>
    <n v="2469.89"/>
    <n v="45"/>
    <n v="14"/>
    <s v="2026-01-31"/>
    <n v="211"/>
    <n v="2"/>
    <n v="37"/>
    <s v="Yes"/>
    <x v="0"/>
    <n v="22"/>
    <n v="0.79574468085106387"/>
    <x v="0"/>
    <s v="Monitor Sales"/>
  </r>
  <r>
    <n v="334"/>
    <s v="Product_15"/>
    <x v="3"/>
    <x v="1"/>
    <n v="316"/>
    <n v="182"/>
    <n v="177"/>
    <n v="3826.55"/>
    <n v="2692.59"/>
    <n v="147"/>
    <n v="14"/>
    <s v="2026-01-07"/>
    <n v="361"/>
    <n v="3"/>
    <n v="9"/>
    <s v="No"/>
    <x v="1"/>
    <n v="5"/>
    <n v="0.57594936708860756"/>
    <x v="0"/>
    <s v="Monitor Sales"/>
  </r>
  <r>
    <n v="335"/>
    <s v="Product_8"/>
    <x v="3"/>
    <x v="1"/>
    <n v="498"/>
    <n v="144"/>
    <n v="161"/>
    <n v="3951.9"/>
    <n v="2652.64"/>
    <n v="40"/>
    <n v="15"/>
    <s v="2026-01-31"/>
    <n v="242"/>
    <n v="2"/>
    <n v="5"/>
    <s v="No"/>
    <x v="2"/>
    <n v="-17"/>
    <n v="0.28915662650602408"/>
    <x v="2"/>
    <s v="Apply Discount / Promotion"/>
  </r>
  <r>
    <n v="336"/>
    <s v="Product_67"/>
    <x v="3"/>
    <x v="2"/>
    <n v="429"/>
    <n v="175"/>
    <n v="141"/>
    <n v="3374.97"/>
    <n v="2480.3200000000002"/>
    <n v="92"/>
    <n v="15"/>
    <s v="2026-01-09"/>
    <n v="78"/>
    <n v="1"/>
    <n v="17"/>
    <s v="No"/>
    <x v="0"/>
    <n v="34"/>
    <n v="0.40792540792540793"/>
    <x v="2"/>
    <s v="Apply Discount / Promotion"/>
  </r>
  <r>
    <n v="337"/>
    <s v="Product_13"/>
    <x v="3"/>
    <x v="0"/>
    <n v="442"/>
    <n v="90"/>
    <n v="108"/>
    <n v="551.82000000000005"/>
    <n v="433.75"/>
    <n v="111"/>
    <n v="14"/>
    <s v="2026-01-31"/>
    <n v="93"/>
    <n v="2"/>
    <n v="3"/>
    <s v="Yes"/>
    <x v="0"/>
    <n v="-18"/>
    <n v="0.20361990950226244"/>
    <x v="2"/>
    <s v="Apply Discount / Promotion"/>
  </r>
  <r>
    <n v="338"/>
    <s v="Product_18"/>
    <x v="1"/>
    <x v="3"/>
    <n v="334"/>
    <n v="408"/>
    <n v="380"/>
    <n v="3495.83"/>
    <n v="2203.8200000000002"/>
    <n v="54"/>
    <n v="10"/>
    <s v="2026-02-11"/>
    <n v="281"/>
    <n v="3"/>
    <n v="43"/>
    <s v="Yes"/>
    <x v="2"/>
    <n v="28"/>
    <n v="1.221556886227545"/>
    <x v="1"/>
    <s v="Maintain Stock"/>
  </r>
  <r>
    <n v="339"/>
    <s v="Product_85"/>
    <x v="0"/>
    <x v="2"/>
    <n v="460"/>
    <n v="43"/>
    <n v="15"/>
    <n v="4859.66"/>
    <n v="2556.21"/>
    <n v="118"/>
    <n v="15"/>
    <s v="2026-02-11"/>
    <n v="274"/>
    <n v="5"/>
    <n v="38"/>
    <s v="Yes"/>
    <x v="2"/>
    <n v="28"/>
    <n v="9.3478260869565219E-2"/>
    <x v="2"/>
    <s v="Apply Discount / Promotion"/>
  </r>
  <r>
    <n v="340"/>
    <s v="Product_10"/>
    <x v="3"/>
    <x v="3"/>
    <n v="285"/>
    <n v="98"/>
    <n v="106"/>
    <n v="3652.05"/>
    <n v="1854.31"/>
    <n v="49"/>
    <n v="4"/>
    <s v="2026-03-19"/>
    <n v="41"/>
    <n v="1"/>
    <n v="41"/>
    <s v="Yes"/>
    <x v="1"/>
    <n v="-8"/>
    <n v="0.34385964912280703"/>
    <x v="2"/>
    <s v="Apply Discount / Promotion"/>
  </r>
  <r>
    <n v="341"/>
    <s v="Product_3"/>
    <x v="2"/>
    <x v="1"/>
    <n v="159"/>
    <n v="111"/>
    <n v="79"/>
    <n v="4262.4799999999996"/>
    <n v="3008.79"/>
    <n v="115"/>
    <n v="12"/>
    <s v="2026-03-22"/>
    <n v="200"/>
    <n v="3"/>
    <n v="2"/>
    <s v="No"/>
    <x v="2"/>
    <n v="32"/>
    <n v="0.69811320754716977"/>
    <x v="0"/>
    <s v="Monitor Sales"/>
  </r>
  <r>
    <n v="342"/>
    <s v="Product_42"/>
    <x v="0"/>
    <x v="2"/>
    <n v="187"/>
    <n v="0"/>
    <n v="45"/>
    <n v="2899.61"/>
    <n v="2064.85"/>
    <n v="68"/>
    <n v="7"/>
    <s v="2026-03-16"/>
    <n v="52"/>
    <n v="4"/>
    <n v="20"/>
    <s v="No"/>
    <x v="1"/>
    <n v="-45"/>
    <n v="0"/>
    <x v="2"/>
    <s v="Apply Discount / Promotion"/>
  </r>
  <r>
    <n v="343"/>
    <s v="Product_97"/>
    <x v="2"/>
    <x v="1"/>
    <n v="293"/>
    <n v="163"/>
    <n v="129"/>
    <n v="4274.8999999999996"/>
    <n v="2815.15"/>
    <n v="91"/>
    <n v="13"/>
    <s v="2026-03-11"/>
    <n v="166"/>
    <n v="4"/>
    <n v="48"/>
    <s v="No"/>
    <x v="2"/>
    <n v="34"/>
    <n v="0.55631399317406138"/>
    <x v="0"/>
    <s v="Monitor Sales"/>
  </r>
  <r>
    <n v="344"/>
    <s v="Product_80"/>
    <x v="0"/>
    <x v="0"/>
    <n v="248"/>
    <n v="343"/>
    <n v="389"/>
    <n v="3579.52"/>
    <n v="2018.02"/>
    <n v="119"/>
    <n v="5"/>
    <s v="2026-03-25"/>
    <n v="117"/>
    <n v="4"/>
    <n v="44"/>
    <s v="Yes"/>
    <x v="0"/>
    <n v="-46"/>
    <n v="1.3830645161290323"/>
    <x v="1"/>
    <s v="Maintain Stock"/>
  </r>
  <r>
    <n v="345"/>
    <s v="Product_66"/>
    <x v="4"/>
    <x v="1"/>
    <n v="407"/>
    <n v="155"/>
    <n v="175"/>
    <n v="1462.06"/>
    <n v="761.9"/>
    <n v="137"/>
    <n v="15"/>
    <s v="2025-12-29"/>
    <n v="123"/>
    <n v="4"/>
    <n v="17"/>
    <s v="Yes"/>
    <x v="2"/>
    <n v="-20"/>
    <n v="0.38083538083538082"/>
    <x v="2"/>
    <s v="Apply Discount / Promotion"/>
  </r>
  <r>
    <n v="346"/>
    <s v="Product_20"/>
    <x v="2"/>
    <x v="1"/>
    <n v="242"/>
    <n v="105"/>
    <n v="70"/>
    <n v="4422.5600000000004"/>
    <n v="3292.52"/>
    <n v="36"/>
    <n v="10"/>
    <s v="2026-03-20"/>
    <n v="178"/>
    <n v="5"/>
    <n v="45"/>
    <s v="Yes"/>
    <x v="0"/>
    <n v="35"/>
    <n v="0.43388429752066116"/>
    <x v="2"/>
    <s v="Apply Discount / Promotion"/>
  </r>
  <r>
    <n v="347"/>
    <s v="Product_58"/>
    <x v="0"/>
    <x v="0"/>
    <n v="314"/>
    <n v="297"/>
    <n v="276"/>
    <n v="3670.28"/>
    <n v="1904.47"/>
    <n v="43"/>
    <n v="7"/>
    <s v="2026-03-19"/>
    <n v="189"/>
    <n v="5"/>
    <n v="26"/>
    <s v="Yes"/>
    <x v="2"/>
    <n v="21"/>
    <n v="0.94585987261146498"/>
    <x v="0"/>
    <s v="Monitor Sales"/>
  </r>
  <r>
    <n v="348"/>
    <s v="Product_87"/>
    <x v="3"/>
    <x v="3"/>
    <n v="444"/>
    <n v="318"/>
    <n v="297"/>
    <n v="3708.18"/>
    <n v="2227.66"/>
    <n v="57"/>
    <n v="13"/>
    <s v="2026-03-28"/>
    <n v="133"/>
    <n v="2"/>
    <n v="41"/>
    <s v="No"/>
    <x v="2"/>
    <n v="21"/>
    <n v="0.71621621621621623"/>
    <x v="0"/>
    <s v="Monitor Sales"/>
  </r>
  <r>
    <n v="349"/>
    <s v="Product_52"/>
    <x v="3"/>
    <x v="3"/>
    <n v="407"/>
    <n v="194"/>
    <n v="211"/>
    <n v="1274.19"/>
    <n v="804.15"/>
    <n v="132"/>
    <n v="6"/>
    <s v="2026-03-16"/>
    <n v="84"/>
    <n v="1"/>
    <n v="11"/>
    <s v="No"/>
    <x v="1"/>
    <n v="-17"/>
    <n v="0.47665847665847666"/>
    <x v="2"/>
    <s v="Apply Discount / Promotion"/>
  </r>
  <r>
    <n v="350"/>
    <s v="Product_94"/>
    <x v="0"/>
    <x v="2"/>
    <n v="251"/>
    <n v="98"/>
    <n v="70"/>
    <n v="3137.75"/>
    <n v="1649.47"/>
    <n v="37"/>
    <n v="15"/>
    <s v="2026-01-31"/>
    <n v="287"/>
    <n v="5"/>
    <n v="18"/>
    <s v="Yes"/>
    <x v="1"/>
    <n v="28"/>
    <n v="0.39043824701195218"/>
    <x v="2"/>
    <s v="Apply Discount / Promotion"/>
  </r>
  <r>
    <n v="351"/>
    <s v="Product_43"/>
    <x v="2"/>
    <x v="1"/>
    <n v="156"/>
    <n v="158"/>
    <n v="185"/>
    <n v="3919.08"/>
    <n v="2934.76"/>
    <n v="137"/>
    <n v="1"/>
    <s v="2026-01-20"/>
    <n v="107"/>
    <n v="1"/>
    <n v="3"/>
    <s v="Yes"/>
    <x v="2"/>
    <n v="-27"/>
    <n v="1.0128205128205128"/>
    <x v="1"/>
    <s v="Maintain Stock"/>
  </r>
  <r>
    <n v="352"/>
    <s v="Product_27"/>
    <x v="3"/>
    <x v="3"/>
    <n v="109"/>
    <n v="316"/>
    <n v="278"/>
    <n v="4929.0200000000004"/>
    <n v="3329.27"/>
    <n v="124"/>
    <n v="7"/>
    <s v="2026-03-11"/>
    <n v="88"/>
    <n v="3"/>
    <n v="31"/>
    <s v="Yes"/>
    <x v="0"/>
    <n v="38"/>
    <n v="2.8990825688073394"/>
    <x v="1"/>
    <s v="Maintain Stock"/>
  </r>
  <r>
    <n v="353"/>
    <s v="Product_64"/>
    <x v="4"/>
    <x v="0"/>
    <n v="337"/>
    <n v="0"/>
    <n v="39"/>
    <n v="4193.6099999999997"/>
    <n v="2284.81"/>
    <n v="115"/>
    <n v="14"/>
    <s v="2026-01-13"/>
    <n v="325"/>
    <n v="4"/>
    <n v="12"/>
    <s v="No"/>
    <x v="0"/>
    <n v="-39"/>
    <n v="0"/>
    <x v="2"/>
    <s v="Apply Discount / Promotion"/>
  </r>
  <r>
    <n v="354"/>
    <s v="Product_51"/>
    <x v="4"/>
    <x v="0"/>
    <n v="329"/>
    <n v="160"/>
    <n v="204"/>
    <n v="3389.65"/>
    <n v="2600.65"/>
    <n v="56"/>
    <n v="2"/>
    <s v="2026-01-29"/>
    <n v="56"/>
    <n v="5"/>
    <n v="46"/>
    <s v="No"/>
    <x v="2"/>
    <n v="-44"/>
    <n v="0.48632218844984804"/>
    <x v="2"/>
    <s v="Apply Discount / Promotion"/>
  </r>
  <r>
    <n v="355"/>
    <s v="Product_11"/>
    <x v="3"/>
    <x v="1"/>
    <n v="228"/>
    <n v="162"/>
    <n v="146"/>
    <n v="368.01"/>
    <n v="186.55"/>
    <n v="37"/>
    <n v="5"/>
    <s v="2025-12-29"/>
    <n v="340"/>
    <n v="2"/>
    <n v="27"/>
    <s v="Yes"/>
    <x v="1"/>
    <n v="16"/>
    <n v="0.71052631578947367"/>
    <x v="0"/>
    <s v="Monitor Sales"/>
  </r>
  <r>
    <n v="356"/>
    <s v="Product_10"/>
    <x v="1"/>
    <x v="0"/>
    <n v="442"/>
    <n v="358"/>
    <n v="394"/>
    <n v="2331.89"/>
    <n v="1759.57"/>
    <n v="37"/>
    <n v="14"/>
    <s v="2025-12-30"/>
    <n v="235"/>
    <n v="4"/>
    <n v="35"/>
    <s v="No"/>
    <x v="0"/>
    <n v="-36"/>
    <n v="0.80995475113122173"/>
    <x v="0"/>
    <s v="Monitor Sales"/>
  </r>
  <r>
    <n v="357"/>
    <s v="Product_47"/>
    <x v="3"/>
    <x v="0"/>
    <n v="415"/>
    <n v="362"/>
    <n v="339"/>
    <n v="1936.22"/>
    <n v="1131.97"/>
    <n v="55"/>
    <n v="13"/>
    <s v="2026-01-05"/>
    <n v="43"/>
    <n v="1"/>
    <n v="41"/>
    <s v="No"/>
    <x v="0"/>
    <n v="23"/>
    <n v="0.87228915662650608"/>
    <x v="0"/>
    <s v="Monitor Sales"/>
  </r>
  <r>
    <n v="358"/>
    <s v="Product_7"/>
    <x v="0"/>
    <x v="0"/>
    <n v="161"/>
    <n v="149"/>
    <n v="172"/>
    <n v="2034.1"/>
    <n v="1468.95"/>
    <n v="133"/>
    <n v="1"/>
    <s v="2026-01-30"/>
    <n v="226"/>
    <n v="5"/>
    <n v="5"/>
    <s v="Yes"/>
    <x v="2"/>
    <n v="-23"/>
    <n v="0.92546583850931674"/>
    <x v="0"/>
    <s v="Monitor Sales"/>
  </r>
  <r>
    <n v="359"/>
    <s v="Product_11"/>
    <x v="2"/>
    <x v="0"/>
    <n v="500"/>
    <n v="146"/>
    <n v="195"/>
    <n v="1695.32"/>
    <n v="1292.1400000000001"/>
    <n v="79"/>
    <n v="11"/>
    <s v="2026-03-17"/>
    <n v="337"/>
    <n v="5"/>
    <n v="27"/>
    <s v="Yes"/>
    <x v="1"/>
    <n v="-49"/>
    <n v="0.29199999999999998"/>
    <x v="2"/>
    <s v="Apply Discount / Promotion"/>
  </r>
  <r>
    <n v="360"/>
    <s v="Product_37"/>
    <x v="1"/>
    <x v="3"/>
    <n v="385"/>
    <n v="220"/>
    <n v="247"/>
    <n v="2870.11"/>
    <n v="1583.93"/>
    <n v="52"/>
    <n v="8"/>
    <s v="2026-01-31"/>
    <n v="288"/>
    <n v="5"/>
    <n v="39"/>
    <s v="Yes"/>
    <x v="2"/>
    <n v="-27"/>
    <n v="0.5714285714285714"/>
    <x v="0"/>
    <s v="Monitor Sales"/>
  </r>
  <r>
    <n v="361"/>
    <s v="Product_44"/>
    <x v="1"/>
    <x v="1"/>
    <n v="229"/>
    <n v="53"/>
    <n v="78"/>
    <n v="379.25"/>
    <n v="261.06"/>
    <n v="73"/>
    <n v="1"/>
    <s v="2026-03-13"/>
    <n v="344"/>
    <n v="5"/>
    <n v="50"/>
    <s v="Yes"/>
    <x v="1"/>
    <n v="-25"/>
    <n v="0.23144104803493451"/>
    <x v="2"/>
    <s v="Apply Discount / Promotion"/>
  </r>
  <r>
    <n v="362"/>
    <s v="Product_71"/>
    <x v="3"/>
    <x v="2"/>
    <n v="298"/>
    <n v="24"/>
    <n v="16"/>
    <n v="4569.53"/>
    <n v="3200.47"/>
    <n v="136"/>
    <n v="14"/>
    <s v="2026-03-21"/>
    <n v="220"/>
    <n v="2"/>
    <n v="15"/>
    <s v="No"/>
    <x v="1"/>
    <n v="8"/>
    <n v="8.0536912751677847E-2"/>
    <x v="2"/>
    <s v="Apply Discount / Promotion"/>
  </r>
  <r>
    <n v="363"/>
    <s v="Product_3"/>
    <x v="3"/>
    <x v="1"/>
    <n v="232"/>
    <n v="251"/>
    <n v="263"/>
    <n v="4160.78"/>
    <n v="2161.2800000000002"/>
    <n v="55"/>
    <n v="9"/>
    <s v="2026-02-14"/>
    <n v="196"/>
    <n v="5"/>
    <n v="33"/>
    <s v="Yes"/>
    <x v="1"/>
    <n v="-12"/>
    <n v="1.0818965517241379"/>
    <x v="1"/>
    <s v="Maintain Stock"/>
  </r>
  <r>
    <n v="364"/>
    <s v="Product_95"/>
    <x v="3"/>
    <x v="3"/>
    <n v="58"/>
    <n v="371"/>
    <n v="331"/>
    <n v="847.53"/>
    <n v="529.42999999999995"/>
    <n v="121"/>
    <n v="9"/>
    <s v="2026-02-28"/>
    <n v="219"/>
    <n v="4"/>
    <n v="41"/>
    <s v="Yes"/>
    <x v="0"/>
    <n v="40"/>
    <n v="6.3965517241379306"/>
    <x v="1"/>
    <s v="Maintain Stock"/>
  </r>
  <r>
    <n v="365"/>
    <s v="Product_72"/>
    <x v="2"/>
    <x v="2"/>
    <n v="326"/>
    <n v="135"/>
    <n v="85"/>
    <n v="4366.2700000000004"/>
    <n v="2312.83"/>
    <n v="64"/>
    <n v="7"/>
    <s v="2026-03-03"/>
    <n v="252"/>
    <n v="1"/>
    <n v="39"/>
    <s v="Yes"/>
    <x v="0"/>
    <n v="50"/>
    <n v="0.41411042944785276"/>
    <x v="2"/>
    <s v="Apply Discount / Promotion"/>
  </r>
  <r>
    <n v="366"/>
    <s v="Product_53"/>
    <x v="3"/>
    <x v="3"/>
    <n v="119"/>
    <n v="81"/>
    <n v="64"/>
    <n v="1263.3499999999999"/>
    <n v="693.13"/>
    <n v="47"/>
    <n v="3"/>
    <s v="2026-02-14"/>
    <n v="199"/>
    <n v="4"/>
    <n v="14"/>
    <s v="Yes"/>
    <x v="1"/>
    <n v="17"/>
    <n v="0.68067226890756305"/>
    <x v="0"/>
    <s v="Monitor Sales"/>
  </r>
  <r>
    <n v="367"/>
    <s v="Product_97"/>
    <x v="2"/>
    <x v="2"/>
    <n v="246"/>
    <n v="119"/>
    <n v="81"/>
    <n v="2062.06"/>
    <n v="1538.19"/>
    <n v="150"/>
    <n v="14"/>
    <s v="2026-01-21"/>
    <n v="258"/>
    <n v="5"/>
    <n v="10"/>
    <s v="Yes"/>
    <x v="0"/>
    <n v="38"/>
    <n v="0.48373983739837401"/>
    <x v="2"/>
    <s v="Apply Discount / Promotion"/>
  </r>
  <r>
    <n v="368"/>
    <s v="Product_98"/>
    <x v="2"/>
    <x v="2"/>
    <n v="40"/>
    <n v="29"/>
    <n v="17"/>
    <n v="401.82"/>
    <n v="234.51"/>
    <n v="92"/>
    <n v="2"/>
    <s v="2026-01-10"/>
    <n v="238"/>
    <n v="5"/>
    <n v="7"/>
    <s v="No"/>
    <x v="2"/>
    <n v="12"/>
    <n v="0.72499999999999998"/>
    <x v="0"/>
    <s v="Monitor Sales"/>
  </r>
  <r>
    <n v="369"/>
    <s v="Product_50"/>
    <x v="0"/>
    <x v="0"/>
    <n v="65"/>
    <n v="369"/>
    <n v="351"/>
    <n v="4346.6899999999996"/>
    <n v="2235.46"/>
    <n v="41"/>
    <n v="5"/>
    <s v="2026-03-01"/>
    <n v="314"/>
    <n v="1"/>
    <n v="36"/>
    <s v="No"/>
    <x v="2"/>
    <n v="18"/>
    <n v="5.6769230769230772"/>
    <x v="1"/>
    <s v="Maintain Stock"/>
  </r>
  <r>
    <n v="370"/>
    <s v="Product_92"/>
    <x v="0"/>
    <x v="0"/>
    <n v="299"/>
    <n v="73"/>
    <n v="69"/>
    <n v="2014.59"/>
    <n v="1328.69"/>
    <n v="103"/>
    <n v="4"/>
    <s v="2026-01-17"/>
    <n v="89"/>
    <n v="5"/>
    <n v="42"/>
    <s v="Yes"/>
    <x v="1"/>
    <n v="4"/>
    <n v="0.24414715719063546"/>
    <x v="2"/>
    <s v="Apply Discount / Promotion"/>
  </r>
  <r>
    <n v="371"/>
    <s v="Product_85"/>
    <x v="2"/>
    <x v="2"/>
    <n v="358"/>
    <n v="5"/>
    <n v="41"/>
    <n v="4084.23"/>
    <n v="2442.98"/>
    <n v="40"/>
    <n v="4"/>
    <s v="2026-01-04"/>
    <n v="293"/>
    <n v="1"/>
    <n v="21"/>
    <s v="No"/>
    <x v="0"/>
    <n v="-36"/>
    <n v="1.3966480446927373E-2"/>
    <x v="2"/>
    <s v="Apply Discount / Promotion"/>
  </r>
  <r>
    <n v="372"/>
    <s v="Product_6"/>
    <x v="1"/>
    <x v="3"/>
    <n v="390"/>
    <n v="73"/>
    <n v="36"/>
    <n v="1877.03"/>
    <n v="1254.8699999999999"/>
    <n v="69"/>
    <n v="7"/>
    <s v="2026-03-26"/>
    <n v="182"/>
    <n v="2"/>
    <n v="19"/>
    <s v="Yes"/>
    <x v="1"/>
    <n v="37"/>
    <n v="0.18717948717948718"/>
    <x v="2"/>
    <s v="Apply Discount / Promotion"/>
  </r>
  <r>
    <n v="373"/>
    <s v="Product_45"/>
    <x v="2"/>
    <x v="0"/>
    <n v="382"/>
    <n v="145"/>
    <n v="135"/>
    <n v="246.38"/>
    <n v="186.31"/>
    <n v="61"/>
    <n v="6"/>
    <s v="2026-01-20"/>
    <n v="92"/>
    <n v="4"/>
    <n v="16"/>
    <s v="No"/>
    <x v="0"/>
    <n v="10"/>
    <n v="0.37958115183246072"/>
    <x v="2"/>
    <s v="Apply Discount / Promotion"/>
  </r>
  <r>
    <n v="374"/>
    <s v="Product_67"/>
    <x v="3"/>
    <x v="0"/>
    <n v="454"/>
    <n v="16"/>
    <n v="34"/>
    <n v="4086"/>
    <n v="2913.14"/>
    <n v="31"/>
    <n v="12"/>
    <s v="2026-01-28"/>
    <n v="80"/>
    <n v="5"/>
    <n v="6"/>
    <s v="Yes"/>
    <x v="0"/>
    <n v="-18"/>
    <n v="3.5242290748898682E-2"/>
    <x v="2"/>
    <s v="Apply Discount / Promotion"/>
  </r>
  <r>
    <n v="375"/>
    <s v="Product_86"/>
    <x v="2"/>
    <x v="1"/>
    <n v="220"/>
    <n v="75"/>
    <n v="87"/>
    <n v="3688.88"/>
    <n v="2785.5"/>
    <n v="72"/>
    <n v="4"/>
    <s v="2026-03-19"/>
    <n v="199"/>
    <n v="4"/>
    <n v="28"/>
    <s v="No"/>
    <x v="1"/>
    <n v="-12"/>
    <n v="0.34090909090909088"/>
    <x v="2"/>
    <s v="Apply Discount / Promotion"/>
  </r>
  <r>
    <n v="376"/>
    <s v="Product_57"/>
    <x v="1"/>
    <x v="0"/>
    <n v="267"/>
    <n v="359"/>
    <n v="344"/>
    <n v="4514.45"/>
    <n v="2995.47"/>
    <n v="117"/>
    <n v="1"/>
    <s v="2026-03-05"/>
    <n v="89"/>
    <n v="1"/>
    <n v="49"/>
    <s v="Yes"/>
    <x v="2"/>
    <n v="15"/>
    <n v="1.3445692883895131"/>
    <x v="1"/>
    <s v="Maintain Stock"/>
  </r>
  <r>
    <n v="377"/>
    <s v="Product_68"/>
    <x v="1"/>
    <x v="0"/>
    <n v="495"/>
    <n v="144"/>
    <n v="191"/>
    <n v="2823.81"/>
    <n v="2174.29"/>
    <n v="59"/>
    <n v="13"/>
    <s v="2026-02-27"/>
    <n v="71"/>
    <n v="5"/>
    <n v="34"/>
    <s v="Yes"/>
    <x v="2"/>
    <n v="-47"/>
    <n v="0.29090909090909089"/>
    <x v="2"/>
    <s v="Apply Discount / Promotion"/>
  </r>
  <r>
    <n v="378"/>
    <s v="Product_34"/>
    <x v="2"/>
    <x v="1"/>
    <n v="89"/>
    <n v="88"/>
    <n v="46"/>
    <n v="478.03"/>
    <n v="361.87"/>
    <n v="32"/>
    <n v="3"/>
    <s v="2026-03-05"/>
    <n v="163"/>
    <n v="5"/>
    <n v="43"/>
    <s v="Yes"/>
    <x v="0"/>
    <n v="42"/>
    <n v="0.9887640449438202"/>
    <x v="0"/>
    <s v="Monitor Sales"/>
  </r>
  <r>
    <n v="379"/>
    <s v="Product_64"/>
    <x v="2"/>
    <x v="2"/>
    <n v="114"/>
    <n v="242"/>
    <n v="201"/>
    <n v="3398.21"/>
    <n v="2156.56"/>
    <n v="116"/>
    <n v="9"/>
    <s v="2026-01-21"/>
    <n v="166"/>
    <n v="2"/>
    <n v="14"/>
    <s v="Yes"/>
    <x v="0"/>
    <n v="41"/>
    <n v="2.1228070175438596"/>
    <x v="1"/>
    <s v="Maintain Stock"/>
  </r>
  <r>
    <n v="380"/>
    <s v="Product_48"/>
    <x v="1"/>
    <x v="1"/>
    <n v="227"/>
    <n v="256"/>
    <n v="248"/>
    <n v="2480.1"/>
    <n v="1979.03"/>
    <n v="120"/>
    <n v="3"/>
    <s v="2026-02-22"/>
    <n v="272"/>
    <n v="1"/>
    <n v="18"/>
    <s v="Yes"/>
    <x v="2"/>
    <n v="8"/>
    <n v="1.1277533039647578"/>
    <x v="1"/>
    <s v="Maintain Stock"/>
  </r>
  <r>
    <n v="381"/>
    <s v="Product_44"/>
    <x v="1"/>
    <x v="1"/>
    <n v="176"/>
    <n v="195"/>
    <n v="210"/>
    <n v="1395.11"/>
    <n v="990.91"/>
    <n v="139"/>
    <n v="11"/>
    <s v="2026-01-18"/>
    <n v="298"/>
    <n v="5"/>
    <n v="45"/>
    <s v="No"/>
    <x v="0"/>
    <n v="-15"/>
    <n v="1.1079545454545454"/>
    <x v="1"/>
    <s v="Maintain Stock"/>
  </r>
  <r>
    <n v="382"/>
    <s v="Product_11"/>
    <x v="3"/>
    <x v="0"/>
    <n v="388"/>
    <n v="122"/>
    <n v="147"/>
    <n v="3677.38"/>
    <n v="2181.64"/>
    <n v="32"/>
    <n v="3"/>
    <s v="2026-03-27"/>
    <n v="100"/>
    <n v="4"/>
    <n v="16"/>
    <s v="No"/>
    <x v="2"/>
    <n v="-25"/>
    <n v="0.31443298969072164"/>
    <x v="2"/>
    <s v="Apply Discount / Promotion"/>
  </r>
  <r>
    <n v="383"/>
    <s v="Product_72"/>
    <x v="0"/>
    <x v="1"/>
    <n v="447"/>
    <n v="148"/>
    <n v="184"/>
    <n v="2457.6799999999998"/>
    <n v="1364.65"/>
    <n v="61"/>
    <n v="7"/>
    <s v="2026-03-09"/>
    <n v="165"/>
    <n v="5"/>
    <n v="10"/>
    <s v="No"/>
    <x v="0"/>
    <n v="-36"/>
    <n v="0.33109619686800895"/>
    <x v="2"/>
    <s v="Apply Discount / Promotion"/>
  </r>
  <r>
    <n v="384"/>
    <s v="Product_63"/>
    <x v="1"/>
    <x v="2"/>
    <n v="105"/>
    <n v="168"/>
    <n v="188"/>
    <n v="2838.9"/>
    <n v="1618.35"/>
    <n v="80"/>
    <n v="7"/>
    <s v="2026-03-02"/>
    <n v="62"/>
    <n v="3"/>
    <n v="43"/>
    <s v="No"/>
    <x v="1"/>
    <n v="-20"/>
    <n v="1.6"/>
    <x v="1"/>
    <s v="Maintain Stock"/>
  </r>
  <r>
    <n v="385"/>
    <s v="Product_35"/>
    <x v="1"/>
    <x v="0"/>
    <n v="335"/>
    <n v="229"/>
    <n v="279"/>
    <n v="4882.2700000000004"/>
    <n v="3007.18"/>
    <n v="65"/>
    <n v="14"/>
    <s v="2026-01-16"/>
    <n v="158"/>
    <n v="2"/>
    <n v="46"/>
    <s v="Yes"/>
    <x v="2"/>
    <n v="-50"/>
    <n v="0.68358208955223876"/>
    <x v="0"/>
    <s v="Monitor Sales"/>
  </r>
  <r>
    <n v="386"/>
    <s v="Product_75"/>
    <x v="4"/>
    <x v="1"/>
    <n v="141"/>
    <n v="10"/>
    <n v="38"/>
    <n v="2473.75"/>
    <n v="1864.25"/>
    <n v="38"/>
    <n v="7"/>
    <s v="2026-01-11"/>
    <n v="298"/>
    <n v="2"/>
    <n v="1"/>
    <s v="No"/>
    <x v="0"/>
    <n v="-28"/>
    <n v="7.0921985815602842E-2"/>
    <x v="2"/>
    <s v="Apply Discount / Promotion"/>
  </r>
  <r>
    <n v="387"/>
    <s v="Product_33"/>
    <x v="0"/>
    <x v="1"/>
    <n v="151"/>
    <n v="156"/>
    <n v="106"/>
    <n v="524.75"/>
    <n v="276.93"/>
    <n v="126"/>
    <n v="11"/>
    <s v="2026-03-23"/>
    <n v="73"/>
    <n v="4"/>
    <n v="25"/>
    <s v="No"/>
    <x v="0"/>
    <n v="50"/>
    <n v="1.0331125827814569"/>
    <x v="1"/>
    <s v="Maintain Stock"/>
  </r>
  <r>
    <n v="388"/>
    <s v="Product_23"/>
    <x v="3"/>
    <x v="1"/>
    <n v="457"/>
    <n v="120"/>
    <n v="166"/>
    <n v="2377.02"/>
    <n v="1685.07"/>
    <n v="103"/>
    <n v="3"/>
    <s v="2026-01-03"/>
    <n v="326"/>
    <n v="1"/>
    <n v="17"/>
    <s v="No"/>
    <x v="0"/>
    <n v="-46"/>
    <n v="0.26258205689277897"/>
    <x v="2"/>
    <s v="Apply Discount / Promotion"/>
  </r>
  <r>
    <n v="389"/>
    <s v="Product_52"/>
    <x v="0"/>
    <x v="1"/>
    <n v="319"/>
    <n v="128"/>
    <n v="149"/>
    <n v="691.25"/>
    <n v="345.76"/>
    <n v="116"/>
    <n v="7"/>
    <s v="2026-01-29"/>
    <n v="160"/>
    <n v="4"/>
    <n v="26"/>
    <s v="Yes"/>
    <x v="1"/>
    <n v="-21"/>
    <n v="0.40125391849529779"/>
    <x v="2"/>
    <s v="Apply Discount / Promotion"/>
  </r>
  <r>
    <n v="390"/>
    <s v="Product_79"/>
    <x v="0"/>
    <x v="2"/>
    <n v="425"/>
    <n v="105"/>
    <n v="92"/>
    <n v="1180.51"/>
    <n v="899.79"/>
    <n v="130"/>
    <n v="15"/>
    <s v="2026-03-22"/>
    <n v="254"/>
    <n v="2"/>
    <n v="2"/>
    <s v="No"/>
    <x v="1"/>
    <n v="13"/>
    <n v="0.24705882352941178"/>
    <x v="2"/>
    <s v="Apply Discount / Promotion"/>
  </r>
  <r>
    <n v="391"/>
    <s v="Product_94"/>
    <x v="4"/>
    <x v="2"/>
    <n v="146"/>
    <n v="134"/>
    <n v="116"/>
    <n v="4932.96"/>
    <n v="3330.17"/>
    <n v="145"/>
    <n v="5"/>
    <s v="2026-02-02"/>
    <n v="153"/>
    <n v="5"/>
    <n v="34"/>
    <s v="Yes"/>
    <x v="2"/>
    <n v="18"/>
    <n v="0.9178082191780822"/>
    <x v="0"/>
    <s v="Monitor Sales"/>
  </r>
  <r>
    <n v="392"/>
    <s v="Product_17"/>
    <x v="4"/>
    <x v="3"/>
    <n v="363"/>
    <n v="394"/>
    <n v="374"/>
    <n v="2822.14"/>
    <n v="1493.79"/>
    <n v="105"/>
    <n v="14"/>
    <s v="2026-02-04"/>
    <n v="126"/>
    <n v="4"/>
    <n v="36"/>
    <s v="Yes"/>
    <x v="1"/>
    <n v="20"/>
    <n v="1.0853994490358128"/>
    <x v="1"/>
    <s v="Maintain Stock"/>
  </r>
  <r>
    <n v="393"/>
    <s v="Product_91"/>
    <x v="4"/>
    <x v="0"/>
    <n v="230"/>
    <n v="368"/>
    <n v="360"/>
    <n v="3251.07"/>
    <n v="2272.1799999999998"/>
    <n v="92"/>
    <n v="1"/>
    <s v="2026-02-11"/>
    <n v="66"/>
    <n v="4"/>
    <n v="10"/>
    <s v="No"/>
    <x v="2"/>
    <n v="8"/>
    <n v="1.6"/>
    <x v="1"/>
    <s v="Maintain Stock"/>
  </r>
  <r>
    <n v="394"/>
    <s v="Product_14"/>
    <x v="4"/>
    <x v="2"/>
    <n v="166"/>
    <n v="201"/>
    <n v="241"/>
    <n v="1029.26"/>
    <n v="822.22"/>
    <n v="78"/>
    <n v="13"/>
    <s v="2026-01-17"/>
    <n v="178"/>
    <n v="3"/>
    <n v="2"/>
    <s v="No"/>
    <x v="1"/>
    <n v="-40"/>
    <n v="1.2108433734939759"/>
    <x v="1"/>
    <s v="Maintain Stock"/>
  </r>
  <r>
    <n v="395"/>
    <s v="Product_72"/>
    <x v="1"/>
    <x v="0"/>
    <n v="456"/>
    <n v="303"/>
    <n v="267"/>
    <n v="941.57"/>
    <n v="692.51"/>
    <n v="41"/>
    <n v="7"/>
    <s v="2026-01-27"/>
    <n v="281"/>
    <n v="3"/>
    <n v="38"/>
    <s v="No"/>
    <x v="0"/>
    <n v="36"/>
    <n v="0.66447368421052633"/>
    <x v="0"/>
    <s v="Monitor Sales"/>
  </r>
  <r>
    <n v="396"/>
    <s v="Product_76"/>
    <x v="2"/>
    <x v="0"/>
    <n v="57"/>
    <n v="334"/>
    <n v="344"/>
    <n v="375.48"/>
    <n v="239.41"/>
    <n v="148"/>
    <n v="10"/>
    <s v="2026-02-10"/>
    <n v="350"/>
    <n v="3"/>
    <n v="32"/>
    <s v="No"/>
    <x v="0"/>
    <n v="-10"/>
    <n v="5.8596491228070171"/>
    <x v="1"/>
    <s v="Maintain Stock"/>
  </r>
  <r>
    <n v="397"/>
    <s v="Product_5"/>
    <x v="4"/>
    <x v="3"/>
    <n v="63"/>
    <n v="221"/>
    <n v="203"/>
    <n v="1925.99"/>
    <n v="1213.68"/>
    <n v="95"/>
    <n v="13"/>
    <s v="2026-02-17"/>
    <n v="192"/>
    <n v="4"/>
    <n v="4"/>
    <s v="Yes"/>
    <x v="0"/>
    <n v="18"/>
    <n v="3.5079365079365079"/>
    <x v="1"/>
    <s v="Maintain Stock"/>
  </r>
  <r>
    <n v="398"/>
    <s v="Product_10"/>
    <x v="0"/>
    <x v="0"/>
    <n v="141"/>
    <n v="379"/>
    <n v="333"/>
    <n v="4337.78"/>
    <n v="3241.61"/>
    <n v="120"/>
    <n v="5"/>
    <s v="2026-03-08"/>
    <n v="271"/>
    <n v="4"/>
    <n v="50"/>
    <s v="No"/>
    <x v="2"/>
    <n v="46"/>
    <n v="2.6879432624113475"/>
    <x v="1"/>
    <s v="Maintain Stock"/>
  </r>
  <r>
    <n v="399"/>
    <s v="Product_30"/>
    <x v="2"/>
    <x v="2"/>
    <n v="57"/>
    <n v="204"/>
    <n v="168"/>
    <n v="2428.2399999999998"/>
    <n v="1379.39"/>
    <n v="86"/>
    <n v="12"/>
    <s v="2026-02-25"/>
    <n v="35"/>
    <n v="1"/>
    <n v="21"/>
    <s v="Yes"/>
    <x v="1"/>
    <n v="36"/>
    <n v="3.5789473684210527"/>
    <x v="1"/>
    <s v="Maintain Stock"/>
  </r>
  <r>
    <n v="400"/>
    <s v="Product_74"/>
    <x v="1"/>
    <x v="3"/>
    <n v="28"/>
    <n v="159"/>
    <n v="121"/>
    <n v="1993.22"/>
    <n v="1492.1"/>
    <n v="53"/>
    <n v="8"/>
    <s v="2026-01-21"/>
    <n v="184"/>
    <n v="4"/>
    <n v="13"/>
    <s v="No"/>
    <x v="2"/>
    <n v="38"/>
    <n v="5.6785714285714288"/>
    <x v="1"/>
    <s v="Maintain Stock"/>
  </r>
  <r>
    <n v="401"/>
    <s v="Product_39"/>
    <x v="1"/>
    <x v="0"/>
    <n v="158"/>
    <n v="132"/>
    <n v="109"/>
    <n v="4639"/>
    <n v="2419.13"/>
    <n v="144"/>
    <n v="11"/>
    <s v="2026-02-06"/>
    <n v="297"/>
    <n v="4"/>
    <n v="24"/>
    <s v="No"/>
    <x v="0"/>
    <n v="23"/>
    <n v="0.83544303797468356"/>
    <x v="0"/>
    <s v="Monitor Sales"/>
  </r>
  <r>
    <n v="402"/>
    <s v="Product_86"/>
    <x v="1"/>
    <x v="0"/>
    <n v="73"/>
    <n v="151"/>
    <n v="161"/>
    <n v="3999.44"/>
    <n v="2393.89"/>
    <n v="57"/>
    <n v="3"/>
    <s v="2026-02-21"/>
    <n v="135"/>
    <n v="1"/>
    <n v="8"/>
    <s v="Yes"/>
    <x v="1"/>
    <n v="-10"/>
    <n v="2.0684931506849313"/>
    <x v="1"/>
    <s v="Maintain Stock"/>
  </r>
  <r>
    <n v="403"/>
    <s v="Product_31"/>
    <x v="1"/>
    <x v="1"/>
    <n v="187"/>
    <n v="251"/>
    <n v="231"/>
    <n v="3477.06"/>
    <n v="2556.96"/>
    <n v="76"/>
    <n v="1"/>
    <s v="2026-03-26"/>
    <n v="310"/>
    <n v="3"/>
    <n v="42"/>
    <s v="Yes"/>
    <x v="1"/>
    <n v="20"/>
    <n v="1.3422459893048129"/>
    <x v="1"/>
    <s v="Maintain Stock"/>
  </r>
  <r>
    <n v="404"/>
    <s v="Product_74"/>
    <x v="2"/>
    <x v="3"/>
    <n v="216"/>
    <n v="285"/>
    <n v="288"/>
    <n v="4040.39"/>
    <n v="2374.1"/>
    <n v="138"/>
    <n v="10"/>
    <s v="2026-01-26"/>
    <n v="168"/>
    <n v="1"/>
    <n v="38"/>
    <s v="No"/>
    <x v="2"/>
    <n v="-3"/>
    <n v="1.3194444444444444"/>
    <x v="1"/>
    <s v="Maintain Stock"/>
  </r>
  <r>
    <n v="405"/>
    <s v="Product_57"/>
    <x v="2"/>
    <x v="1"/>
    <n v="354"/>
    <n v="77"/>
    <n v="86"/>
    <n v="3753.37"/>
    <n v="2372.5500000000002"/>
    <n v="44"/>
    <n v="3"/>
    <s v="2026-01-03"/>
    <n v="258"/>
    <n v="1"/>
    <n v="13"/>
    <s v="No"/>
    <x v="0"/>
    <n v="-9"/>
    <n v="0.2175141242937853"/>
    <x v="2"/>
    <s v="Apply Discount / Promotion"/>
  </r>
  <r>
    <n v="406"/>
    <s v="Product_86"/>
    <x v="0"/>
    <x v="3"/>
    <n v="132"/>
    <n v="0"/>
    <n v="10"/>
    <n v="460.62"/>
    <n v="297.89999999999998"/>
    <n v="137"/>
    <n v="8"/>
    <s v="2026-02-12"/>
    <n v="223"/>
    <n v="2"/>
    <n v="25"/>
    <s v="No"/>
    <x v="1"/>
    <n v="-10"/>
    <n v="0"/>
    <x v="2"/>
    <s v="Apply Discount / Promotion"/>
  </r>
  <r>
    <n v="407"/>
    <s v="Product_48"/>
    <x v="0"/>
    <x v="0"/>
    <n v="265"/>
    <n v="103"/>
    <n v="62"/>
    <n v="3514.3"/>
    <n v="2096.39"/>
    <n v="76"/>
    <n v="7"/>
    <s v="2026-03-27"/>
    <n v="356"/>
    <n v="2"/>
    <n v="47"/>
    <s v="Yes"/>
    <x v="1"/>
    <n v="41"/>
    <n v="0.38867924528301889"/>
    <x v="2"/>
    <s v="Apply Discount / Promotion"/>
  </r>
  <r>
    <n v="408"/>
    <s v="Product_86"/>
    <x v="4"/>
    <x v="0"/>
    <n v="234"/>
    <n v="228"/>
    <n v="198"/>
    <n v="2972.35"/>
    <n v="1990.86"/>
    <n v="32"/>
    <n v="14"/>
    <s v="2026-02-01"/>
    <n v="303"/>
    <n v="2"/>
    <n v="23"/>
    <s v="Yes"/>
    <x v="2"/>
    <n v="30"/>
    <n v="0.97435897435897434"/>
    <x v="0"/>
    <s v="Monitor Sales"/>
  </r>
  <r>
    <n v="409"/>
    <s v="Product_85"/>
    <x v="4"/>
    <x v="3"/>
    <n v="419"/>
    <n v="121"/>
    <n v="157"/>
    <n v="3414.45"/>
    <n v="2202.0700000000002"/>
    <n v="51"/>
    <n v="13"/>
    <s v="2026-01-10"/>
    <n v="251"/>
    <n v="1"/>
    <n v="31"/>
    <s v="Yes"/>
    <x v="1"/>
    <n v="-36"/>
    <n v="0.28878281622911695"/>
    <x v="2"/>
    <s v="Apply Discount / Promotion"/>
  </r>
  <r>
    <n v="410"/>
    <s v="Product_91"/>
    <x v="1"/>
    <x v="3"/>
    <n v="145"/>
    <n v="365"/>
    <n v="329"/>
    <n v="4576.4399999999996"/>
    <n v="3621.98"/>
    <n v="67"/>
    <n v="14"/>
    <s v="2026-01-07"/>
    <n v="186"/>
    <n v="3"/>
    <n v="29"/>
    <s v="No"/>
    <x v="0"/>
    <n v="36"/>
    <n v="2.5172413793103448"/>
    <x v="1"/>
    <s v="Maintain Stock"/>
  </r>
  <r>
    <n v="411"/>
    <s v="Product_60"/>
    <x v="2"/>
    <x v="3"/>
    <n v="311"/>
    <n v="382"/>
    <n v="341"/>
    <n v="3692.75"/>
    <n v="2034.48"/>
    <n v="123"/>
    <n v="8"/>
    <s v="2026-02-02"/>
    <n v="143"/>
    <n v="1"/>
    <n v="47"/>
    <s v="No"/>
    <x v="2"/>
    <n v="41"/>
    <n v="1.2282958199356913"/>
    <x v="1"/>
    <s v="Maintain Stock"/>
  </r>
  <r>
    <n v="412"/>
    <s v="Product_79"/>
    <x v="4"/>
    <x v="0"/>
    <n v="478"/>
    <n v="22"/>
    <n v="24"/>
    <n v="278.91000000000003"/>
    <n v="164.77"/>
    <n v="82"/>
    <n v="13"/>
    <s v="2026-01-26"/>
    <n v="147"/>
    <n v="4"/>
    <n v="25"/>
    <s v="Yes"/>
    <x v="0"/>
    <n v="-2"/>
    <n v="4.6025104602510462E-2"/>
    <x v="2"/>
    <s v="Apply Discount / Promotion"/>
  </r>
  <r>
    <n v="413"/>
    <s v="Product_100"/>
    <x v="2"/>
    <x v="3"/>
    <n v="498"/>
    <n v="348"/>
    <n v="395"/>
    <n v="2445.9699999999998"/>
    <n v="1282.0899999999999"/>
    <n v="96"/>
    <n v="15"/>
    <s v="2026-01-04"/>
    <n v="278"/>
    <n v="1"/>
    <n v="3"/>
    <s v="No"/>
    <x v="2"/>
    <n v="-47"/>
    <n v="0.6987951807228916"/>
    <x v="0"/>
    <s v="Monitor Sales"/>
  </r>
  <r>
    <n v="414"/>
    <s v="Product_26"/>
    <x v="0"/>
    <x v="3"/>
    <n v="76"/>
    <n v="58"/>
    <n v="33"/>
    <n v="1118.06"/>
    <n v="883.05"/>
    <n v="62"/>
    <n v="9"/>
    <s v="2026-01-06"/>
    <n v="286"/>
    <n v="3"/>
    <n v="0"/>
    <s v="No"/>
    <x v="0"/>
    <n v="25"/>
    <n v="0.76315789473684215"/>
    <x v="0"/>
    <s v="Monitor Sales"/>
  </r>
  <r>
    <n v="415"/>
    <s v="Product_77"/>
    <x v="4"/>
    <x v="1"/>
    <n v="236"/>
    <n v="236"/>
    <n v="195"/>
    <n v="3757.89"/>
    <n v="2759.43"/>
    <n v="133"/>
    <n v="7"/>
    <s v="2026-03-27"/>
    <n v="122"/>
    <n v="2"/>
    <n v="47"/>
    <s v="No"/>
    <x v="2"/>
    <n v="41"/>
    <n v="1"/>
    <x v="1"/>
    <s v="Maintain Stock"/>
  </r>
  <r>
    <n v="416"/>
    <s v="Product_21"/>
    <x v="4"/>
    <x v="1"/>
    <n v="157"/>
    <n v="379"/>
    <n v="358"/>
    <n v="3396.82"/>
    <n v="1833.43"/>
    <n v="61"/>
    <n v="2"/>
    <s v="2026-02-28"/>
    <n v="91"/>
    <n v="2"/>
    <n v="46"/>
    <s v="No"/>
    <x v="0"/>
    <n v="21"/>
    <n v="2.4140127388535033"/>
    <x v="1"/>
    <s v="Maintain Stock"/>
  </r>
  <r>
    <n v="417"/>
    <s v="Product_61"/>
    <x v="0"/>
    <x v="0"/>
    <n v="288"/>
    <n v="318"/>
    <n v="360"/>
    <n v="2128.44"/>
    <n v="1275"/>
    <n v="134"/>
    <n v="14"/>
    <s v="2026-01-04"/>
    <n v="60"/>
    <n v="5"/>
    <n v="50"/>
    <s v="No"/>
    <x v="0"/>
    <n v="-42"/>
    <n v="1.1041666666666667"/>
    <x v="1"/>
    <s v="Maintain Stock"/>
  </r>
  <r>
    <n v="418"/>
    <s v="Product_35"/>
    <x v="1"/>
    <x v="0"/>
    <n v="168"/>
    <n v="355"/>
    <n v="312"/>
    <n v="1697.17"/>
    <n v="1176.51"/>
    <n v="120"/>
    <n v="9"/>
    <s v="2026-02-09"/>
    <n v="359"/>
    <n v="3"/>
    <n v="28"/>
    <s v="No"/>
    <x v="1"/>
    <n v="43"/>
    <n v="2.1130952380952381"/>
    <x v="1"/>
    <s v="Maintain Stock"/>
  </r>
  <r>
    <n v="419"/>
    <s v="Product_80"/>
    <x v="0"/>
    <x v="0"/>
    <n v="118"/>
    <n v="113"/>
    <n v="136"/>
    <n v="2670.17"/>
    <n v="1916.62"/>
    <n v="114"/>
    <n v="11"/>
    <s v="2026-03-27"/>
    <n v="37"/>
    <n v="4"/>
    <n v="17"/>
    <s v="No"/>
    <x v="1"/>
    <n v="-23"/>
    <n v="0.9576271186440678"/>
    <x v="0"/>
    <s v="Monitor Sales"/>
  </r>
  <r>
    <n v="420"/>
    <s v="Product_47"/>
    <x v="4"/>
    <x v="0"/>
    <n v="210"/>
    <n v="0"/>
    <n v="10"/>
    <n v="4399.93"/>
    <n v="2810.3"/>
    <n v="62"/>
    <n v="2"/>
    <s v="2026-01-02"/>
    <n v="350"/>
    <n v="5"/>
    <n v="27"/>
    <s v="No"/>
    <x v="0"/>
    <n v="-10"/>
    <n v="0"/>
    <x v="2"/>
    <s v="Apply Discount / Promotion"/>
  </r>
  <r>
    <n v="421"/>
    <s v="Product_83"/>
    <x v="0"/>
    <x v="2"/>
    <n v="24"/>
    <n v="125"/>
    <n v="129"/>
    <n v="3349.32"/>
    <n v="2552.79"/>
    <n v="130"/>
    <n v="10"/>
    <s v="2026-03-14"/>
    <n v="96"/>
    <n v="2"/>
    <n v="25"/>
    <s v="No"/>
    <x v="0"/>
    <n v="-4"/>
    <n v="5.208333333333333"/>
    <x v="1"/>
    <s v="Maintain Stock"/>
  </r>
  <r>
    <n v="422"/>
    <s v="Product_67"/>
    <x v="1"/>
    <x v="2"/>
    <n v="73"/>
    <n v="61"/>
    <n v="98"/>
    <n v="2623.46"/>
    <n v="1496.99"/>
    <n v="86"/>
    <n v="1"/>
    <s v="2026-02-22"/>
    <n v="109"/>
    <n v="4"/>
    <n v="37"/>
    <s v="Yes"/>
    <x v="1"/>
    <n v="-37"/>
    <n v="0.83561643835616439"/>
    <x v="0"/>
    <s v="Monitor Sales"/>
  </r>
  <r>
    <n v="423"/>
    <s v="Product_29"/>
    <x v="4"/>
    <x v="3"/>
    <n v="273"/>
    <n v="113"/>
    <n v="90"/>
    <n v="2411.23"/>
    <n v="1617.43"/>
    <n v="118"/>
    <n v="13"/>
    <s v="2026-02-02"/>
    <n v="317"/>
    <n v="1"/>
    <n v="25"/>
    <s v="No"/>
    <x v="2"/>
    <n v="23"/>
    <n v="0.41391941391941389"/>
    <x v="2"/>
    <s v="Apply Discount / Promotion"/>
  </r>
  <r>
    <n v="424"/>
    <s v="Product_80"/>
    <x v="3"/>
    <x v="2"/>
    <n v="468"/>
    <n v="45"/>
    <n v="29"/>
    <n v="2070.19"/>
    <n v="1338.66"/>
    <n v="89"/>
    <n v="13"/>
    <s v="2026-03-08"/>
    <n v="251"/>
    <n v="2"/>
    <n v="40"/>
    <s v="Yes"/>
    <x v="0"/>
    <n v="16"/>
    <n v="9.6153846153846159E-2"/>
    <x v="2"/>
    <s v="Apply Discount / Promotion"/>
  </r>
  <r>
    <n v="425"/>
    <s v="Product_32"/>
    <x v="3"/>
    <x v="0"/>
    <n v="20"/>
    <n v="113"/>
    <n v="87"/>
    <n v="905.42"/>
    <n v="703.41"/>
    <n v="140"/>
    <n v="7"/>
    <s v="2026-03-12"/>
    <n v="35"/>
    <n v="2"/>
    <n v="26"/>
    <s v="Yes"/>
    <x v="2"/>
    <n v="26"/>
    <n v="5.65"/>
    <x v="1"/>
    <s v="Maintain Stock"/>
  </r>
  <r>
    <n v="426"/>
    <s v="Product_73"/>
    <x v="2"/>
    <x v="0"/>
    <n v="391"/>
    <n v="264"/>
    <n v="298"/>
    <n v="2962.21"/>
    <n v="2214.25"/>
    <n v="142"/>
    <n v="2"/>
    <s v="2026-01-12"/>
    <n v="238"/>
    <n v="5"/>
    <n v="40"/>
    <s v="Yes"/>
    <x v="2"/>
    <n v="-34"/>
    <n v="0.67519181585677746"/>
    <x v="0"/>
    <s v="Monitor Sales"/>
  </r>
  <r>
    <n v="427"/>
    <s v="Product_81"/>
    <x v="1"/>
    <x v="1"/>
    <n v="423"/>
    <n v="324"/>
    <n v="352"/>
    <n v="4100.41"/>
    <n v="3234.75"/>
    <n v="46"/>
    <n v="3"/>
    <s v="2026-03-16"/>
    <n v="121"/>
    <n v="5"/>
    <n v="15"/>
    <s v="Yes"/>
    <x v="0"/>
    <n v="-28"/>
    <n v="0.76595744680851063"/>
    <x v="0"/>
    <s v="Monitor Sales"/>
  </r>
  <r>
    <n v="428"/>
    <s v="Product_56"/>
    <x v="4"/>
    <x v="0"/>
    <n v="418"/>
    <n v="210"/>
    <n v="224"/>
    <n v="154.05000000000001"/>
    <n v="94.15"/>
    <n v="45"/>
    <n v="10"/>
    <s v="2026-01-01"/>
    <n v="215"/>
    <n v="1"/>
    <n v="6"/>
    <s v="No"/>
    <x v="1"/>
    <n v="-14"/>
    <n v="0.50239234449760761"/>
    <x v="0"/>
    <s v="Monitor Sales"/>
  </r>
  <r>
    <n v="429"/>
    <s v="Product_16"/>
    <x v="4"/>
    <x v="0"/>
    <n v="246"/>
    <n v="265"/>
    <n v="303"/>
    <n v="2259.62"/>
    <n v="1273.8499999999999"/>
    <n v="63"/>
    <n v="8"/>
    <s v="2026-03-25"/>
    <n v="234"/>
    <n v="5"/>
    <n v="44"/>
    <s v="Yes"/>
    <x v="0"/>
    <n v="-38"/>
    <n v="1.0772357723577235"/>
    <x v="1"/>
    <s v="Maintain Stock"/>
  </r>
  <r>
    <n v="430"/>
    <s v="Product_89"/>
    <x v="2"/>
    <x v="1"/>
    <n v="288"/>
    <n v="336"/>
    <n v="322"/>
    <n v="3602.56"/>
    <n v="2321.0300000000002"/>
    <n v="145"/>
    <n v="14"/>
    <s v="2026-01-20"/>
    <n v="338"/>
    <n v="3"/>
    <n v="6"/>
    <s v="No"/>
    <x v="0"/>
    <n v="14"/>
    <n v="1.1666666666666667"/>
    <x v="1"/>
    <s v="Maintain Stock"/>
  </r>
  <r>
    <n v="431"/>
    <s v="Product_64"/>
    <x v="3"/>
    <x v="2"/>
    <n v="378"/>
    <n v="175"/>
    <n v="221"/>
    <n v="3509.24"/>
    <n v="2069.48"/>
    <n v="86"/>
    <n v="4"/>
    <s v="2026-03-21"/>
    <n v="117"/>
    <n v="1"/>
    <n v="10"/>
    <s v="Yes"/>
    <x v="0"/>
    <n v="-46"/>
    <n v="0.46296296296296297"/>
    <x v="2"/>
    <s v="Apply Discount / Promotion"/>
  </r>
  <r>
    <n v="432"/>
    <s v="Product_76"/>
    <x v="2"/>
    <x v="0"/>
    <n v="166"/>
    <n v="77"/>
    <n v="117"/>
    <n v="2259.31"/>
    <n v="1771.78"/>
    <n v="129"/>
    <n v="5"/>
    <s v="2026-02-23"/>
    <n v="249"/>
    <n v="2"/>
    <n v="46"/>
    <s v="No"/>
    <x v="2"/>
    <n v="-40"/>
    <n v="0.46385542168674698"/>
    <x v="2"/>
    <s v="Apply Discount / Promotion"/>
  </r>
  <r>
    <n v="433"/>
    <s v="Product_37"/>
    <x v="3"/>
    <x v="1"/>
    <n v="138"/>
    <n v="294"/>
    <n v="251"/>
    <n v="3471.81"/>
    <n v="2446.59"/>
    <n v="128"/>
    <n v="2"/>
    <s v="2026-03-26"/>
    <n v="134"/>
    <n v="5"/>
    <n v="18"/>
    <s v="Yes"/>
    <x v="1"/>
    <n v="43"/>
    <n v="2.1304347826086958"/>
    <x v="1"/>
    <s v="Maintain Stock"/>
  </r>
  <r>
    <n v="434"/>
    <s v="Product_8"/>
    <x v="0"/>
    <x v="3"/>
    <n v="146"/>
    <n v="282"/>
    <n v="252"/>
    <n v="2977.31"/>
    <n v="1593.19"/>
    <n v="69"/>
    <n v="13"/>
    <s v="2026-02-15"/>
    <n v="80"/>
    <n v="5"/>
    <n v="32"/>
    <s v="Yes"/>
    <x v="2"/>
    <n v="30"/>
    <n v="1.9315068493150684"/>
    <x v="1"/>
    <s v="Maintain Stock"/>
  </r>
  <r>
    <n v="435"/>
    <s v="Product_92"/>
    <x v="3"/>
    <x v="0"/>
    <n v="281"/>
    <n v="143"/>
    <n v="109"/>
    <n v="4559.93"/>
    <n v="2903.15"/>
    <n v="69"/>
    <n v="13"/>
    <s v="2026-01-11"/>
    <n v="343"/>
    <n v="4"/>
    <n v="41"/>
    <s v="Yes"/>
    <x v="1"/>
    <n v="34"/>
    <n v="0.50889679715302494"/>
    <x v="0"/>
    <s v="Monitor Sales"/>
  </r>
  <r>
    <n v="436"/>
    <s v="Product_58"/>
    <x v="3"/>
    <x v="3"/>
    <n v="124"/>
    <n v="281"/>
    <n v="281"/>
    <n v="3944.82"/>
    <n v="2658.89"/>
    <n v="119"/>
    <n v="1"/>
    <s v="2026-02-10"/>
    <n v="149"/>
    <n v="2"/>
    <n v="39"/>
    <s v="No"/>
    <x v="1"/>
    <n v="0"/>
    <n v="2.2661290322580645"/>
    <x v="1"/>
    <s v="Maintain Stock"/>
  </r>
  <r>
    <n v="437"/>
    <s v="Product_70"/>
    <x v="2"/>
    <x v="1"/>
    <n v="199"/>
    <n v="67"/>
    <n v="54"/>
    <n v="366.87"/>
    <n v="244.14"/>
    <n v="116"/>
    <n v="14"/>
    <s v="2026-03-22"/>
    <n v="50"/>
    <n v="2"/>
    <n v="22"/>
    <s v="Yes"/>
    <x v="1"/>
    <n v="13"/>
    <n v="0.33668341708542715"/>
    <x v="2"/>
    <s v="Apply Discount / Promotion"/>
  </r>
  <r>
    <n v="438"/>
    <s v="Product_15"/>
    <x v="2"/>
    <x v="1"/>
    <n v="271"/>
    <n v="329"/>
    <n v="307"/>
    <n v="759.16"/>
    <n v="385.12"/>
    <n v="43"/>
    <n v="5"/>
    <s v="2026-02-07"/>
    <n v="240"/>
    <n v="2"/>
    <n v="18"/>
    <s v="No"/>
    <x v="1"/>
    <n v="22"/>
    <n v="1.2140221402214022"/>
    <x v="1"/>
    <s v="Maintain Stock"/>
  </r>
  <r>
    <n v="439"/>
    <s v="Product_68"/>
    <x v="2"/>
    <x v="3"/>
    <n v="485"/>
    <n v="311"/>
    <n v="340"/>
    <n v="1785.2"/>
    <n v="1307.46"/>
    <n v="68"/>
    <n v="9"/>
    <s v="2026-01-01"/>
    <n v="324"/>
    <n v="2"/>
    <n v="43"/>
    <s v="Yes"/>
    <x v="1"/>
    <n v="-29"/>
    <n v="0.64123711340206191"/>
    <x v="0"/>
    <s v="Monitor Sales"/>
  </r>
  <r>
    <n v="440"/>
    <s v="Product_65"/>
    <x v="0"/>
    <x v="1"/>
    <n v="245"/>
    <n v="164"/>
    <n v="213"/>
    <n v="3936.23"/>
    <n v="2232.23"/>
    <n v="139"/>
    <n v="10"/>
    <s v="2026-01-08"/>
    <n v="88"/>
    <n v="3"/>
    <n v="21"/>
    <s v="Yes"/>
    <x v="1"/>
    <n v="-49"/>
    <n v="0.66938775510204085"/>
    <x v="0"/>
    <s v="Monitor Sales"/>
  </r>
  <r>
    <n v="441"/>
    <s v="Product_61"/>
    <x v="2"/>
    <x v="2"/>
    <n v="215"/>
    <n v="271"/>
    <n v="267"/>
    <n v="2000.9"/>
    <n v="1559.77"/>
    <n v="65"/>
    <n v="6"/>
    <s v="2026-03-22"/>
    <n v="92"/>
    <n v="1"/>
    <n v="45"/>
    <s v="No"/>
    <x v="1"/>
    <n v="4"/>
    <n v="1.2604651162790699"/>
    <x v="1"/>
    <s v="Maintain Stock"/>
  </r>
  <r>
    <n v="442"/>
    <s v="Product_15"/>
    <x v="0"/>
    <x v="1"/>
    <n v="101"/>
    <n v="189"/>
    <n v="189"/>
    <n v="1859.1"/>
    <n v="1138.3800000000001"/>
    <n v="34"/>
    <n v="10"/>
    <s v="2026-01-17"/>
    <n v="178"/>
    <n v="4"/>
    <n v="42"/>
    <s v="No"/>
    <x v="0"/>
    <n v="0"/>
    <n v="1.8712871287128714"/>
    <x v="1"/>
    <s v="Maintain Stock"/>
  </r>
  <r>
    <n v="443"/>
    <s v="Product_95"/>
    <x v="2"/>
    <x v="3"/>
    <n v="71"/>
    <n v="153"/>
    <n v="120"/>
    <n v="1104.8499999999999"/>
    <n v="747.88"/>
    <n v="136"/>
    <n v="1"/>
    <s v="2026-01-30"/>
    <n v="317"/>
    <n v="4"/>
    <n v="40"/>
    <s v="Yes"/>
    <x v="2"/>
    <n v="33"/>
    <n v="2.1549295774647885"/>
    <x v="1"/>
    <s v="Maintain Stock"/>
  </r>
  <r>
    <n v="444"/>
    <s v="Product_37"/>
    <x v="0"/>
    <x v="0"/>
    <n v="239"/>
    <n v="169"/>
    <n v="191"/>
    <n v="345.87"/>
    <n v="221.37"/>
    <n v="49"/>
    <n v="10"/>
    <s v="2026-02-02"/>
    <n v="59"/>
    <n v="5"/>
    <n v="15"/>
    <s v="No"/>
    <x v="2"/>
    <n v="-22"/>
    <n v="0.70711297071129708"/>
    <x v="0"/>
    <s v="Monitor Sales"/>
  </r>
  <r>
    <n v="445"/>
    <s v="Product_95"/>
    <x v="4"/>
    <x v="3"/>
    <n v="351"/>
    <n v="198"/>
    <n v="231"/>
    <n v="4433.8599999999997"/>
    <n v="2265.37"/>
    <n v="72"/>
    <n v="14"/>
    <s v="2026-01-09"/>
    <n v="256"/>
    <n v="3"/>
    <n v="15"/>
    <s v="Yes"/>
    <x v="2"/>
    <n v="-33"/>
    <n v="0.5641025641025641"/>
    <x v="0"/>
    <s v="Monitor Sales"/>
  </r>
  <r>
    <n v="446"/>
    <s v="Product_59"/>
    <x v="0"/>
    <x v="0"/>
    <n v="326"/>
    <n v="232"/>
    <n v="182"/>
    <n v="2910.7"/>
    <n v="1570.37"/>
    <n v="78"/>
    <n v="13"/>
    <s v="2026-03-16"/>
    <n v="231"/>
    <n v="1"/>
    <n v="7"/>
    <s v="Yes"/>
    <x v="2"/>
    <n v="50"/>
    <n v="0.71165644171779141"/>
    <x v="0"/>
    <s v="Monitor Sales"/>
  </r>
  <r>
    <n v="447"/>
    <s v="Product_17"/>
    <x v="4"/>
    <x v="0"/>
    <n v="477"/>
    <n v="252"/>
    <n v="266"/>
    <n v="4548.3900000000003"/>
    <n v="2785.52"/>
    <n v="61"/>
    <n v="1"/>
    <s v="2026-02-18"/>
    <n v="135"/>
    <n v="1"/>
    <n v="37"/>
    <s v="Yes"/>
    <x v="1"/>
    <n v="-14"/>
    <n v="0.52830188679245282"/>
    <x v="0"/>
    <s v="Monitor Sales"/>
  </r>
  <r>
    <n v="448"/>
    <s v="Product_60"/>
    <x v="2"/>
    <x v="2"/>
    <n v="450"/>
    <n v="394"/>
    <n v="372"/>
    <n v="224.4"/>
    <n v="161.06"/>
    <n v="141"/>
    <n v="3"/>
    <s v="2026-02-14"/>
    <n v="84"/>
    <n v="4"/>
    <n v="22"/>
    <s v="Yes"/>
    <x v="0"/>
    <n v="22"/>
    <n v="0.87555555555555553"/>
    <x v="0"/>
    <s v="Monitor Sales"/>
  </r>
  <r>
    <n v="449"/>
    <s v="Product_63"/>
    <x v="4"/>
    <x v="3"/>
    <n v="417"/>
    <n v="222"/>
    <n v="195"/>
    <n v="4179.6899999999996"/>
    <n v="2323.2600000000002"/>
    <n v="92"/>
    <n v="6"/>
    <s v="2026-02-23"/>
    <n v="330"/>
    <n v="4"/>
    <n v="30"/>
    <s v="No"/>
    <x v="1"/>
    <n v="27"/>
    <n v="0.53237410071942448"/>
    <x v="0"/>
    <s v="Monitor Sales"/>
  </r>
  <r>
    <n v="450"/>
    <s v="Product_46"/>
    <x v="3"/>
    <x v="2"/>
    <n v="241"/>
    <n v="240"/>
    <n v="239"/>
    <n v="3673.33"/>
    <n v="2374.7399999999998"/>
    <n v="80"/>
    <n v="11"/>
    <s v="2026-03-19"/>
    <n v="273"/>
    <n v="5"/>
    <n v="4"/>
    <s v="No"/>
    <x v="0"/>
    <n v="1"/>
    <n v="0.99585062240663902"/>
    <x v="0"/>
    <s v="Monitor Sales"/>
  </r>
  <r>
    <n v="451"/>
    <s v="Product_24"/>
    <x v="3"/>
    <x v="0"/>
    <n v="110"/>
    <n v="358"/>
    <n v="375"/>
    <n v="317.39"/>
    <n v="229.97"/>
    <n v="54"/>
    <n v="15"/>
    <s v="2026-03-21"/>
    <n v="352"/>
    <n v="5"/>
    <n v="32"/>
    <s v="No"/>
    <x v="1"/>
    <n v="-17"/>
    <n v="3.2545454545454544"/>
    <x v="1"/>
    <s v="Maintain Stock"/>
  </r>
  <r>
    <n v="452"/>
    <s v="Product_61"/>
    <x v="3"/>
    <x v="3"/>
    <n v="51"/>
    <n v="233"/>
    <n v="240"/>
    <n v="2805.93"/>
    <n v="2130.5300000000002"/>
    <n v="117"/>
    <n v="1"/>
    <s v="2026-03-28"/>
    <n v="116"/>
    <n v="3"/>
    <n v="46"/>
    <s v="Yes"/>
    <x v="2"/>
    <n v="-7"/>
    <n v="4.5686274509803919"/>
    <x v="1"/>
    <s v="Maintain Stock"/>
  </r>
  <r>
    <n v="453"/>
    <s v="Product_1"/>
    <x v="1"/>
    <x v="1"/>
    <n v="455"/>
    <n v="320"/>
    <n v="370"/>
    <n v="4939.9399999999996"/>
    <n v="3133.63"/>
    <n v="69"/>
    <n v="11"/>
    <s v="2026-02-16"/>
    <n v="214"/>
    <n v="4"/>
    <n v="27"/>
    <s v="No"/>
    <x v="0"/>
    <n v="-50"/>
    <n v="0.70329670329670335"/>
    <x v="0"/>
    <s v="Monitor Sales"/>
  </r>
  <r>
    <n v="454"/>
    <s v="Product_78"/>
    <x v="1"/>
    <x v="2"/>
    <n v="72"/>
    <n v="374"/>
    <n v="329"/>
    <n v="3959.25"/>
    <n v="2327.25"/>
    <n v="39"/>
    <n v="15"/>
    <s v="2026-03-10"/>
    <n v="247"/>
    <n v="5"/>
    <n v="35"/>
    <s v="Yes"/>
    <x v="2"/>
    <n v="45"/>
    <n v="5.1944444444444446"/>
    <x v="1"/>
    <s v="Maintain Stock"/>
  </r>
  <r>
    <n v="455"/>
    <s v="Product_28"/>
    <x v="1"/>
    <x v="2"/>
    <n v="317"/>
    <n v="162"/>
    <n v="130"/>
    <n v="1251.83"/>
    <n v="707.89"/>
    <n v="43"/>
    <n v="13"/>
    <s v="2026-02-09"/>
    <n v="65"/>
    <n v="2"/>
    <n v="20"/>
    <s v="No"/>
    <x v="2"/>
    <n v="32"/>
    <n v="0.51104100946372244"/>
    <x v="0"/>
    <s v="Monitor Sales"/>
  </r>
  <r>
    <n v="456"/>
    <s v="Product_76"/>
    <x v="1"/>
    <x v="3"/>
    <n v="168"/>
    <n v="103"/>
    <n v="137"/>
    <n v="278.14"/>
    <n v="169.88"/>
    <n v="128"/>
    <n v="13"/>
    <s v="2026-02-14"/>
    <n v="348"/>
    <n v="1"/>
    <n v="39"/>
    <s v="Yes"/>
    <x v="1"/>
    <n v="-34"/>
    <n v="0.61309523809523814"/>
    <x v="0"/>
    <s v="Monitor Sales"/>
  </r>
  <r>
    <n v="457"/>
    <s v="Product_93"/>
    <x v="2"/>
    <x v="1"/>
    <n v="34"/>
    <n v="253"/>
    <n v="216"/>
    <n v="3418.35"/>
    <n v="2193.48"/>
    <n v="116"/>
    <n v="15"/>
    <s v="2026-01-13"/>
    <n v="100"/>
    <n v="3"/>
    <n v="45"/>
    <s v="Yes"/>
    <x v="1"/>
    <n v="37"/>
    <n v="7.4411764705882355"/>
    <x v="1"/>
    <s v="Maintain Stock"/>
  </r>
  <r>
    <n v="458"/>
    <s v="Product_76"/>
    <x v="3"/>
    <x v="1"/>
    <n v="152"/>
    <n v="345"/>
    <n v="305"/>
    <n v="540.76"/>
    <n v="343.08"/>
    <n v="40"/>
    <n v="4"/>
    <s v="2026-03-15"/>
    <n v="108"/>
    <n v="5"/>
    <n v="42"/>
    <s v="Yes"/>
    <x v="0"/>
    <n v="40"/>
    <n v="2.2697368421052633"/>
    <x v="1"/>
    <s v="Maintain Stock"/>
  </r>
  <r>
    <n v="459"/>
    <s v="Product_43"/>
    <x v="4"/>
    <x v="3"/>
    <n v="495"/>
    <n v="99"/>
    <n v="132"/>
    <n v="1109.74"/>
    <n v="698.85"/>
    <n v="117"/>
    <n v="12"/>
    <s v="2026-01-31"/>
    <n v="339"/>
    <n v="4"/>
    <n v="31"/>
    <s v="Yes"/>
    <x v="0"/>
    <n v="-33"/>
    <n v="0.2"/>
    <x v="2"/>
    <s v="Apply Discount / Promotion"/>
  </r>
  <r>
    <n v="460"/>
    <s v="Product_69"/>
    <x v="4"/>
    <x v="1"/>
    <n v="430"/>
    <n v="154"/>
    <n v="121"/>
    <n v="1425.87"/>
    <n v="817.62"/>
    <n v="127"/>
    <n v="3"/>
    <s v="2026-02-26"/>
    <n v="230"/>
    <n v="4"/>
    <n v="39"/>
    <s v="Yes"/>
    <x v="1"/>
    <n v="33"/>
    <n v="0.35813953488372091"/>
    <x v="2"/>
    <s v="Apply Discount / Promotion"/>
  </r>
  <r>
    <n v="461"/>
    <s v="Product_7"/>
    <x v="2"/>
    <x v="2"/>
    <n v="327"/>
    <n v="293"/>
    <n v="246"/>
    <n v="4812.72"/>
    <n v="3759.68"/>
    <n v="64"/>
    <n v="13"/>
    <s v="2026-03-25"/>
    <n v="157"/>
    <n v="5"/>
    <n v="30"/>
    <s v="No"/>
    <x v="0"/>
    <n v="47"/>
    <n v="0.89602446483180431"/>
    <x v="0"/>
    <s v="Monitor Sales"/>
  </r>
  <r>
    <n v="462"/>
    <s v="Product_80"/>
    <x v="4"/>
    <x v="3"/>
    <n v="448"/>
    <n v="262"/>
    <n v="223"/>
    <n v="214.97"/>
    <n v="132.02000000000001"/>
    <n v="59"/>
    <n v="2"/>
    <s v="2026-02-11"/>
    <n v="165"/>
    <n v="5"/>
    <n v="15"/>
    <s v="No"/>
    <x v="2"/>
    <n v="39"/>
    <n v="0.5848214285714286"/>
    <x v="0"/>
    <s v="Monitor Sales"/>
  </r>
  <r>
    <n v="463"/>
    <s v="Product_98"/>
    <x v="2"/>
    <x v="3"/>
    <n v="379"/>
    <n v="300"/>
    <n v="330"/>
    <n v="399.33"/>
    <n v="304.73"/>
    <n v="46"/>
    <n v="11"/>
    <s v="2026-03-05"/>
    <n v="323"/>
    <n v="3"/>
    <n v="4"/>
    <s v="Yes"/>
    <x v="0"/>
    <n v="-30"/>
    <n v="0.79155672823218992"/>
    <x v="0"/>
    <s v="Monitor Sales"/>
  </r>
  <r>
    <n v="464"/>
    <s v="Product_7"/>
    <x v="4"/>
    <x v="3"/>
    <n v="355"/>
    <n v="148"/>
    <n v="159"/>
    <n v="3407.68"/>
    <n v="2379.4899999999998"/>
    <n v="80"/>
    <n v="14"/>
    <s v="2026-01-30"/>
    <n v="186"/>
    <n v="5"/>
    <n v="1"/>
    <s v="Yes"/>
    <x v="0"/>
    <n v="-11"/>
    <n v="0.41690140845070423"/>
    <x v="2"/>
    <s v="Apply Discount / Promotion"/>
  </r>
  <r>
    <n v="465"/>
    <s v="Product_51"/>
    <x v="1"/>
    <x v="1"/>
    <n v="167"/>
    <n v="273"/>
    <n v="227"/>
    <n v="927.02"/>
    <n v="615.79"/>
    <n v="87"/>
    <n v="9"/>
    <s v="2026-02-20"/>
    <n v="287"/>
    <n v="2"/>
    <n v="14"/>
    <s v="Yes"/>
    <x v="1"/>
    <n v="46"/>
    <n v="1.6347305389221556"/>
    <x v="1"/>
    <s v="Maintain Stock"/>
  </r>
  <r>
    <n v="466"/>
    <s v="Product_75"/>
    <x v="3"/>
    <x v="3"/>
    <n v="380"/>
    <n v="300"/>
    <n v="275"/>
    <n v="1612.28"/>
    <n v="828.63"/>
    <n v="76"/>
    <n v="7"/>
    <s v="2026-01-06"/>
    <n v="182"/>
    <n v="3"/>
    <n v="40"/>
    <s v="No"/>
    <x v="2"/>
    <n v="25"/>
    <n v="0.78947368421052633"/>
    <x v="0"/>
    <s v="Monitor Sales"/>
  </r>
  <r>
    <n v="467"/>
    <s v="Product_47"/>
    <x v="0"/>
    <x v="0"/>
    <n v="318"/>
    <n v="63"/>
    <n v="20"/>
    <n v="711.25"/>
    <n v="397.28"/>
    <n v="97"/>
    <n v="11"/>
    <s v="2026-02-09"/>
    <n v="362"/>
    <n v="3"/>
    <n v="11"/>
    <s v="Yes"/>
    <x v="2"/>
    <n v="43"/>
    <n v="0.19811320754716982"/>
    <x v="2"/>
    <s v="Apply Discount / Promotion"/>
  </r>
  <r>
    <n v="468"/>
    <s v="Product_15"/>
    <x v="3"/>
    <x v="1"/>
    <n v="192"/>
    <n v="206"/>
    <n v="215"/>
    <n v="2896.7"/>
    <n v="1821.76"/>
    <n v="120"/>
    <n v="4"/>
    <s v="2026-01-26"/>
    <n v="314"/>
    <n v="4"/>
    <n v="48"/>
    <s v="Yes"/>
    <x v="1"/>
    <n v="-9"/>
    <n v="1.0729166666666667"/>
    <x v="1"/>
    <s v="Maintain Stock"/>
  </r>
  <r>
    <n v="469"/>
    <s v="Product_64"/>
    <x v="2"/>
    <x v="2"/>
    <n v="89"/>
    <n v="184"/>
    <n v="189"/>
    <n v="2279.66"/>
    <n v="1815.82"/>
    <n v="55"/>
    <n v="13"/>
    <s v="2026-01-23"/>
    <n v="44"/>
    <n v="4"/>
    <n v="40"/>
    <s v="No"/>
    <x v="2"/>
    <n v="-5"/>
    <n v="2.0674157303370788"/>
    <x v="1"/>
    <s v="Maintain Stock"/>
  </r>
  <r>
    <n v="470"/>
    <s v="Product_63"/>
    <x v="3"/>
    <x v="2"/>
    <n v="352"/>
    <n v="190"/>
    <n v="236"/>
    <n v="3150.78"/>
    <n v="1633.17"/>
    <n v="137"/>
    <n v="9"/>
    <s v="2026-03-25"/>
    <n v="138"/>
    <n v="5"/>
    <n v="2"/>
    <s v="No"/>
    <x v="0"/>
    <n v="-46"/>
    <n v="0.53977272727272729"/>
    <x v="0"/>
    <s v="Monitor Sales"/>
  </r>
  <r>
    <n v="471"/>
    <s v="Product_11"/>
    <x v="3"/>
    <x v="3"/>
    <n v="189"/>
    <n v="251"/>
    <n v="297"/>
    <n v="2498.17"/>
    <n v="1348.58"/>
    <n v="58"/>
    <n v="9"/>
    <s v="2026-03-04"/>
    <n v="334"/>
    <n v="2"/>
    <n v="1"/>
    <s v="No"/>
    <x v="1"/>
    <n v="-46"/>
    <n v="1.3280423280423281"/>
    <x v="1"/>
    <s v="Maintain Stock"/>
  </r>
  <r>
    <n v="472"/>
    <s v="Product_29"/>
    <x v="0"/>
    <x v="2"/>
    <n v="477"/>
    <n v="239"/>
    <n v="265"/>
    <n v="1307.79"/>
    <n v="996.4"/>
    <n v="61"/>
    <n v="15"/>
    <s v="2026-01-06"/>
    <n v="242"/>
    <n v="2"/>
    <n v="15"/>
    <s v="Yes"/>
    <x v="1"/>
    <n v="-26"/>
    <n v="0.50104821802935007"/>
    <x v="0"/>
    <s v="Monitor Sales"/>
  </r>
  <r>
    <n v="473"/>
    <s v="Product_90"/>
    <x v="3"/>
    <x v="3"/>
    <n v="132"/>
    <n v="61"/>
    <n v="35"/>
    <n v="4550.07"/>
    <n v="3341.41"/>
    <n v="30"/>
    <n v="11"/>
    <s v="2026-03-24"/>
    <n v="49"/>
    <n v="4"/>
    <n v="15"/>
    <s v="Yes"/>
    <x v="1"/>
    <n v="26"/>
    <n v="0.4621212121212121"/>
    <x v="2"/>
    <s v="Apply Discount / Promotion"/>
  </r>
  <r>
    <n v="474"/>
    <s v="Product_64"/>
    <x v="4"/>
    <x v="2"/>
    <n v="173"/>
    <n v="25"/>
    <n v="67"/>
    <n v="1694.54"/>
    <n v="983.05"/>
    <n v="115"/>
    <n v="12"/>
    <s v="2026-01-11"/>
    <n v="41"/>
    <n v="3"/>
    <n v="10"/>
    <s v="No"/>
    <x v="2"/>
    <n v="-42"/>
    <n v="0.14450867052023122"/>
    <x v="2"/>
    <s v="Apply Discount / Promotion"/>
  </r>
  <r>
    <n v="475"/>
    <s v="Product_23"/>
    <x v="4"/>
    <x v="1"/>
    <n v="28"/>
    <n v="330"/>
    <n v="362"/>
    <n v="3576.62"/>
    <n v="2812.91"/>
    <n v="102"/>
    <n v="12"/>
    <s v="2026-02-16"/>
    <n v="176"/>
    <n v="5"/>
    <n v="13"/>
    <s v="No"/>
    <x v="2"/>
    <n v="-32"/>
    <n v="11.785714285714286"/>
    <x v="1"/>
    <s v="Maintain Stock"/>
  </r>
  <r>
    <n v="476"/>
    <s v="Product_1"/>
    <x v="4"/>
    <x v="2"/>
    <n v="352"/>
    <n v="352"/>
    <n v="336"/>
    <n v="4258.8599999999997"/>
    <n v="2493.66"/>
    <n v="87"/>
    <n v="10"/>
    <s v="2026-02-14"/>
    <n v="248"/>
    <n v="2"/>
    <n v="32"/>
    <s v="No"/>
    <x v="0"/>
    <n v="16"/>
    <n v="1"/>
    <x v="1"/>
    <s v="Maintain Stock"/>
  </r>
  <r>
    <n v="477"/>
    <s v="Product_73"/>
    <x v="0"/>
    <x v="2"/>
    <n v="323"/>
    <n v="168"/>
    <n v="166"/>
    <n v="1141.6099999999999"/>
    <n v="812.2"/>
    <n v="33"/>
    <n v="2"/>
    <s v="2026-01-03"/>
    <n v="103"/>
    <n v="2"/>
    <n v="40"/>
    <s v="No"/>
    <x v="2"/>
    <n v="2"/>
    <n v="0.52012383900928794"/>
    <x v="0"/>
    <s v="Monitor Sales"/>
  </r>
  <r>
    <n v="478"/>
    <s v="Product_31"/>
    <x v="3"/>
    <x v="1"/>
    <n v="106"/>
    <n v="236"/>
    <n v="277"/>
    <n v="3490.07"/>
    <n v="2325.11"/>
    <n v="57"/>
    <n v="6"/>
    <s v="2026-02-23"/>
    <n v="89"/>
    <n v="2"/>
    <n v="33"/>
    <s v="Yes"/>
    <x v="1"/>
    <n v="-41"/>
    <n v="2.2264150943396226"/>
    <x v="1"/>
    <s v="Maintain Stock"/>
  </r>
  <r>
    <n v="479"/>
    <s v="Product_100"/>
    <x v="3"/>
    <x v="3"/>
    <n v="162"/>
    <n v="152"/>
    <n v="116"/>
    <n v="2077.5500000000002"/>
    <n v="1463.04"/>
    <n v="112"/>
    <n v="5"/>
    <s v="2026-01-28"/>
    <n v="79"/>
    <n v="2"/>
    <n v="38"/>
    <s v="Yes"/>
    <x v="1"/>
    <n v="36"/>
    <n v="0.93827160493827155"/>
    <x v="0"/>
    <s v="Monitor Sales"/>
  </r>
  <r>
    <n v="480"/>
    <s v="Product_55"/>
    <x v="1"/>
    <x v="2"/>
    <n v="439"/>
    <n v="428"/>
    <n v="398"/>
    <n v="2914.05"/>
    <n v="1679"/>
    <n v="109"/>
    <n v="7"/>
    <s v="2026-01-05"/>
    <n v="110"/>
    <n v="1"/>
    <n v="3"/>
    <s v="No"/>
    <x v="0"/>
    <n v="30"/>
    <n v="0.97494305239179957"/>
    <x v="0"/>
    <s v="Monitor Sales"/>
  </r>
  <r>
    <n v="481"/>
    <s v="Product_80"/>
    <x v="2"/>
    <x v="0"/>
    <n v="488"/>
    <n v="317"/>
    <n v="344"/>
    <n v="4630.3500000000004"/>
    <n v="3237.5"/>
    <n v="131"/>
    <n v="2"/>
    <s v="2026-03-02"/>
    <n v="156"/>
    <n v="5"/>
    <n v="36"/>
    <s v="No"/>
    <x v="2"/>
    <n v="-27"/>
    <n v="0.64959016393442626"/>
    <x v="0"/>
    <s v="Monitor Sales"/>
  </r>
  <r>
    <n v="482"/>
    <s v="Product_61"/>
    <x v="1"/>
    <x v="1"/>
    <n v="340"/>
    <n v="423"/>
    <n v="395"/>
    <n v="2874.23"/>
    <n v="1460.79"/>
    <n v="60"/>
    <n v="14"/>
    <s v="2026-01-22"/>
    <n v="118"/>
    <n v="4"/>
    <n v="44"/>
    <s v="Yes"/>
    <x v="0"/>
    <n v="28"/>
    <n v="1.2441176470588236"/>
    <x v="1"/>
    <s v="Maintain Stock"/>
  </r>
  <r>
    <n v="483"/>
    <s v="Product_13"/>
    <x v="2"/>
    <x v="1"/>
    <n v="85"/>
    <n v="361"/>
    <n v="318"/>
    <n v="3236.8"/>
    <n v="2457"/>
    <n v="34"/>
    <n v="3"/>
    <s v="2026-02-26"/>
    <n v="146"/>
    <n v="5"/>
    <n v="38"/>
    <s v="Yes"/>
    <x v="2"/>
    <n v="43"/>
    <n v="4.2470588235294118"/>
    <x v="1"/>
    <s v="Maintain Stock"/>
  </r>
  <r>
    <n v="484"/>
    <s v="Product_22"/>
    <x v="2"/>
    <x v="0"/>
    <n v="409"/>
    <n v="150"/>
    <n v="114"/>
    <n v="2171.8200000000002"/>
    <n v="1697.11"/>
    <n v="147"/>
    <n v="5"/>
    <s v="2026-01-14"/>
    <n v="283"/>
    <n v="4"/>
    <n v="14"/>
    <s v="No"/>
    <x v="0"/>
    <n v="36"/>
    <n v="0.36674816625916873"/>
    <x v="2"/>
    <s v="Apply Discount / Promotion"/>
  </r>
  <r>
    <n v="485"/>
    <s v="Product_37"/>
    <x v="4"/>
    <x v="0"/>
    <n v="477"/>
    <n v="369"/>
    <n v="400"/>
    <n v="2978.71"/>
    <n v="1957.48"/>
    <n v="37"/>
    <n v="12"/>
    <s v="2026-02-23"/>
    <n v="272"/>
    <n v="1"/>
    <n v="47"/>
    <s v="No"/>
    <x v="2"/>
    <n v="-31"/>
    <n v="0.77358490566037741"/>
    <x v="0"/>
    <s v="Monitor Sales"/>
  </r>
  <r>
    <n v="486"/>
    <s v="Product_42"/>
    <x v="3"/>
    <x v="1"/>
    <n v="42"/>
    <n v="156"/>
    <n v="129"/>
    <n v="2244.7600000000002"/>
    <n v="1407.64"/>
    <n v="150"/>
    <n v="12"/>
    <s v="2026-02-05"/>
    <n v="150"/>
    <n v="5"/>
    <n v="37"/>
    <s v="No"/>
    <x v="1"/>
    <n v="27"/>
    <n v="3.7142857142857144"/>
    <x v="1"/>
    <s v="Maintain Stock"/>
  </r>
  <r>
    <n v="487"/>
    <s v="Product_36"/>
    <x v="0"/>
    <x v="3"/>
    <n v="500"/>
    <n v="151"/>
    <n v="137"/>
    <n v="3525.15"/>
    <n v="2043.26"/>
    <n v="146"/>
    <n v="5"/>
    <s v="2026-01-25"/>
    <n v="357"/>
    <n v="4"/>
    <n v="35"/>
    <s v="No"/>
    <x v="2"/>
    <n v="14"/>
    <n v="0.30199999999999999"/>
    <x v="2"/>
    <s v="Apply Discount / Promotion"/>
  </r>
  <r>
    <n v="488"/>
    <s v="Product_28"/>
    <x v="1"/>
    <x v="3"/>
    <n v="82"/>
    <n v="105"/>
    <n v="127"/>
    <n v="1086.3699999999999"/>
    <n v="649.70000000000005"/>
    <n v="49"/>
    <n v="13"/>
    <s v="2026-03-10"/>
    <n v="50"/>
    <n v="1"/>
    <n v="49"/>
    <s v="Yes"/>
    <x v="0"/>
    <n v="-22"/>
    <n v="1.2804878048780488"/>
    <x v="1"/>
    <s v="Maintain Stock"/>
  </r>
  <r>
    <n v="489"/>
    <s v="Product_70"/>
    <x v="0"/>
    <x v="3"/>
    <n v="439"/>
    <n v="86"/>
    <n v="55"/>
    <n v="2288.25"/>
    <n v="1544.33"/>
    <n v="46"/>
    <n v="7"/>
    <s v="2026-03-18"/>
    <n v="49"/>
    <n v="4"/>
    <n v="3"/>
    <s v="No"/>
    <x v="2"/>
    <n v="31"/>
    <n v="0.1958997722095672"/>
    <x v="2"/>
    <s v="Apply Discount / Promotion"/>
  </r>
  <r>
    <n v="490"/>
    <s v="Product_38"/>
    <x v="2"/>
    <x v="2"/>
    <n v="221"/>
    <n v="265"/>
    <n v="230"/>
    <n v="1272.25"/>
    <n v="918.36"/>
    <n v="89"/>
    <n v="9"/>
    <s v="2026-02-12"/>
    <n v="93"/>
    <n v="5"/>
    <n v="11"/>
    <s v="No"/>
    <x v="2"/>
    <n v="35"/>
    <n v="1.1990950226244343"/>
    <x v="1"/>
    <s v="Maintain Stock"/>
  </r>
  <r>
    <n v="491"/>
    <s v="Product_13"/>
    <x v="3"/>
    <x v="3"/>
    <n v="91"/>
    <n v="325"/>
    <n v="282"/>
    <n v="2574.64"/>
    <n v="2050.35"/>
    <n v="117"/>
    <n v="12"/>
    <s v="2026-03-10"/>
    <n v="212"/>
    <n v="4"/>
    <n v="40"/>
    <s v="No"/>
    <x v="0"/>
    <n v="43"/>
    <n v="3.5714285714285716"/>
    <x v="1"/>
    <s v="Maintain Stock"/>
  </r>
  <r>
    <n v="492"/>
    <s v="Product_13"/>
    <x v="2"/>
    <x v="0"/>
    <n v="255"/>
    <n v="150"/>
    <n v="101"/>
    <n v="4217.78"/>
    <n v="2137.0100000000002"/>
    <n v="51"/>
    <n v="10"/>
    <s v="2026-02-20"/>
    <n v="127"/>
    <n v="2"/>
    <n v="49"/>
    <s v="Yes"/>
    <x v="2"/>
    <n v="49"/>
    <n v="0.58823529411764708"/>
    <x v="0"/>
    <s v="Monitor Sales"/>
  </r>
  <r>
    <n v="493"/>
    <s v="Product_48"/>
    <x v="2"/>
    <x v="1"/>
    <n v="393"/>
    <n v="255"/>
    <n v="219"/>
    <n v="2854.39"/>
    <n v="2270.0700000000002"/>
    <n v="142"/>
    <n v="14"/>
    <s v="2026-03-16"/>
    <n v="284"/>
    <n v="4"/>
    <n v="1"/>
    <s v="Yes"/>
    <x v="1"/>
    <n v="36"/>
    <n v="0.64885496183206104"/>
    <x v="0"/>
    <s v="Monitor Sales"/>
  </r>
  <r>
    <n v="494"/>
    <s v="Product_7"/>
    <x v="4"/>
    <x v="0"/>
    <n v="449"/>
    <n v="126"/>
    <n v="79"/>
    <n v="3422.96"/>
    <n v="1726.16"/>
    <n v="100"/>
    <n v="1"/>
    <s v="2026-01-21"/>
    <n v="240"/>
    <n v="1"/>
    <n v="2"/>
    <s v="Yes"/>
    <x v="2"/>
    <n v="47"/>
    <n v="0.28062360801781738"/>
    <x v="2"/>
    <s v="Apply Discount / Promotion"/>
  </r>
  <r>
    <n v="495"/>
    <s v="Product_17"/>
    <x v="2"/>
    <x v="0"/>
    <n v="448"/>
    <n v="87"/>
    <n v="90"/>
    <n v="3647.24"/>
    <n v="2471.42"/>
    <n v="121"/>
    <n v="15"/>
    <s v="2026-02-02"/>
    <n v="55"/>
    <n v="1"/>
    <n v="49"/>
    <s v="No"/>
    <x v="2"/>
    <n v="-3"/>
    <n v="0.19419642857142858"/>
    <x v="2"/>
    <s v="Apply Discount / Promotion"/>
  </r>
  <r>
    <n v="496"/>
    <s v="Product_60"/>
    <x v="0"/>
    <x v="2"/>
    <n v="446"/>
    <n v="384"/>
    <n v="356"/>
    <n v="1854.33"/>
    <n v="1298.42"/>
    <n v="145"/>
    <n v="7"/>
    <s v="2026-02-09"/>
    <n v="229"/>
    <n v="2"/>
    <n v="2"/>
    <s v="No"/>
    <x v="1"/>
    <n v="28"/>
    <n v="0.86098654708520184"/>
    <x v="0"/>
    <s v="Monitor Sales"/>
  </r>
  <r>
    <n v="497"/>
    <s v="Product_89"/>
    <x v="1"/>
    <x v="3"/>
    <n v="333"/>
    <n v="381"/>
    <n v="344"/>
    <n v="1939.17"/>
    <n v="1449.46"/>
    <n v="138"/>
    <n v="4"/>
    <s v="2026-02-24"/>
    <n v="321"/>
    <n v="5"/>
    <n v="37"/>
    <s v="Yes"/>
    <x v="2"/>
    <n v="37"/>
    <n v="1.1441441441441442"/>
    <x v="1"/>
    <s v="Maintain Stock"/>
  </r>
  <r>
    <n v="498"/>
    <s v="Product_87"/>
    <x v="0"/>
    <x v="1"/>
    <n v="194"/>
    <n v="335"/>
    <n v="331"/>
    <n v="1679.52"/>
    <n v="1291.94"/>
    <n v="48"/>
    <n v="10"/>
    <s v="2026-03-20"/>
    <n v="275"/>
    <n v="4"/>
    <n v="7"/>
    <s v="Yes"/>
    <x v="2"/>
    <n v="4"/>
    <n v="1.7268041237113403"/>
    <x v="1"/>
    <s v="Maintain Stock"/>
  </r>
  <r>
    <n v="499"/>
    <s v="Product_93"/>
    <x v="3"/>
    <x v="1"/>
    <n v="131"/>
    <n v="350"/>
    <n v="369"/>
    <n v="705.55"/>
    <n v="447.66"/>
    <n v="68"/>
    <n v="14"/>
    <s v="2026-02-27"/>
    <n v="184"/>
    <n v="5"/>
    <n v="28"/>
    <s v="Yes"/>
    <x v="0"/>
    <n v="-19"/>
    <n v="2.6717557251908395"/>
    <x v="1"/>
    <s v="Maintain Stock"/>
  </r>
  <r>
    <n v="500"/>
    <s v="Product_35"/>
    <x v="0"/>
    <x v="1"/>
    <n v="415"/>
    <n v="277"/>
    <n v="309"/>
    <n v="3038.42"/>
    <n v="2065.94"/>
    <n v="72"/>
    <n v="1"/>
    <s v="2026-02-04"/>
    <n v="94"/>
    <n v="4"/>
    <n v="28"/>
    <s v="No"/>
    <x v="1"/>
    <n v="-32"/>
    <n v="0.66746987951807224"/>
    <x v="0"/>
    <s v="Monitor Sales"/>
  </r>
  <r>
    <n v="501"/>
    <s v="Product_57"/>
    <x v="1"/>
    <x v="3"/>
    <n v="428"/>
    <n v="213"/>
    <n v="243"/>
    <n v="377.24"/>
    <n v="236.14"/>
    <n v="78"/>
    <n v="2"/>
    <s v="2026-01-08"/>
    <n v="307"/>
    <n v="1"/>
    <n v="43"/>
    <s v="No"/>
    <x v="1"/>
    <n v="-30"/>
    <n v="0.49766355140186919"/>
    <x v="2"/>
    <s v="Apply Discount / Promotion"/>
  </r>
  <r>
    <n v="502"/>
    <s v="Product_14"/>
    <x v="0"/>
    <x v="3"/>
    <n v="50"/>
    <n v="287"/>
    <n v="323"/>
    <n v="1271.03"/>
    <n v="843.28"/>
    <n v="101"/>
    <n v="4"/>
    <s v="2026-02-23"/>
    <n v="234"/>
    <n v="4"/>
    <n v="25"/>
    <s v="No"/>
    <x v="1"/>
    <n v="-36"/>
    <n v="5.74"/>
    <x v="1"/>
    <s v="Maintain Stock"/>
  </r>
  <r>
    <n v="503"/>
    <s v="Product_69"/>
    <x v="4"/>
    <x v="2"/>
    <n v="230"/>
    <n v="346"/>
    <n v="318"/>
    <n v="740.54"/>
    <n v="472.01"/>
    <n v="118"/>
    <n v="11"/>
    <s v="2026-02-07"/>
    <n v="59"/>
    <n v="1"/>
    <n v="31"/>
    <s v="Yes"/>
    <x v="2"/>
    <n v="28"/>
    <n v="1.5043478260869565"/>
    <x v="1"/>
    <s v="Maintain Stock"/>
  </r>
  <r>
    <n v="504"/>
    <s v="Product_24"/>
    <x v="2"/>
    <x v="1"/>
    <n v="186"/>
    <n v="301"/>
    <n v="260"/>
    <n v="2124.5"/>
    <n v="1336.28"/>
    <n v="79"/>
    <n v="7"/>
    <s v="2026-01-08"/>
    <n v="268"/>
    <n v="3"/>
    <n v="28"/>
    <s v="Yes"/>
    <x v="0"/>
    <n v="41"/>
    <n v="1.618279569892473"/>
    <x v="1"/>
    <s v="Maintain Stock"/>
  </r>
  <r>
    <n v="505"/>
    <s v="Product_39"/>
    <x v="0"/>
    <x v="2"/>
    <n v="138"/>
    <n v="250"/>
    <n v="297"/>
    <n v="2616.0500000000002"/>
    <n v="1420.3"/>
    <n v="144"/>
    <n v="4"/>
    <s v="2026-01-07"/>
    <n v="131"/>
    <n v="2"/>
    <n v="16"/>
    <s v="No"/>
    <x v="1"/>
    <n v="-47"/>
    <n v="1.8115942028985508"/>
    <x v="1"/>
    <s v="Maintain Stock"/>
  </r>
  <r>
    <n v="506"/>
    <s v="Product_27"/>
    <x v="2"/>
    <x v="0"/>
    <n v="194"/>
    <n v="432"/>
    <n v="388"/>
    <n v="4815.0600000000004"/>
    <n v="3563.2"/>
    <n v="106"/>
    <n v="10"/>
    <s v="2026-01-02"/>
    <n v="248"/>
    <n v="3"/>
    <n v="9"/>
    <s v="Yes"/>
    <x v="1"/>
    <n v="44"/>
    <n v="2.2268041237113403"/>
    <x v="1"/>
    <s v="Maintain Stock"/>
  </r>
  <r>
    <n v="507"/>
    <s v="Product_49"/>
    <x v="1"/>
    <x v="2"/>
    <n v="434"/>
    <n v="207"/>
    <n v="233"/>
    <n v="3175.12"/>
    <n v="1643.13"/>
    <n v="76"/>
    <n v="7"/>
    <s v="2026-03-21"/>
    <n v="271"/>
    <n v="2"/>
    <n v="36"/>
    <s v="Yes"/>
    <x v="2"/>
    <n v="-26"/>
    <n v="0.47695852534562211"/>
    <x v="2"/>
    <s v="Apply Discount / Promotion"/>
  </r>
  <r>
    <n v="508"/>
    <s v="Product_5"/>
    <x v="3"/>
    <x v="3"/>
    <n v="296"/>
    <n v="282"/>
    <n v="234"/>
    <n v="1565.81"/>
    <n v="1020.51"/>
    <n v="77"/>
    <n v="5"/>
    <s v="2026-03-09"/>
    <n v="178"/>
    <n v="3"/>
    <n v="8"/>
    <s v="No"/>
    <x v="0"/>
    <n v="48"/>
    <n v="0.95270270270270274"/>
    <x v="0"/>
    <s v="Monitor Sales"/>
  </r>
  <r>
    <n v="509"/>
    <s v="Product_81"/>
    <x v="2"/>
    <x v="3"/>
    <n v="212"/>
    <n v="49"/>
    <n v="45"/>
    <n v="1293.83"/>
    <n v="852.93"/>
    <n v="118"/>
    <n v="7"/>
    <s v="2026-02-19"/>
    <n v="33"/>
    <n v="4"/>
    <n v="40"/>
    <s v="No"/>
    <x v="2"/>
    <n v="4"/>
    <n v="0.23113207547169812"/>
    <x v="2"/>
    <s v="Apply Discount / Promotion"/>
  </r>
  <r>
    <n v="510"/>
    <s v="Product_3"/>
    <x v="1"/>
    <x v="0"/>
    <n v="246"/>
    <n v="130"/>
    <n v="176"/>
    <n v="3776.72"/>
    <n v="2975.54"/>
    <n v="138"/>
    <n v="3"/>
    <s v="2026-03-05"/>
    <n v="198"/>
    <n v="5"/>
    <n v="5"/>
    <s v="No"/>
    <x v="2"/>
    <n v="-46"/>
    <n v="0.52845528455284552"/>
    <x v="0"/>
    <s v="Monitor Sales"/>
  </r>
  <r>
    <n v="511"/>
    <s v="Product_71"/>
    <x v="2"/>
    <x v="3"/>
    <n v="124"/>
    <n v="47"/>
    <n v="38"/>
    <n v="3486.9"/>
    <n v="2392.7600000000002"/>
    <n v="32"/>
    <n v="7"/>
    <s v="2026-01-22"/>
    <n v="123"/>
    <n v="4"/>
    <n v="22"/>
    <s v="No"/>
    <x v="1"/>
    <n v="9"/>
    <n v="0.37903225806451613"/>
    <x v="2"/>
    <s v="Apply Discount / Promotion"/>
  </r>
  <r>
    <n v="512"/>
    <s v="Product_76"/>
    <x v="3"/>
    <x v="1"/>
    <n v="122"/>
    <n v="299"/>
    <n v="287"/>
    <n v="202.53"/>
    <n v="101.64"/>
    <n v="104"/>
    <n v="14"/>
    <s v="2026-03-07"/>
    <n v="265"/>
    <n v="2"/>
    <n v="13"/>
    <s v="Yes"/>
    <x v="1"/>
    <n v="12"/>
    <n v="2.4508196721311477"/>
    <x v="1"/>
    <s v="Maintain Stock"/>
  </r>
  <r>
    <n v="513"/>
    <s v="Product_92"/>
    <x v="0"/>
    <x v="2"/>
    <n v="94"/>
    <n v="316"/>
    <n v="279"/>
    <n v="3213.51"/>
    <n v="2044.29"/>
    <n v="65"/>
    <n v="2"/>
    <s v="2026-01-27"/>
    <n v="61"/>
    <n v="1"/>
    <n v="34"/>
    <s v="Yes"/>
    <x v="1"/>
    <n v="37"/>
    <n v="3.3617021276595747"/>
    <x v="1"/>
    <s v="Maintain Stock"/>
  </r>
  <r>
    <n v="514"/>
    <s v="Product_73"/>
    <x v="4"/>
    <x v="1"/>
    <n v="455"/>
    <n v="405"/>
    <n v="381"/>
    <n v="3957.74"/>
    <n v="2744.71"/>
    <n v="133"/>
    <n v="7"/>
    <s v="2026-03-28"/>
    <n v="112"/>
    <n v="2"/>
    <n v="3"/>
    <s v="No"/>
    <x v="1"/>
    <n v="24"/>
    <n v="0.89010989010989006"/>
    <x v="0"/>
    <s v="Monitor Sales"/>
  </r>
  <r>
    <n v="515"/>
    <s v="Product_55"/>
    <x v="1"/>
    <x v="2"/>
    <n v="408"/>
    <n v="220"/>
    <n v="198"/>
    <n v="970.2"/>
    <n v="701.2"/>
    <n v="134"/>
    <n v="5"/>
    <s v="2026-01-29"/>
    <n v="42"/>
    <n v="1"/>
    <n v="9"/>
    <s v="Yes"/>
    <x v="0"/>
    <n v="22"/>
    <n v="0.53921568627450978"/>
    <x v="0"/>
    <s v="Monitor Sales"/>
  </r>
  <r>
    <n v="516"/>
    <s v="Product_87"/>
    <x v="0"/>
    <x v="0"/>
    <n v="485"/>
    <n v="414"/>
    <n v="400"/>
    <n v="3782.36"/>
    <n v="1895.98"/>
    <n v="71"/>
    <n v="9"/>
    <s v="2026-01-24"/>
    <n v="162"/>
    <n v="3"/>
    <n v="10"/>
    <s v="Yes"/>
    <x v="0"/>
    <n v="14"/>
    <n v="0.85360824742268038"/>
    <x v="0"/>
    <s v="Monitor Sales"/>
  </r>
  <r>
    <n v="517"/>
    <s v="Product_15"/>
    <x v="1"/>
    <x v="2"/>
    <n v="207"/>
    <n v="159"/>
    <n v="159"/>
    <n v="2816.01"/>
    <n v="1992.27"/>
    <n v="134"/>
    <n v="13"/>
    <s v="2026-01-30"/>
    <n v="192"/>
    <n v="5"/>
    <n v="7"/>
    <s v="Yes"/>
    <x v="1"/>
    <n v="0"/>
    <n v="0.76811594202898548"/>
    <x v="0"/>
    <s v="Monitor Sales"/>
  </r>
  <r>
    <n v="518"/>
    <s v="Product_44"/>
    <x v="0"/>
    <x v="1"/>
    <n v="297"/>
    <n v="231"/>
    <n v="278"/>
    <n v="692.78"/>
    <n v="500.93"/>
    <n v="97"/>
    <n v="14"/>
    <s v="2026-03-19"/>
    <n v="233"/>
    <n v="4"/>
    <n v="30"/>
    <s v="Yes"/>
    <x v="1"/>
    <n v="-47"/>
    <n v="0.77777777777777779"/>
    <x v="0"/>
    <s v="Monitor Sales"/>
  </r>
  <r>
    <n v="519"/>
    <s v="Product_93"/>
    <x v="0"/>
    <x v="2"/>
    <n v="106"/>
    <n v="372"/>
    <n v="356"/>
    <n v="699.44"/>
    <n v="513.75"/>
    <n v="76"/>
    <n v="13"/>
    <s v="2026-01-06"/>
    <n v="365"/>
    <n v="4"/>
    <n v="6"/>
    <s v="Yes"/>
    <x v="0"/>
    <n v="16"/>
    <n v="3.5094339622641511"/>
    <x v="1"/>
    <s v="Maintain Stock"/>
  </r>
  <r>
    <n v="520"/>
    <s v="Product_2"/>
    <x v="0"/>
    <x v="2"/>
    <n v="424"/>
    <n v="255"/>
    <n v="242"/>
    <n v="1746.42"/>
    <n v="1354.81"/>
    <n v="124"/>
    <n v="5"/>
    <s v="2026-03-14"/>
    <n v="212"/>
    <n v="4"/>
    <n v="34"/>
    <s v="No"/>
    <x v="0"/>
    <n v="13"/>
    <n v="0.60141509433962259"/>
    <x v="0"/>
    <s v="Monitor Sales"/>
  </r>
  <r>
    <n v="521"/>
    <s v="Product_34"/>
    <x v="4"/>
    <x v="1"/>
    <n v="208"/>
    <n v="238"/>
    <n v="235"/>
    <n v="4016.91"/>
    <n v="2974.57"/>
    <n v="64"/>
    <n v="15"/>
    <s v="2026-01-02"/>
    <n v="242"/>
    <n v="1"/>
    <n v="7"/>
    <s v="Yes"/>
    <x v="2"/>
    <n v="3"/>
    <n v="1.1442307692307692"/>
    <x v="1"/>
    <s v="Maintain Stock"/>
  </r>
  <r>
    <n v="522"/>
    <s v="Product_74"/>
    <x v="2"/>
    <x v="2"/>
    <n v="292"/>
    <n v="183"/>
    <n v="198"/>
    <n v="3440.7"/>
    <n v="1908.15"/>
    <n v="114"/>
    <n v="14"/>
    <s v="2026-03-18"/>
    <n v="39"/>
    <n v="4"/>
    <n v="28"/>
    <s v="No"/>
    <x v="2"/>
    <n v="-15"/>
    <n v="0.62671232876712324"/>
    <x v="0"/>
    <s v="Monitor Sales"/>
  </r>
  <r>
    <n v="523"/>
    <s v="Product_43"/>
    <x v="1"/>
    <x v="2"/>
    <n v="428"/>
    <n v="0"/>
    <n v="14"/>
    <n v="3316.19"/>
    <n v="2326.77"/>
    <n v="61"/>
    <n v="13"/>
    <s v="2026-03-14"/>
    <n v="59"/>
    <n v="3"/>
    <n v="27"/>
    <s v="Yes"/>
    <x v="1"/>
    <n v="-14"/>
    <n v="0"/>
    <x v="2"/>
    <s v="Apply Discount / Promotion"/>
  </r>
  <r>
    <n v="524"/>
    <s v="Product_86"/>
    <x v="2"/>
    <x v="2"/>
    <n v="364"/>
    <n v="141"/>
    <n v="102"/>
    <n v="2647.47"/>
    <n v="1920.64"/>
    <n v="136"/>
    <n v="6"/>
    <s v="2026-01-01"/>
    <n v="115"/>
    <n v="4"/>
    <n v="40"/>
    <s v="Yes"/>
    <x v="1"/>
    <n v="39"/>
    <n v="0.38736263736263737"/>
    <x v="2"/>
    <s v="Apply Discount / Promotion"/>
  </r>
  <r>
    <n v="525"/>
    <s v="Product_3"/>
    <x v="0"/>
    <x v="2"/>
    <n v="47"/>
    <n v="388"/>
    <n v="349"/>
    <n v="4672.2299999999996"/>
    <n v="2586.25"/>
    <n v="58"/>
    <n v="15"/>
    <s v="2026-03-02"/>
    <n v="223"/>
    <n v="5"/>
    <n v="30"/>
    <s v="No"/>
    <x v="1"/>
    <n v="39"/>
    <n v="8.2553191489361701"/>
    <x v="1"/>
    <s v="Maintain Stock"/>
  </r>
  <r>
    <n v="526"/>
    <s v="Product_29"/>
    <x v="0"/>
    <x v="1"/>
    <n v="167"/>
    <n v="183"/>
    <n v="233"/>
    <n v="4141.29"/>
    <n v="3018.16"/>
    <n v="99"/>
    <n v="8"/>
    <s v="2026-01-14"/>
    <n v="255"/>
    <n v="1"/>
    <n v="25"/>
    <s v="No"/>
    <x v="0"/>
    <n v="-50"/>
    <n v="1.095808383233533"/>
    <x v="1"/>
    <s v="Maintain Stock"/>
  </r>
  <r>
    <n v="527"/>
    <s v="Product_43"/>
    <x v="4"/>
    <x v="0"/>
    <n v="310"/>
    <n v="140"/>
    <n v="165"/>
    <n v="1333.08"/>
    <n v="864.76"/>
    <n v="36"/>
    <n v="1"/>
    <s v="2026-02-05"/>
    <n v="39"/>
    <n v="3"/>
    <n v="22"/>
    <s v="No"/>
    <x v="1"/>
    <n v="-25"/>
    <n v="0.45161290322580644"/>
    <x v="2"/>
    <s v="Apply Discount / Promotion"/>
  </r>
  <r>
    <n v="528"/>
    <s v="Product_39"/>
    <x v="1"/>
    <x v="1"/>
    <n v="233"/>
    <n v="226"/>
    <n v="250"/>
    <n v="4739.92"/>
    <n v="3037.65"/>
    <n v="88"/>
    <n v="3"/>
    <s v="2026-02-24"/>
    <n v="101"/>
    <n v="1"/>
    <n v="47"/>
    <s v="No"/>
    <x v="2"/>
    <n v="-24"/>
    <n v="0.96995708154506433"/>
    <x v="0"/>
    <s v="Monitor Sales"/>
  </r>
  <r>
    <n v="529"/>
    <s v="Product_79"/>
    <x v="0"/>
    <x v="2"/>
    <n v="275"/>
    <n v="149"/>
    <n v="184"/>
    <n v="593.24"/>
    <n v="426.26"/>
    <n v="48"/>
    <n v="1"/>
    <s v="2026-01-06"/>
    <n v="259"/>
    <n v="5"/>
    <n v="4"/>
    <s v="No"/>
    <x v="2"/>
    <n v="-35"/>
    <n v="0.54181818181818187"/>
    <x v="0"/>
    <s v="Monitor Sales"/>
  </r>
  <r>
    <n v="530"/>
    <s v="Product_70"/>
    <x v="0"/>
    <x v="0"/>
    <n v="133"/>
    <n v="283"/>
    <n v="253"/>
    <n v="3728.17"/>
    <n v="2404.27"/>
    <n v="54"/>
    <n v="6"/>
    <s v="2026-03-09"/>
    <n v="150"/>
    <n v="1"/>
    <n v="31"/>
    <s v="Yes"/>
    <x v="2"/>
    <n v="30"/>
    <n v="2.1278195488721803"/>
    <x v="1"/>
    <s v="Maintain Stock"/>
  </r>
  <r>
    <n v="531"/>
    <s v="Product_62"/>
    <x v="2"/>
    <x v="1"/>
    <n v="111"/>
    <n v="261"/>
    <n v="214"/>
    <n v="1773.74"/>
    <n v="1309.6300000000001"/>
    <n v="105"/>
    <n v="14"/>
    <s v="2026-02-06"/>
    <n v="347"/>
    <n v="1"/>
    <n v="13"/>
    <s v="No"/>
    <x v="1"/>
    <n v="47"/>
    <n v="2.3513513513513513"/>
    <x v="1"/>
    <s v="Maintain Stock"/>
  </r>
  <r>
    <n v="532"/>
    <s v="Product_100"/>
    <x v="0"/>
    <x v="0"/>
    <n v="351"/>
    <n v="214"/>
    <n v="168"/>
    <n v="3981.96"/>
    <n v="2769.57"/>
    <n v="122"/>
    <n v="14"/>
    <s v="2026-03-14"/>
    <n v="324"/>
    <n v="5"/>
    <n v="22"/>
    <s v="Yes"/>
    <x v="0"/>
    <n v="46"/>
    <n v="0.6096866096866097"/>
    <x v="0"/>
    <s v="Monitor Sales"/>
  </r>
  <r>
    <n v="533"/>
    <s v="Product_12"/>
    <x v="1"/>
    <x v="0"/>
    <n v="208"/>
    <n v="165"/>
    <n v="159"/>
    <n v="1173.49"/>
    <n v="698.01"/>
    <n v="78"/>
    <n v="1"/>
    <s v="2026-02-20"/>
    <n v="98"/>
    <n v="5"/>
    <n v="26"/>
    <s v="Yes"/>
    <x v="2"/>
    <n v="6"/>
    <n v="0.79326923076923073"/>
    <x v="0"/>
    <s v="Monitor Sales"/>
  </r>
  <r>
    <n v="534"/>
    <s v="Product_91"/>
    <x v="2"/>
    <x v="1"/>
    <n v="432"/>
    <n v="19"/>
    <n v="28"/>
    <n v="1335.53"/>
    <n v="955.35"/>
    <n v="48"/>
    <n v="14"/>
    <s v="2026-03-23"/>
    <n v="279"/>
    <n v="2"/>
    <n v="0"/>
    <s v="No"/>
    <x v="2"/>
    <n v="-9"/>
    <n v="4.3981481481481483E-2"/>
    <x v="2"/>
    <s v="Apply Discount / Promotion"/>
  </r>
  <r>
    <n v="535"/>
    <s v="Product_76"/>
    <x v="3"/>
    <x v="1"/>
    <n v="172"/>
    <n v="114"/>
    <n v="94"/>
    <n v="1301.73"/>
    <n v="1040.9000000000001"/>
    <n v="150"/>
    <n v="10"/>
    <s v="2026-01-03"/>
    <n v="75"/>
    <n v="5"/>
    <n v="35"/>
    <s v="No"/>
    <x v="1"/>
    <n v="20"/>
    <n v="0.66279069767441856"/>
    <x v="0"/>
    <s v="Monitor Sales"/>
  </r>
  <r>
    <n v="536"/>
    <s v="Product_66"/>
    <x v="3"/>
    <x v="0"/>
    <n v="447"/>
    <n v="39"/>
    <n v="33"/>
    <n v="1327.42"/>
    <n v="1024.1400000000001"/>
    <n v="102"/>
    <n v="15"/>
    <s v="2026-01-31"/>
    <n v="45"/>
    <n v="3"/>
    <n v="22"/>
    <s v="Yes"/>
    <x v="0"/>
    <n v="6"/>
    <n v="8.7248322147651006E-2"/>
    <x v="2"/>
    <s v="Apply Discount / Promotion"/>
  </r>
  <r>
    <n v="537"/>
    <s v="Product_36"/>
    <x v="2"/>
    <x v="0"/>
    <n v="104"/>
    <n v="205"/>
    <n v="245"/>
    <n v="3156.22"/>
    <n v="2407.31"/>
    <n v="141"/>
    <n v="6"/>
    <s v="2026-01-29"/>
    <n v="70"/>
    <n v="4"/>
    <n v="37"/>
    <s v="Yes"/>
    <x v="0"/>
    <n v="-40"/>
    <n v="1.9711538461538463"/>
    <x v="1"/>
    <s v="Maintain Stock"/>
  </r>
  <r>
    <n v="538"/>
    <s v="Product_97"/>
    <x v="3"/>
    <x v="1"/>
    <n v="32"/>
    <n v="168"/>
    <n v="170"/>
    <n v="3345.63"/>
    <n v="1820.37"/>
    <n v="96"/>
    <n v="6"/>
    <s v="2026-02-11"/>
    <n v="56"/>
    <n v="2"/>
    <n v="3"/>
    <s v="No"/>
    <x v="2"/>
    <n v="-2"/>
    <n v="5.25"/>
    <x v="1"/>
    <s v="Maintain Stock"/>
  </r>
  <r>
    <n v="539"/>
    <s v="Product_56"/>
    <x v="0"/>
    <x v="3"/>
    <n v="327"/>
    <n v="355"/>
    <n v="388"/>
    <n v="3655.48"/>
    <n v="1872.13"/>
    <n v="50"/>
    <n v="12"/>
    <s v="2026-01-12"/>
    <n v="335"/>
    <n v="2"/>
    <n v="17"/>
    <s v="Yes"/>
    <x v="1"/>
    <n v="-33"/>
    <n v="1.0856269113149848"/>
    <x v="1"/>
    <s v="Maintain Stock"/>
  </r>
  <r>
    <n v="540"/>
    <s v="Product_68"/>
    <x v="1"/>
    <x v="2"/>
    <n v="441"/>
    <n v="308"/>
    <n v="347"/>
    <n v="3861.44"/>
    <n v="3061.16"/>
    <n v="123"/>
    <n v="4"/>
    <s v="2026-01-15"/>
    <n v="132"/>
    <n v="1"/>
    <n v="29"/>
    <s v="Yes"/>
    <x v="0"/>
    <n v="-39"/>
    <n v="0.69841269841269837"/>
    <x v="0"/>
    <s v="Monitor Sales"/>
  </r>
  <r>
    <n v="541"/>
    <s v="Product_67"/>
    <x v="2"/>
    <x v="2"/>
    <n v="111"/>
    <n v="246"/>
    <n v="208"/>
    <n v="2442.5700000000002"/>
    <n v="1406.9"/>
    <n v="76"/>
    <n v="1"/>
    <s v="2026-01-30"/>
    <n v="50"/>
    <n v="5"/>
    <n v="17"/>
    <s v="No"/>
    <x v="1"/>
    <n v="38"/>
    <n v="2.2162162162162162"/>
    <x v="1"/>
    <s v="Maintain Stock"/>
  </r>
  <r>
    <n v="542"/>
    <s v="Product_16"/>
    <x v="1"/>
    <x v="3"/>
    <n v="243"/>
    <n v="228"/>
    <n v="197"/>
    <n v="3027.05"/>
    <n v="1786.41"/>
    <n v="81"/>
    <n v="6"/>
    <s v="2026-02-21"/>
    <n v="237"/>
    <n v="1"/>
    <n v="14"/>
    <s v="No"/>
    <x v="0"/>
    <n v="31"/>
    <n v="0.93827160493827155"/>
    <x v="0"/>
    <s v="Monitor Sales"/>
  </r>
  <r>
    <n v="543"/>
    <s v="Product_13"/>
    <x v="0"/>
    <x v="0"/>
    <n v="57"/>
    <n v="186"/>
    <n v="224"/>
    <n v="1566.74"/>
    <n v="883.8"/>
    <n v="100"/>
    <n v="1"/>
    <s v="2026-01-23"/>
    <n v="156"/>
    <n v="3"/>
    <n v="8"/>
    <s v="No"/>
    <x v="2"/>
    <n v="-38"/>
    <n v="3.263157894736842"/>
    <x v="1"/>
    <s v="Maintain Stock"/>
  </r>
  <r>
    <n v="544"/>
    <s v="Product_14"/>
    <x v="2"/>
    <x v="0"/>
    <n v="57"/>
    <n v="375"/>
    <n v="354"/>
    <n v="4177.3599999999997"/>
    <n v="2093.94"/>
    <n v="114"/>
    <n v="14"/>
    <s v="2026-03-03"/>
    <n v="68"/>
    <n v="5"/>
    <n v="21"/>
    <s v="No"/>
    <x v="1"/>
    <n v="21"/>
    <n v="6.5789473684210522"/>
    <x v="1"/>
    <s v="Maintain Stock"/>
  </r>
  <r>
    <n v="545"/>
    <s v="Product_21"/>
    <x v="0"/>
    <x v="3"/>
    <n v="231"/>
    <n v="221"/>
    <n v="266"/>
    <n v="482.37"/>
    <n v="260.48"/>
    <n v="108"/>
    <n v="5"/>
    <s v="2026-03-28"/>
    <n v="216"/>
    <n v="3"/>
    <n v="16"/>
    <s v="Yes"/>
    <x v="0"/>
    <n v="-45"/>
    <n v="0.95670995670995673"/>
    <x v="0"/>
    <s v="Monitor Sales"/>
  </r>
  <r>
    <n v="546"/>
    <s v="Product_44"/>
    <x v="0"/>
    <x v="0"/>
    <n v="225"/>
    <n v="267"/>
    <n v="261"/>
    <n v="2438.29"/>
    <n v="1556.36"/>
    <n v="51"/>
    <n v="9"/>
    <s v="2026-03-27"/>
    <n v="46"/>
    <n v="3"/>
    <n v="39"/>
    <s v="Yes"/>
    <x v="2"/>
    <n v="6"/>
    <n v="1.1866666666666668"/>
    <x v="1"/>
    <s v="Maintain Stock"/>
  </r>
  <r>
    <n v="547"/>
    <s v="Product_89"/>
    <x v="1"/>
    <x v="2"/>
    <n v="118"/>
    <n v="13"/>
    <n v="40"/>
    <n v="1827.16"/>
    <n v="1007.51"/>
    <n v="59"/>
    <n v="7"/>
    <s v="2026-01-20"/>
    <n v="228"/>
    <n v="2"/>
    <n v="34"/>
    <s v="No"/>
    <x v="2"/>
    <n v="-27"/>
    <n v="0.11016949152542373"/>
    <x v="2"/>
    <s v="Apply Discount / Promotion"/>
  </r>
  <r>
    <n v="548"/>
    <s v="Product_68"/>
    <x v="0"/>
    <x v="2"/>
    <n v="304"/>
    <n v="164"/>
    <n v="192"/>
    <n v="4200.1000000000004"/>
    <n v="3034.15"/>
    <n v="75"/>
    <n v="8"/>
    <s v="2026-01-30"/>
    <n v="311"/>
    <n v="1"/>
    <n v="12"/>
    <s v="No"/>
    <x v="2"/>
    <n v="-28"/>
    <n v="0.53947368421052633"/>
    <x v="0"/>
    <s v="Monitor Sales"/>
  </r>
  <r>
    <n v="549"/>
    <s v="Product_100"/>
    <x v="3"/>
    <x v="0"/>
    <n v="413"/>
    <n v="343"/>
    <n v="301"/>
    <n v="2691.36"/>
    <n v="1401.21"/>
    <n v="42"/>
    <n v="7"/>
    <s v="2026-01-21"/>
    <n v="239"/>
    <n v="4"/>
    <n v="23"/>
    <s v="No"/>
    <x v="1"/>
    <n v="42"/>
    <n v="0.83050847457627119"/>
    <x v="0"/>
    <s v="Monitor Sales"/>
  </r>
  <r>
    <n v="550"/>
    <s v="Product_39"/>
    <x v="2"/>
    <x v="3"/>
    <n v="63"/>
    <n v="103"/>
    <n v="140"/>
    <n v="4379.22"/>
    <n v="2759.35"/>
    <n v="46"/>
    <n v="2"/>
    <s v="2026-01-03"/>
    <n v="162"/>
    <n v="2"/>
    <n v="6"/>
    <s v="No"/>
    <x v="2"/>
    <n v="-37"/>
    <n v="1.6349206349206349"/>
    <x v="1"/>
    <s v="Maintain Stock"/>
  </r>
  <r>
    <n v="551"/>
    <s v="Product_20"/>
    <x v="1"/>
    <x v="1"/>
    <n v="347"/>
    <n v="197"/>
    <n v="165"/>
    <n v="2933.09"/>
    <n v="2047.36"/>
    <n v="77"/>
    <n v="11"/>
    <s v="2026-01-29"/>
    <n v="101"/>
    <n v="1"/>
    <n v="14"/>
    <s v="No"/>
    <x v="2"/>
    <n v="32"/>
    <n v="0.56772334293948123"/>
    <x v="0"/>
    <s v="Monitor Sales"/>
  </r>
  <r>
    <n v="552"/>
    <s v="Product_60"/>
    <x v="2"/>
    <x v="3"/>
    <n v="64"/>
    <n v="254"/>
    <n v="207"/>
    <n v="575.24"/>
    <n v="389.51"/>
    <n v="148"/>
    <n v="14"/>
    <s v="2025-12-30"/>
    <n v="172"/>
    <n v="1"/>
    <n v="43"/>
    <s v="No"/>
    <x v="0"/>
    <n v="47"/>
    <n v="3.96875"/>
    <x v="1"/>
    <s v="Maintain Stock"/>
  </r>
  <r>
    <n v="553"/>
    <s v="Product_4"/>
    <x v="1"/>
    <x v="2"/>
    <n v="436"/>
    <n v="344"/>
    <n v="295"/>
    <n v="1067.6400000000001"/>
    <n v="615.9"/>
    <n v="78"/>
    <n v="3"/>
    <s v="2026-03-07"/>
    <n v="100"/>
    <n v="5"/>
    <n v="44"/>
    <s v="Yes"/>
    <x v="2"/>
    <n v="49"/>
    <n v="0.78899082568807344"/>
    <x v="0"/>
    <s v="Monitor Sales"/>
  </r>
  <r>
    <n v="554"/>
    <s v="Product_48"/>
    <x v="3"/>
    <x v="0"/>
    <n v="209"/>
    <n v="290"/>
    <n v="262"/>
    <n v="1422.99"/>
    <n v="779.62"/>
    <n v="38"/>
    <n v="9"/>
    <s v="2026-03-28"/>
    <n v="196"/>
    <n v="5"/>
    <n v="0"/>
    <s v="Yes"/>
    <x v="0"/>
    <n v="28"/>
    <n v="1.3875598086124401"/>
    <x v="1"/>
    <s v="Maintain Stock"/>
  </r>
  <r>
    <n v="555"/>
    <s v="Product_43"/>
    <x v="2"/>
    <x v="1"/>
    <n v="412"/>
    <n v="142"/>
    <n v="150"/>
    <n v="481.86"/>
    <n v="325.47000000000003"/>
    <n v="111"/>
    <n v="7"/>
    <s v="2025-12-31"/>
    <n v="46"/>
    <n v="4"/>
    <n v="23"/>
    <s v="No"/>
    <x v="1"/>
    <n v="-8"/>
    <n v="0.3446601941747573"/>
    <x v="2"/>
    <s v="Apply Discount / Promotion"/>
  </r>
  <r>
    <n v="556"/>
    <s v="Product_81"/>
    <x v="2"/>
    <x v="0"/>
    <n v="74"/>
    <n v="336"/>
    <n v="372"/>
    <n v="2078.54"/>
    <n v="1377"/>
    <n v="74"/>
    <n v="11"/>
    <s v="2026-01-16"/>
    <n v="33"/>
    <n v="3"/>
    <n v="49"/>
    <s v="Yes"/>
    <x v="0"/>
    <n v="-36"/>
    <n v="4.5405405405405403"/>
    <x v="1"/>
    <s v="Maintain Stock"/>
  </r>
  <r>
    <n v="557"/>
    <s v="Product_47"/>
    <x v="1"/>
    <x v="3"/>
    <n v="255"/>
    <n v="281"/>
    <n v="235"/>
    <n v="1898.17"/>
    <n v="1235.57"/>
    <n v="143"/>
    <n v="13"/>
    <s v="2026-03-07"/>
    <n v="300"/>
    <n v="2"/>
    <n v="2"/>
    <s v="Yes"/>
    <x v="0"/>
    <n v="46"/>
    <n v="1.1019607843137256"/>
    <x v="1"/>
    <s v="Maintain Stock"/>
  </r>
  <r>
    <n v="558"/>
    <s v="Product_7"/>
    <x v="3"/>
    <x v="0"/>
    <n v="488"/>
    <n v="78"/>
    <n v="39"/>
    <n v="3011.06"/>
    <n v="1898.75"/>
    <n v="88"/>
    <n v="3"/>
    <s v="2026-03-02"/>
    <n v="69"/>
    <n v="4"/>
    <n v="18"/>
    <s v="No"/>
    <x v="0"/>
    <n v="39"/>
    <n v="0.1598360655737705"/>
    <x v="2"/>
    <s v="Apply Discount / Promotion"/>
  </r>
  <r>
    <n v="559"/>
    <s v="Product_79"/>
    <x v="0"/>
    <x v="3"/>
    <n v="116"/>
    <n v="188"/>
    <n v="215"/>
    <n v="498.83"/>
    <n v="382.12"/>
    <n v="33"/>
    <n v="6"/>
    <s v="2026-01-20"/>
    <n v="234"/>
    <n v="2"/>
    <n v="49"/>
    <s v="No"/>
    <x v="2"/>
    <n v="-27"/>
    <n v="1.6206896551724137"/>
    <x v="1"/>
    <s v="Maintain Stock"/>
  </r>
  <r>
    <n v="560"/>
    <s v="Product_32"/>
    <x v="3"/>
    <x v="2"/>
    <n v="293"/>
    <n v="218"/>
    <n v="223"/>
    <n v="1435.4"/>
    <n v="1017.85"/>
    <n v="40"/>
    <n v="13"/>
    <s v="2026-01-25"/>
    <n v="154"/>
    <n v="5"/>
    <n v="2"/>
    <s v="No"/>
    <x v="0"/>
    <n v="-5"/>
    <n v="0.74402730375426618"/>
    <x v="0"/>
    <s v="Monitor Sales"/>
  </r>
  <r>
    <n v="561"/>
    <s v="Product_93"/>
    <x v="1"/>
    <x v="3"/>
    <n v="414"/>
    <n v="351"/>
    <n v="302"/>
    <n v="4670.74"/>
    <n v="3006.51"/>
    <n v="101"/>
    <n v="3"/>
    <s v="2026-01-15"/>
    <n v="73"/>
    <n v="5"/>
    <n v="23"/>
    <s v="Yes"/>
    <x v="2"/>
    <n v="49"/>
    <n v="0.84782608695652173"/>
    <x v="0"/>
    <s v="Monitor Sales"/>
  </r>
  <r>
    <n v="562"/>
    <s v="Product_83"/>
    <x v="2"/>
    <x v="2"/>
    <n v="293"/>
    <n v="248"/>
    <n v="255"/>
    <n v="971.15"/>
    <n v="760.82"/>
    <n v="83"/>
    <n v="3"/>
    <s v="2026-02-09"/>
    <n v="278"/>
    <n v="4"/>
    <n v="47"/>
    <s v="No"/>
    <x v="1"/>
    <n v="-7"/>
    <n v="0.84641638225255977"/>
    <x v="0"/>
    <s v="Monitor Sales"/>
  </r>
  <r>
    <n v="563"/>
    <s v="Product_77"/>
    <x v="0"/>
    <x v="1"/>
    <n v="47"/>
    <n v="240"/>
    <n v="278"/>
    <n v="1551.58"/>
    <n v="959.49"/>
    <n v="60"/>
    <n v="2"/>
    <s v="2026-01-18"/>
    <n v="313"/>
    <n v="3"/>
    <n v="12"/>
    <s v="No"/>
    <x v="2"/>
    <n v="-38"/>
    <n v="5.1063829787234045"/>
    <x v="1"/>
    <s v="Maintain Stock"/>
  </r>
  <r>
    <n v="564"/>
    <s v="Product_16"/>
    <x v="2"/>
    <x v="3"/>
    <n v="425"/>
    <n v="148"/>
    <n v="115"/>
    <n v="3109.64"/>
    <n v="1874.97"/>
    <n v="79"/>
    <n v="13"/>
    <s v="2026-03-15"/>
    <n v="253"/>
    <n v="2"/>
    <n v="44"/>
    <s v="No"/>
    <x v="0"/>
    <n v="33"/>
    <n v="0.34823529411764703"/>
    <x v="2"/>
    <s v="Apply Discount / Promotion"/>
  </r>
  <r>
    <n v="565"/>
    <s v="Product_81"/>
    <x v="4"/>
    <x v="2"/>
    <n v="282"/>
    <n v="44"/>
    <n v="79"/>
    <n v="3463.35"/>
    <n v="2689.02"/>
    <n v="134"/>
    <n v="1"/>
    <s v="2025-12-30"/>
    <n v="218"/>
    <n v="3"/>
    <n v="38"/>
    <s v="No"/>
    <x v="0"/>
    <n v="-35"/>
    <n v="0.15602836879432624"/>
    <x v="2"/>
    <s v="Apply Discount / Promotion"/>
  </r>
  <r>
    <n v="566"/>
    <s v="Product_33"/>
    <x v="4"/>
    <x v="3"/>
    <n v="299"/>
    <n v="384"/>
    <n v="343"/>
    <n v="1819.95"/>
    <n v="1122.98"/>
    <n v="124"/>
    <n v="10"/>
    <s v="2026-02-06"/>
    <n v="108"/>
    <n v="1"/>
    <n v="3"/>
    <s v="Yes"/>
    <x v="2"/>
    <n v="41"/>
    <n v="1.2842809364548495"/>
    <x v="1"/>
    <s v="Maintain Stock"/>
  </r>
  <r>
    <n v="567"/>
    <s v="Product_44"/>
    <x v="1"/>
    <x v="1"/>
    <n v="95"/>
    <n v="230"/>
    <n v="180"/>
    <n v="3310.11"/>
    <n v="2019.23"/>
    <n v="33"/>
    <n v="4"/>
    <s v="2026-02-04"/>
    <n v="109"/>
    <n v="1"/>
    <n v="44"/>
    <s v="Yes"/>
    <x v="1"/>
    <n v="50"/>
    <n v="2.4210526315789473"/>
    <x v="1"/>
    <s v="Maintain Stock"/>
  </r>
  <r>
    <n v="568"/>
    <s v="Product_21"/>
    <x v="1"/>
    <x v="3"/>
    <n v="470"/>
    <n v="196"/>
    <n v="156"/>
    <n v="2772.04"/>
    <n v="2085.09"/>
    <n v="35"/>
    <n v="6"/>
    <s v="2026-03-16"/>
    <n v="222"/>
    <n v="1"/>
    <n v="41"/>
    <s v="No"/>
    <x v="1"/>
    <n v="40"/>
    <n v="0.41702127659574467"/>
    <x v="2"/>
    <s v="Apply Discount / Promotion"/>
  </r>
  <r>
    <n v="569"/>
    <s v="Product_13"/>
    <x v="2"/>
    <x v="2"/>
    <n v="197"/>
    <n v="393"/>
    <n v="377"/>
    <n v="1032.5899999999999"/>
    <n v="618.22"/>
    <n v="100"/>
    <n v="9"/>
    <s v="2026-03-08"/>
    <n v="224"/>
    <n v="5"/>
    <n v="21"/>
    <s v="No"/>
    <x v="2"/>
    <n v="16"/>
    <n v="1.9949238578680204"/>
    <x v="1"/>
    <s v="Maintain Stock"/>
  </r>
  <r>
    <n v="570"/>
    <s v="Product_31"/>
    <x v="0"/>
    <x v="3"/>
    <n v="422"/>
    <n v="156"/>
    <n v="201"/>
    <n v="3714.69"/>
    <n v="1924.06"/>
    <n v="121"/>
    <n v="8"/>
    <s v="2026-01-26"/>
    <n v="199"/>
    <n v="3"/>
    <n v="27"/>
    <s v="No"/>
    <x v="0"/>
    <n v="-45"/>
    <n v="0.36966824644549762"/>
    <x v="2"/>
    <s v="Apply Discount / Promotion"/>
  </r>
  <r>
    <n v="571"/>
    <s v="Product_68"/>
    <x v="0"/>
    <x v="0"/>
    <n v="194"/>
    <n v="232"/>
    <n v="277"/>
    <n v="1122.55"/>
    <n v="701.81"/>
    <n v="96"/>
    <n v="11"/>
    <s v="2026-03-16"/>
    <n v="125"/>
    <n v="1"/>
    <n v="38"/>
    <s v="No"/>
    <x v="0"/>
    <n v="-45"/>
    <n v="1.1958762886597938"/>
    <x v="1"/>
    <s v="Maintain Stock"/>
  </r>
  <r>
    <n v="572"/>
    <s v="Product_26"/>
    <x v="1"/>
    <x v="3"/>
    <n v="262"/>
    <n v="351"/>
    <n v="392"/>
    <n v="3722.84"/>
    <n v="2092.08"/>
    <n v="37"/>
    <n v="9"/>
    <s v="2026-01-07"/>
    <n v="325"/>
    <n v="5"/>
    <n v="0"/>
    <s v="Yes"/>
    <x v="0"/>
    <n v="-41"/>
    <n v="1.3396946564885497"/>
    <x v="1"/>
    <s v="Maintain Stock"/>
  </r>
  <r>
    <n v="573"/>
    <s v="Product_95"/>
    <x v="0"/>
    <x v="1"/>
    <n v="403"/>
    <n v="108"/>
    <n v="77"/>
    <n v="1010.97"/>
    <n v="788.31"/>
    <n v="65"/>
    <n v="14"/>
    <s v="2026-01-23"/>
    <n v="77"/>
    <n v="1"/>
    <n v="18"/>
    <s v="No"/>
    <x v="2"/>
    <n v="31"/>
    <n v="0.26799007444168732"/>
    <x v="2"/>
    <s v="Apply Discount / Promotion"/>
  </r>
  <r>
    <n v="574"/>
    <s v="Product_74"/>
    <x v="1"/>
    <x v="1"/>
    <n v="93"/>
    <n v="195"/>
    <n v="208"/>
    <n v="1755.17"/>
    <n v="1091.78"/>
    <n v="79"/>
    <n v="13"/>
    <s v="2026-03-05"/>
    <n v="272"/>
    <n v="1"/>
    <n v="38"/>
    <s v="Yes"/>
    <x v="1"/>
    <n v="-13"/>
    <n v="2.096774193548387"/>
    <x v="1"/>
    <s v="Maintain Stock"/>
  </r>
  <r>
    <n v="575"/>
    <s v="Product_87"/>
    <x v="4"/>
    <x v="0"/>
    <n v="472"/>
    <n v="304"/>
    <n v="294"/>
    <n v="4472.9799999999996"/>
    <n v="3152.52"/>
    <n v="140"/>
    <n v="8"/>
    <s v="2026-01-29"/>
    <n v="39"/>
    <n v="2"/>
    <n v="27"/>
    <s v="Yes"/>
    <x v="2"/>
    <n v="10"/>
    <n v="0.64406779661016944"/>
    <x v="0"/>
    <s v="Monitor Sales"/>
  </r>
  <r>
    <n v="576"/>
    <s v="Product_5"/>
    <x v="4"/>
    <x v="3"/>
    <n v="493"/>
    <n v="290"/>
    <n v="324"/>
    <n v="1128.3"/>
    <n v="781.7"/>
    <n v="149"/>
    <n v="7"/>
    <s v="2026-01-19"/>
    <n v="85"/>
    <n v="4"/>
    <n v="49"/>
    <s v="Yes"/>
    <x v="0"/>
    <n v="-34"/>
    <n v="0.58823529411764708"/>
    <x v="0"/>
    <s v="Monitor Sales"/>
  </r>
  <r>
    <n v="577"/>
    <s v="Product_89"/>
    <x v="4"/>
    <x v="1"/>
    <n v="386"/>
    <n v="232"/>
    <n v="184"/>
    <n v="985.11"/>
    <n v="521.66999999999996"/>
    <n v="95"/>
    <n v="10"/>
    <s v="2026-01-21"/>
    <n v="294"/>
    <n v="4"/>
    <n v="21"/>
    <s v="Yes"/>
    <x v="1"/>
    <n v="48"/>
    <n v="0.60103626943005184"/>
    <x v="0"/>
    <s v="Monitor Sales"/>
  </r>
  <r>
    <n v="578"/>
    <s v="Product_50"/>
    <x v="2"/>
    <x v="2"/>
    <n v="371"/>
    <n v="403"/>
    <n v="384"/>
    <n v="2377.56"/>
    <n v="1444.42"/>
    <n v="65"/>
    <n v="11"/>
    <s v="2026-01-22"/>
    <n v="305"/>
    <n v="5"/>
    <n v="9"/>
    <s v="Yes"/>
    <x v="2"/>
    <n v="19"/>
    <n v="1.0862533692722371"/>
    <x v="1"/>
    <s v="Maintain Stock"/>
  </r>
  <r>
    <n v="579"/>
    <s v="Product_60"/>
    <x v="1"/>
    <x v="3"/>
    <n v="229"/>
    <n v="114"/>
    <n v="116"/>
    <n v="1620.14"/>
    <n v="1171.3599999999999"/>
    <n v="61"/>
    <n v="4"/>
    <s v="2026-03-10"/>
    <n v="310"/>
    <n v="5"/>
    <n v="7"/>
    <s v="No"/>
    <x v="1"/>
    <n v="-2"/>
    <n v="0.49781659388646288"/>
    <x v="2"/>
    <s v="Apply Discount / Promotion"/>
  </r>
  <r>
    <n v="580"/>
    <s v="Product_65"/>
    <x v="0"/>
    <x v="3"/>
    <n v="137"/>
    <n v="251"/>
    <n v="219"/>
    <n v="2607.44"/>
    <n v="2054.2800000000002"/>
    <n v="82"/>
    <n v="13"/>
    <s v="2026-03-01"/>
    <n v="365"/>
    <n v="2"/>
    <n v="4"/>
    <s v="No"/>
    <x v="2"/>
    <n v="32"/>
    <n v="1.832116788321168"/>
    <x v="1"/>
    <s v="Maintain Stock"/>
  </r>
  <r>
    <n v="581"/>
    <s v="Product_4"/>
    <x v="4"/>
    <x v="2"/>
    <n v="335"/>
    <n v="92"/>
    <n v="134"/>
    <n v="3041.64"/>
    <n v="2379.15"/>
    <n v="32"/>
    <n v="7"/>
    <s v="2026-01-29"/>
    <n v="67"/>
    <n v="1"/>
    <n v="18"/>
    <s v="Yes"/>
    <x v="0"/>
    <n v="-42"/>
    <n v="0.2746268656716418"/>
    <x v="2"/>
    <s v="Apply Discount / Promotion"/>
  </r>
  <r>
    <n v="582"/>
    <s v="Product_60"/>
    <x v="0"/>
    <x v="2"/>
    <n v="273"/>
    <n v="64"/>
    <n v="19"/>
    <n v="1539.48"/>
    <n v="795.39"/>
    <n v="81"/>
    <n v="4"/>
    <s v="2026-02-26"/>
    <n v="218"/>
    <n v="1"/>
    <n v="36"/>
    <s v="No"/>
    <x v="2"/>
    <n v="45"/>
    <n v="0.23443223443223443"/>
    <x v="2"/>
    <s v="Apply Discount / Promotion"/>
  </r>
  <r>
    <n v="583"/>
    <s v="Product_29"/>
    <x v="1"/>
    <x v="2"/>
    <n v="249"/>
    <n v="427"/>
    <n v="395"/>
    <n v="1049.55"/>
    <n v="709.67"/>
    <n v="68"/>
    <n v="9"/>
    <s v="2026-02-08"/>
    <n v="80"/>
    <n v="2"/>
    <n v="22"/>
    <s v="Yes"/>
    <x v="2"/>
    <n v="32"/>
    <n v="1.714859437751004"/>
    <x v="1"/>
    <s v="Maintain Stock"/>
  </r>
  <r>
    <n v="584"/>
    <s v="Product_75"/>
    <x v="2"/>
    <x v="2"/>
    <n v="68"/>
    <n v="304"/>
    <n v="275"/>
    <n v="1633.89"/>
    <n v="877.51"/>
    <n v="132"/>
    <n v="13"/>
    <s v="2026-02-20"/>
    <n v="285"/>
    <n v="3"/>
    <n v="45"/>
    <s v="Yes"/>
    <x v="2"/>
    <n v="29"/>
    <n v="4.4705882352941178"/>
    <x v="1"/>
    <s v="Maintain Stock"/>
  </r>
  <r>
    <n v="585"/>
    <s v="Product_50"/>
    <x v="0"/>
    <x v="2"/>
    <n v="431"/>
    <n v="235"/>
    <n v="218"/>
    <n v="1596.38"/>
    <n v="896.44"/>
    <n v="34"/>
    <n v="11"/>
    <s v="2026-03-09"/>
    <n v="335"/>
    <n v="5"/>
    <n v="11"/>
    <s v="Yes"/>
    <x v="2"/>
    <n v="17"/>
    <n v="0.54524361948955913"/>
    <x v="0"/>
    <s v="Monitor Sales"/>
  </r>
  <r>
    <n v="586"/>
    <s v="Product_98"/>
    <x v="1"/>
    <x v="2"/>
    <n v="196"/>
    <n v="361"/>
    <n v="349"/>
    <n v="705.36"/>
    <n v="440.61"/>
    <n v="126"/>
    <n v="1"/>
    <s v="2026-02-03"/>
    <n v="343"/>
    <n v="1"/>
    <n v="12"/>
    <s v="No"/>
    <x v="0"/>
    <n v="12"/>
    <n v="1.8418367346938775"/>
    <x v="1"/>
    <s v="Maintain Stock"/>
  </r>
  <r>
    <n v="587"/>
    <s v="Product_72"/>
    <x v="1"/>
    <x v="2"/>
    <n v="336"/>
    <n v="80"/>
    <n v="68"/>
    <n v="413.84"/>
    <n v="315.5"/>
    <n v="38"/>
    <n v="14"/>
    <s v="2026-01-14"/>
    <n v="233"/>
    <n v="5"/>
    <n v="31"/>
    <s v="Yes"/>
    <x v="0"/>
    <n v="12"/>
    <n v="0.23809523809523808"/>
    <x v="2"/>
    <s v="Apply Discount / Promotion"/>
  </r>
  <r>
    <n v="588"/>
    <s v="Product_70"/>
    <x v="0"/>
    <x v="0"/>
    <n v="89"/>
    <n v="204"/>
    <n v="173"/>
    <n v="2608.29"/>
    <n v="2077.6"/>
    <n v="41"/>
    <n v="4"/>
    <s v="2026-02-08"/>
    <n v="68"/>
    <n v="3"/>
    <n v="8"/>
    <s v="No"/>
    <x v="2"/>
    <n v="31"/>
    <n v="2.292134831460674"/>
    <x v="1"/>
    <s v="Maintain Stock"/>
  </r>
  <r>
    <n v="589"/>
    <s v="Product_57"/>
    <x v="0"/>
    <x v="2"/>
    <n v="196"/>
    <n v="101"/>
    <n v="109"/>
    <n v="1997.22"/>
    <n v="1522.67"/>
    <n v="54"/>
    <n v="13"/>
    <s v="2026-03-16"/>
    <n v="241"/>
    <n v="4"/>
    <n v="21"/>
    <s v="Yes"/>
    <x v="0"/>
    <n v="-8"/>
    <n v="0.51530612244897955"/>
    <x v="0"/>
    <s v="Monitor Sales"/>
  </r>
  <r>
    <n v="590"/>
    <s v="Product_32"/>
    <x v="0"/>
    <x v="0"/>
    <n v="111"/>
    <n v="220"/>
    <n v="250"/>
    <n v="4435.3599999999997"/>
    <n v="3209.14"/>
    <n v="127"/>
    <n v="7"/>
    <s v="2026-03-28"/>
    <n v="299"/>
    <n v="1"/>
    <n v="24"/>
    <s v="Yes"/>
    <x v="2"/>
    <n v="-30"/>
    <n v="1.9819819819819819"/>
    <x v="1"/>
    <s v="Maintain Stock"/>
  </r>
  <r>
    <n v="591"/>
    <s v="Product_91"/>
    <x v="1"/>
    <x v="1"/>
    <n v="61"/>
    <n v="386"/>
    <n v="399"/>
    <n v="2787.06"/>
    <n v="1633.81"/>
    <n v="108"/>
    <n v="3"/>
    <s v="2026-02-09"/>
    <n v="247"/>
    <n v="3"/>
    <n v="37"/>
    <s v="No"/>
    <x v="2"/>
    <n v="-13"/>
    <n v="6.3278688524590168"/>
    <x v="1"/>
    <s v="Maintain Stock"/>
  </r>
  <r>
    <n v="592"/>
    <s v="Product_6"/>
    <x v="2"/>
    <x v="2"/>
    <n v="235"/>
    <n v="191"/>
    <n v="173"/>
    <n v="1654.56"/>
    <n v="1297.33"/>
    <n v="64"/>
    <n v="1"/>
    <s v="2026-03-10"/>
    <n v="276"/>
    <n v="1"/>
    <n v="22"/>
    <s v="No"/>
    <x v="2"/>
    <n v="18"/>
    <n v="0.81276595744680846"/>
    <x v="0"/>
    <s v="Monitor Sales"/>
  </r>
  <r>
    <n v="593"/>
    <s v="Product_65"/>
    <x v="4"/>
    <x v="2"/>
    <n v="473"/>
    <n v="90"/>
    <n v="100"/>
    <n v="4742.8500000000004"/>
    <n v="3337.43"/>
    <n v="66"/>
    <n v="10"/>
    <s v="2026-01-13"/>
    <n v="49"/>
    <n v="5"/>
    <n v="45"/>
    <s v="No"/>
    <x v="2"/>
    <n v="-10"/>
    <n v="0.19027484143763213"/>
    <x v="2"/>
    <s v="Apply Discount / Promotion"/>
  </r>
  <r>
    <n v="594"/>
    <s v="Product_76"/>
    <x v="1"/>
    <x v="2"/>
    <n v="344"/>
    <n v="155"/>
    <n v="192"/>
    <n v="2972.27"/>
    <n v="2155.69"/>
    <n v="109"/>
    <n v="12"/>
    <s v="2026-03-25"/>
    <n v="269"/>
    <n v="5"/>
    <n v="27"/>
    <s v="No"/>
    <x v="0"/>
    <n v="-37"/>
    <n v="0.45058139534883723"/>
    <x v="2"/>
    <s v="Apply Discount / Promotion"/>
  </r>
  <r>
    <n v="595"/>
    <s v="Product_93"/>
    <x v="2"/>
    <x v="3"/>
    <n v="362"/>
    <n v="316"/>
    <n v="286"/>
    <n v="378.61"/>
    <n v="249.42"/>
    <n v="51"/>
    <n v="8"/>
    <s v="2026-01-08"/>
    <n v="355"/>
    <n v="3"/>
    <n v="13"/>
    <s v="No"/>
    <x v="2"/>
    <n v="30"/>
    <n v="0.8729281767955801"/>
    <x v="0"/>
    <s v="Monitor Sales"/>
  </r>
  <r>
    <n v="596"/>
    <s v="Product_21"/>
    <x v="0"/>
    <x v="3"/>
    <n v="313"/>
    <n v="248"/>
    <n v="251"/>
    <n v="2797.63"/>
    <n v="2051.65"/>
    <n v="91"/>
    <n v="13"/>
    <s v="2026-02-10"/>
    <n v="347"/>
    <n v="2"/>
    <n v="40"/>
    <s v="No"/>
    <x v="0"/>
    <n v="-3"/>
    <n v="0.792332268370607"/>
    <x v="0"/>
    <s v="Monitor Sales"/>
  </r>
  <r>
    <n v="597"/>
    <s v="Product_96"/>
    <x v="0"/>
    <x v="1"/>
    <n v="102"/>
    <n v="51"/>
    <n v="72"/>
    <n v="4116.71"/>
    <n v="2655.63"/>
    <n v="126"/>
    <n v="8"/>
    <s v="2026-03-11"/>
    <n v="290"/>
    <n v="5"/>
    <n v="19"/>
    <s v="Yes"/>
    <x v="1"/>
    <n v="-21"/>
    <n v="0.5"/>
    <x v="0"/>
    <s v="Monitor Sales"/>
  </r>
  <r>
    <n v="598"/>
    <s v="Product_21"/>
    <x v="3"/>
    <x v="2"/>
    <n v="121"/>
    <n v="279"/>
    <n v="271"/>
    <n v="451.46"/>
    <n v="354.02"/>
    <n v="99"/>
    <n v="8"/>
    <s v="2026-02-06"/>
    <n v="290"/>
    <n v="1"/>
    <n v="12"/>
    <s v="No"/>
    <x v="1"/>
    <n v="8"/>
    <n v="2.3057851239669422"/>
    <x v="1"/>
    <s v="Maintain Stock"/>
  </r>
  <r>
    <n v="599"/>
    <s v="Product_78"/>
    <x v="3"/>
    <x v="3"/>
    <n v="126"/>
    <n v="21"/>
    <n v="10"/>
    <n v="4656.6400000000003"/>
    <n v="2727.55"/>
    <n v="83"/>
    <n v="10"/>
    <s v="2026-01-09"/>
    <n v="205"/>
    <n v="5"/>
    <n v="41"/>
    <s v="No"/>
    <x v="2"/>
    <n v="11"/>
    <n v="0.16666666666666666"/>
    <x v="2"/>
    <s v="Apply Discount / Promotion"/>
  </r>
  <r>
    <n v="600"/>
    <s v="Product_87"/>
    <x v="2"/>
    <x v="2"/>
    <n v="445"/>
    <n v="360"/>
    <n v="352"/>
    <n v="211.04"/>
    <n v="160.87"/>
    <n v="43"/>
    <n v="9"/>
    <s v="2026-03-22"/>
    <n v="279"/>
    <n v="4"/>
    <n v="18"/>
    <s v="No"/>
    <x v="2"/>
    <n v="8"/>
    <n v="0.8089887640449438"/>
    <x v="0"/>
    <s v="Monitor Sales"/>
  </r>
  <r>
    <n v="601"/>
    <s v="Product_12"/>
    <x v="3"/>
    <x v="3"/>
    <n v="413"/>
    <n v="76"/>
    <n v="82"/>
    <n v="1967.27"/>
    <n v="1046.08"/>
    <n v="76"/>
    <n v="15"/>
    <s v="2026-01-05"/>
    <n v="258"/>
    <n v="5"/>
    <n v="3"/>
    <s v="No"/>
    <x v="2"/>
    <n v="-6"/>
    <n v="0.18401937046004843"/>
    <x v="2"/>
    <s v="Apply Discount / Promotion"/>
  </r>
  <r>
    <n v="602"/>
    <s v="Product_3"/>
    <x v="4"/>
    <x v="3"/>
    <n v="22"/>
    <n v="385"/>
    <n v="345"/>
    <n v="2038.3"/>
    <n v="1243.44"/>
    <n v="138"/>
    <n v="9"/>
    <s v="2026-01-30"/>
    <n v="67"/>
    <n v="2"/>
    <n v="38"/>
    <s v="Yes"/>
    <x v="0"/>
    <n v="40"/>
    <n v="17.5"/>
    <x v="1"/>
    <s v="Maintain Stock"/>
  </r>
  <r>
    <n v="603"/>
    <s v="Product_99"/>
    <x v="1"/>
    <x v="3"/>
    <n v="102"/>
    <n v="254"/>
    <n v="272"/>
    <n v="171.5"/>
    <n v="122.52"/>
    <n v="136"/>
    <n v="10"/>
    <s v="2026-03-08"/>
    <n v="139"/>
    <n v="1"/>
    <n v="30"/>
    <s v="No"/>
    <x v="1"/>
    <n v="-18"/>
    <n v="2.4901960784313726"/>
    <x v="1"/>
    <s v="Maintain Stock"/>
  </r>
  <r>
    <n v="604"/>
    <s v="Product_21"/>
    <x v="4"/>
    <x v="3"/>
    <n v="73"/>
    <n v="111"/>
    <n v="66"/>
    <n v="402.1"/>
    <n v="220.1"/>
    <n v="141"/>
    <n v="2"/>
    <s v="2026-01-02"/>
    <n v="303"/>
    <n v="1"/>
    <n v="1"/>
    <s v="No"/>
    <x v="1"/>
    <n v="45"/>
    <n v="1.5205479452054795"/>
    <x v="1"/>
    <s v="Maintain Stock"/>
  </r>
  <r>
    <n v="605"/>
    <s v="Product_86"/>
    <x v="4"/>
    <x v="3"/>
    <n v="422"/>
    <n v="200"/>
    <n v="207"/>
    <n v="1623.61"/>
    <n v="826.13"/>
    <n v="43"/>
    <n v="4"/>
    <s v="2026-01-24"/>
    <n v="204"/>
    <n v="4"/>
    <n v="3"/>
    <s v="Yes"/>
    <x v="1"/>
    <n v="-7"/>
    <n v="0.47393364928909953"/>
    <x v="2"/>
    <s v="Apply Discount / Promotion"/>
  </r>
  <r>
    <n v="606"/>
    <s v="Product_15"/>
    <x v="4"/>
    <x v="2"/>
    <n v="254"/>
    <n v="157"/>
    <n v="124"/>
    <n v="4919.74"/>
    <n v="3584.2"/>
    <n v="121"/>
    <n v="15"/>
    <s v="2026-01-23"/>
    <n v="37"/>
    <n v="3"/>
    <n v="3"/>
    <s v="Yes"/>
    <x v="0"/>
    <n v="33"/>
    <n v="0.61811023622047245"/>
    <x v="0"/>
    <s v="Monitor Sales"/>
  </r>
  <r>
    <n v="607"/>
    <s v="Product_46"/>
    <x v="4"/>
    <x v="0"/>
    <n v="496"/>
    <n v="226"/>
    <n v="272"/>
    <n v="3619.03"/>
    <n v="2487.92"/>
    <n v="57"/>
    <n v="8"/>
    <s v="2026-01-04"/>
    <n v="160"/>
    <n v="3"/>
    <n v="12"/>
    <s v="Yes"/>
    <x v="0"/>
    <n v="-46"/>
    <n v="0.45564516129032256"/>
    <x v="2"/>
    <s v="Apply Discount / Promotion"/>
  </r>
  <r>
    <n v="608"/>
    <s v="Product_95"/>
    <x v="1"/>
    <x v="2"/>
    <n v="140"/>
    <n v="292"/>
    <n v="327"/>
    <n v="3447.48"/>
    <n v="1862.89"/>
    <n v="63"/>
    <n v="14"/>
    <s v="2026-01-01"/>
    <n v="112"/>
    <n v="5"/>
    <n v="11"/>
    <s v="No"/>
    <x v="1"/>
    <n v="-35"/>
    <n v="2.0857142857142859"/>
    <x v="1"/>
    <s v="Maintain Stock"/>
  </r>
  <r>
    <n v="609"/>
    <s v="Product_69"/>
    <x v="4"/>
    <x v="0"/>
    <n v="283"/>
    <n v="364"/>
    <n v="361"/>
    <n v="606.35"/>
    <n v="459.59"/>
    <n v="50"/>
    <n v="9"/>
    <s v="2026-01-10"/>
    <n v="226"/>
    <n v="1"/>
    <n v="32"/>
    <s v="Yes"/>
    <x v="0"/>
    <n v="3"/>
    <n v="1.2862190812720848"/>
    <x v="1"/>
    <s v="Maintain Stock"/>
  </r>
  <r>
    <n v="610"/>
    <s v="Product_32"/>
    <x v="3"/>
    <x v="0"/>
    <n v="227"/>
    <n v="351"/>
    <n v="387"/>
    <n v="2544.9899999999998"/>
    <n v="1580.45"/>
    <n v="56"/>
    <n v="1"/>
    <s v="2026-01-16"/>
    <n v="68"/>
    <n v="1"/>
    <n v="12"/>
    <s v="Yes"/>
    <x v="0"/>
    <n v="-36"/>
    <n v="1.5462555066079295"/>
    <x v="1"/>
    <s v="Maintain Stock"/>
  </r>
  <r>
    <n v="611"/>
    <s v="Product_16"/>
    <x v="2"/>
    <x v="0"/>
    <n v="322"/>
    <n v="370"/>
    <n v="381"/>
    <n v="2997.37"/>
    <n v="1682.66"/>
    <n v="59"/>
    <n v="7"/>
    <s v="2026-02-10"/>
    <n v="40"/>
    <n v="2"/>
    <n v="3"/>
    <s v="No"/>
    <x v="0"/>
    <n v="-11"/>
    <n v="1.1490683229813665"/>
    <x v="1"/>
    <s v="Maintain Stock"/>
  </r>
  <r>
    <n v="612"/>
    <s v="Product_98"/>
    <x v="0"/>
    <x v="1"/>
    <n v="417"/>
    <n v="310"/>
    <n v="357"/>
    <n v="4300.9799999999996"/>
    <n v="3215.08"/>
    <n v="45"/>
    <n v="9"/>
    <s v="2026-01-11"/>
    <n v="187"/>
    <n v="1"/>
    <n v="45"/>
    <s v="No"/>
    <x v="2"/>
    <n v="-47"/>
    <n v="0.74340527577937654"/>
    <x v="0"/>
    <s v="Monitor Sales"/>
  </r>
  <r>
    <n v="613"/>
    <s v="Product_79"/>
    <x v="3"/>
    <x v="2"/>
    <n v="123"/>
    <n v="267"/>
    <n v="297"/>
    <n v="2470.81"/>
    <n v="1689.5"/>
    <n v="31"/>
    <n v="12"/>
    <s v="2026-01-25"/>
    <n v="61"/>
    <n v="1"/>
    <n v="4"/>
    <s v="No"/>
    <x v="2"/>
    <n v="-30"/>
    <n v="2.1707317073170733"/>
    <x v="1"/>
    <s v="Maintain Stock"/>
  </r>
  <r>
    <n v="614"/>
    <s v="Product_96"/>
    <x v="3"/>
    <x v="0"/>
    <n v="197"/>
    <n v="244"/>
    <n v="224"/>
    <n v="2277.23"/>
    <n v="1636.68"/>
    <n v="131"/>
    <n v="4"/>
    <s v="2026-03-10"/>
    <n v="153"/>
    <n v="1"/>
    <n v="14"/>
    <s v="No"/>
    <x v="1"/>
    <n v="20"/>
    <n v="1.2385786802030456"/>
    <x v="1"/>
    <s v="Maintain Stock"/>
  </r>
  <r>
    <n v="615"/>
    <s v="Product_57"/>
    <x v="1"/>
    <x v="3"/>
    <n v="31"/>
    <n v="328"/>
    <n v="305"/>
    <n v="2052.9899999999998"/>
    <n v="1135.27"/>
    <n v="119"/>
    <n v="5"/>
    <s v="2026-02-08"/>
    <n v="304"/>
    <n v="4"/>
    <n v="2"/>
    <s v="No"/>
    <x v="2"/>
    <n v="23"/>
    <n v="10.580645161290322"/>
    <x v="1"/>
    <s v="Maintain Stock"/>
  </r>
  <r>
    <n v="616"/>
    <s v="Product_66"/>
    <x v="0"/>
    <x v="0"/>
    <n v="372"/>
    <n v="77"/>
    <n v="27"/>
    <n v="2102.35"/>
    <n v="1478.56"/>
    <n v="125"/>
    <n v="7"/>
    <s v="2026-01-10"/>
    <n v="240"/>
    <n v="1"/>
    <n v="15"/>
    <s v="Yes"/>
    <x v="1"/>
    <n v="50"/>
    <n v="0.20698924731182797"/>
    <x v="2"/>
    <s v="Apply Discount / Promotion"/>
  </r>
  <r>
    <n v="617"/>
    <s v="Product_28"/>
    <x v="0"/>
    <x v="1"/>
    <n v="23"/>
    <n v="411"/>
    <n v="365"/>
    <n v="1989.66"/>
    <n v="1018.18"/>
    <n v="49"/>
    <n v="3"/>
    <s v="2026-03-25"/>
    <n v="82"/>
    <n v="5"/>
    <n v="35"/>
    <s v="Yes"/>
    <x v="0"/>
    <n v="46"/>
    <n v="17.869565217391305"/>
    <x v="1"/>
    <s v="Maintain Stock"/>
  </r>
  <r>
    <n v="618"/>
    <s v="Product_11"/>
    <x v="2"/>
    <x v="1"/>
    <n v="161"/>
    <n v="401"/>
    <n v="371"/>
    <n v="2579.56"/>
    <n v="1613.06"/>
    <n v="99"/>
    <n v="8"/>
    <s v="2026-02-03"/>
    <n v="62"/>
    <n v="2"/>
    <n v="19"/>
    <s v="Yes"/>
    <x v="0"/>
    <n v="30"/>
    <n v="2.4906832298136647"/>
    <x v="1"/>
    <s v="Maintain Stock"/>
  </r>
  <r>
    <n v="619"/>
    <s v="Product_43"/>
    <x v="2"/>
    <x v="2"/>
    <n v="203"/>
    <n v="380"/>
    <n v="347"/>
    <n v="3795.66"/>
    <n v="2498.85"/>
    <n v="85"/>
    <n v="15"/>
    <s v="2026-01-05"/>
    <n v="214"/>
    <n v="3"/>
    <n v="9"/>
    <s v="No"/>
    <x v="2"/>
    <n v="33"/>
    <n v="1.8719211822660098"/>
    <x v="1"/>
    <s v="Maintain Stock"/>
  </r>
  <r>
    <n v="620"/>
    <s v="Product_99"/>
    <x v="4"/>
    <x v="1"/>
    <n v="182"/>
    <n v="196"/>
    <n v="190"/>
    <n v="4796.67"/>
    <n v="2442.23"/>
    <n v="44"/>
    <n v="11"/>
    <s v="2026-03-20"/>
    <n v="292"/>
    <n v="4"/>
    <n v="24"/>
    <s v="No"/>
    <x v="0"/>
    <n v="6"/>
    <n v="1.0769230769230769"/>
    <x v="1"/>
    <s v="Maintain Stock"/>
  </r>
  <r>
    <n v="621"/>
    <s v="Product_86"/>
    <x v="1"/>
    <x v="0"/>
    <n v="317"/>
    <n v="82"/>
    <n v="56"/>
    <n v="2717.12"/>
    <n v="1772.88"/>
    <n v="102"/>
    <n v="13"/>
    <s v="2026-02-02"/>
    <n v="199"/>
    <n v="5"/>
    <n v="50"/>
    <s v="Yes"/>
    <x v="2"/>
    <n v="26"/>
    <n v="0.25867507886435331"/>
    <x v="2"/>
    <s v="Apply Discount / Promotion"/>
  </r>
  <r>
    <n v="622"/>
    <s v="Product_32"/>
    <x v="2"/>
    <x v="3"/>
    <n v="249"/>
    <n v="347"/>
    <n v="303"/>
    <n v="3240.33"/>
    <n v="2413.75"/>
    <n v="56"/>
    <n v="15"/>
    <s v="2026-02-19"/>
    <n v="41"/>
    <n v="3"/>
    <n v="27"/>
    <s v="Yes"/>
    <x v="0"/>
    <n v="44"/>
    <n v="1.393574297188755"/>
    <x v="1"/>
    <s v="Maintain Stock"/>
  </r>
  <r>
    <n v="623"/>
    <s v="Product_26"/>
    <x v="1"/>
    <x v="3"/>
    <n v="96"/>
    <n v="285"/>
    <n v="270"/>
    <n v="3119.54"/>
    <n v="2451.08"/>
    <n v="68"/>
    <n v="10"/>
    <s v="2026-01-04"/>
    <n v="195"/>
    <n v="5"/>
    <n v="33"/>
    <s v="No"/>
    <x v="1"/>
    <n v="15"/>
    <n v="2.96875"/>
    <x v="1"/>
    <s v="Maintain Stock"/>
  </r>
  <r>
    <n v="624"/>
    <s v="Product_52"/>
    <x v="4"/>
    <x v="1"/>
    <n v="35"/>
    <n v="369"/>
    <n v="348"/>
    <n v="679.73"/>
    <n v="538.71"/>
    <n v="45"/>
    <n v="2"/>
    <s v="2026-01-18"/>
    <n v="209"/>
    <n v="1"/>
    <n v="38"/>
    <s v="Yes"/>
    <x v="1"/>
    <n v="21"/>
    <n v="10.542857142857143"/>
    <x v="1"/>
    <s v="Maintain Stock"/>
  </r>
  <r>
    <n v="625"/>
    <s v="Product_49"/>
    <x v="3"/>
    <x v="3"/>
    <n v="422"/>
    <n v="267"/>
    <n v="303"/>
    <n v="1546.1"/>
    <n v="1179.97"/>
    <n v="91"/>
    <n v="6"/>
    <s v="2026-03-12"/>
    <n v="283"/>
    <n v="1"/>
    <n v="28"/>
    <s v="No"/>
    <x v="1"/>
    <n v="-36"/>
    <n v="0.63270142180094791"/>
    <x v="0"/>
    <s v="Monitor Sales"/>
  </r>
  <r>
    <n v="626"/>
    <s v="Product_19"/>
    <x v="0"/>
    <x v="0"/>
    <n v="336"/>
    <n v="37"/>
    <n v="32"/>
    <n v="1025.4000000000001"/>
    <n v="799.76"/>
    <n v="89"/>
    <n v="13"/>
    <s v="2026-01-23"/>
    <n v="224"/>
    <n v="5"/>
    <n v="3"/>
    <s v="Yes"/>
    <x v="2"/>
    <n v="5"/>
    <n v="0.11011904761904762"/>
    <x v="2"/>
    <s v="Apply Discount / Promotion"/>
  </r>
  <r>
    <n v="627"/>
    <s v="Product_13"/>
    <x v="4"/>
    <x v="3"/>
    <n v="55"/>
    <n v="95"/>
    <n v="115"/>
    <n v="777.05"/>
    <n v="391.07"/>
    <n v="119"/>
    <n v="7"/>
    <s v="2026-03-24"/>
    <n v="284"/>
    <n v="4"/>
    <n v="3"/>
    <s v="Yes"/>
    <x v="0"/>
    <n v="-20"/>
    <n v="1.7272727272727273"/>
    <x v="1"/>
    <s v="Maintain Stock"/>
  </r>
  <r>
    <n v="628"/>
    <s v="Product_7"/>
    <x v="3"/>
    <x v="2"/>
    <n v="480"/>
    <n v="314"/>
    <n v="266"/>
    <n v="4789.63"/>
    <n v="2788.63"/>
    <n v="149"/>
    <n v="3"/>
    <s v="2026-03-04"/>
    <n v="284"/>
    <n v="1"/>
    <n v="43"/>
    <s v="Yes"/>
    <x v="0"/>
    <n v="48"/>
    <n v="0.65416666666666667"/>
    <x v="0"/>
    <s v="Monitor Sales"/>
  </r>
  <r>
    <n v="629"/>
    <s v="Product_1"/>
    <x v="4"/>
    <x v="2"/>
    <n v="131"/>
    <n v="248"/>
    <n v="211"/>
    <n v="3534.52"/>
    <n v="2421.88"/>
    <n v="50"/>
    <n v="12"/>
    <s v="2026-03-04"/>
    <n v="151"/>
    <n v="3"/>
    <n v="21"/>
    <s v="Yes"/>
    <x v="0"/>
    <n v="37"/>
    <n v="1.8931297709923665"/>
    <x v="1"/>
    <s v="Maintain Stock"/>
  </r>
  <r>
    <n v="630"/>
    <s v="Product_15"/>
    <x v="1"/>
    <x v="1"/>
    <n v="365"/>
    <n v="160"/>
    <n v="178"/>
    <n v="1537.15"/>
    <n v="1152.6500000000001"/>
    <n v="47"/>
    <n v="4"/>
    <s v="2026-01-11"/>
    <n v="52"/>
    <n v="2"/>
    <n v="14"/>
    <s v="No"/>
    <x v="0"/>
    <n v="-18"/>
    <n v="0.43835616438356162"/>
    <x v="2"/>
    <s v="Apply Discount / Promotion"/>
  </r>
  <r>
    <n v="631"/>
    <s v="Product_95"/>
    <x v="4"/>
    <x v="3"/>
    <n v="401"/>
    <n v="196"/>
    <n v="156"/>
    <n v="1457.72"/>
    <n v="958.25"/>
    <n v="137"/>
    <n v="1"/>
    <s v="2026-01-11"/>
    <n v="330"/>
    <n v="4"/>
    <n v="28"/>
    <s v="No"/>
    <x v="1"/>
    <n v="40"/>
    <n v="0.48877805486284287"/>
    <x v="2"/>
    <s v="Apply Discount / Promotion"/>
  </r>
  <r>
    <n v="632"/>
    <s v="Product_62"/>
    <x v="0"/>
    <x v="3"/>
    <n v="284"/>
    <n v="325"/>
    <n v="362"/>
    <n v="4886.1000000000004"/>
    <n v="2564.19"/>
    <n v="70"/>
    <n v="9"/>
    <s v="2026-03-14"/>
    <n v="179"/>
    <n v="2"/>
    <n v="7"/>
    <s v="Yes"/>
    <x v="2"/>
    <n v="-37"/>
    <n v="1.1443661971830985"/>
    <x v="1"/>
    <s v="Maintain Stock"/>
  </r>
  <r>
    <n v="633"/>
    <s v="Product_1"/>
    <x v="0"/>
    <x v="1"/>
    <n v="419"/>
    <n v="97"/>
    <n v="49"/>
    <n v="2832"/>
    <n v="1803"/>
    <n v="81"/>
    <n v="15"/>
    <s v="2026-01-04"/>
    <n v="272"/>
    <n v="4"/>
    <n v="12"/>
    <s v="Yes"/>
    <x v="0"/>
    <n v="48"/>
    <n v="0.23150357995226731"/>
    <x v="2"/>
    <s v="Apply Discount / Promotion"/>
  </r>
  <r>
    <n v="634"/>
    <s v="Product_28"/>
    <x v="0"/>
    <x v="1"/>
    <n v="335"/>
    <n v="231"/>
    <n v="214"/>
    <n v="1837.24"/>
    <n v="989.16"/>
    <n v="73"/>
    <n v="7"/>
    <s v="2026-03-25"/>
    <n v="191"/>
    <n v="4"/>
    <n v="9"/>
    <s v="No"/>
    <x v="2"/>
    <n v="17"/>
    <n v="0.68955223880597016"/>
    <x v="0"/>
    <s v="Monitor Sales"/>
  </r>
  <r>
    <n v="635"/>
    <s v="Product_1"/>
    <x v="2"/>
    <x v="0"/>
    <n v="240"/>
    <n v="58"/>
    <n v="53"/>
    <n v="4189.17"/>
    <n v="2533.62"/>
    <n v="60"/>
    <n v="8"/>
    <s v="2026-03-27"/>
    <n v="165"/>
    <n v="4"/>
    <n v="11"/>
    <s v="No"/>
    <x v="0"/>
    <n v="5"/>
    <n v="0.24166666666666667"/>
    <x v="2"/>
    <s v="Apply Discount / Promotion"/>
  </r>
  <r>
    <n v="636"/>
    <s v="Product_90"/>
    <x v="2"/>
    <x v="1"/>
    <n v="427"/>
    <n v="2"/>
    <n v="50"/>
    <n v="3740.01"/>
    <n v="2876.41"/>
    <n v="114"/>
    <n v="14"/>
    <s v="2026-03-07"/>
    <n v="48"/>
    <n v="5"/>
    <n v="21"/>
    <s v="Yes"/>
    <x v="0"/>
    <n v="-48"/>
    <n v="4.6838407494145199E-3"/>
    <x v="2"/>
    <s v="Apply Discount / Promotion"/>
  </r>
  <r>
    <n v="637"/>
    <s v="Product_27"/>
    <x v="0"/>
    <x v="2"/>
    <n v="455"/>
    <n v="343"/>
    <n v="377"/>
    <n v="1423.16"/>
    <n v="1058.27"/>
    <n v="32"/>
    <n v="8"/>
    <s v="2026-03-06"/>
    <n v="219"/>
    <n v="3"/>
    <n v="36"/>
    <s v="No"/>
    <x v="1"/>
    <n v="-34"/>
    <n v="0.75384615384615383"/>
    <x v="0"/>
    <s v="Monitor Sales"/>
  </r>
  <r>
    <n v="638"/>
    <s v="Product_27"/>
    <x v="1"/>
    <x v="1"/>
    <n v="379"/>
    <n v="398"/>
    <n v="386"/>
    <n v="1335.63"/>
    <n v="850.5"/>
    <n v="104"/>
    <n v="3"/>
    <s v="2026-02-24"/>
    <n v="222"/>
    <n v="3"/>
    <n v="45"/>
    <s v="No"/>
    <x v="0"/>
    <n v="12"/>
    <n v="1.050131926121372"/>
    <x v="1"/>
    <s v="Maintain Stock"/>
  </r>
  <r>
    <n v="639"/>
    <s v="Product_93"/>
    <x v="1"/>
    <x v="3"/>
    <n v="381"/>
    <n v="183"/>
    <n v="155"/>
    <n v="2775.59"/>
    <n v="2190.58"/>
    <n v="90"/>
    <n v="4"/>
    <s v="2026-01-20"/>
    <n v="240"/>
    <n v="3"/>
    <n v="24"/>
    <s v="Yes"/>
    <x v="2"/>
    <n v="28"/>
    <n v="0.48031496062992124"/>
    <x v="2"/>
    <s v="Apply Discount / Promotion"/>
  </r>
  <r>
    <n v="640"/>
    <s v="Product_80"/>
    <x v="2"/>
    <x v="0"/>
    <n v="308"/>
    <n v="347"/>
    <n v="395"/>
    <n v="4955.32"/>
    <n v="3556.91"/>
    <n v="129"/>
    <n v="4"/>
    <s v="2026-03-28"/>
    <n v="314"/>
    <n v="4"/>
    <n v="47"/>
    <s v="Yes"/>
    <x v="0"/>
    <n v="-48"/>
    <n v="1.1266233766233766"/>
    <x v="1"/>
    <s v="Maintain Stock"/>
  </r>
  <r>
    <n v="641"/>
    <s v="Product_1"/>
    <x v="0"/>
    <x v="3"/>
    <n v="218"/>
    <n v="0"/>
    <n v="21"/>
    <n v="3552.44"/>
    <n v="2288.31"/>
    <n v="121"/>
    <n v="2"/>
    <s v="2026-02-10"/>
    <n v="356"/>
    <n v="5"/>
    <n v="33"/>
    <s v="No"/>
    <x v="2"/>
    <n v="-21"/>
    <n v="0"/>
    <x v="2"/>
    <s v="Apply Discount / Promotion"/>
  </r>
  <r>
    <n v="642"/>
    <s v="Product_72"/>
    <x v="3"/>
    <x v="2"/>
    <n v="467"/>
    <n v="93"/>
    <n v="58"/>
    <n v="3365.97"/>
    <n v="1772.95"/>
    <n v="31"/>
    <n v="10"/>
    <s v="2026-01-20"/>
    <n v="232"/>
    <n v="1"/>
    <n v="41"/>
    <s v="Yes"/>
    <x v="2"/>
    <n v="35"/>
    <n v="0.19914346895074947"/>
    <x v="2"/>
    <s v="Apply Discount / Promotion"/>
  </r>
  <r>
    <n v="643"/>
    <s v="Product_54"/>
    <x v="1"/>
    <x v="2"/>
    <n v="275"/>
    <n v="248"/>
    <n v="243"/>
    <n v="4698.8"/>
    <n v="3608.75"/>
    <n v="116"/>
    <n v="7"/>
    <s v="2026-03-03"/>
    <n v="78"/>
    <n v="4"/>
    <n v="32"/>
    <s v="Yes"/>
    <x v="2"/>
    <n v="5"/>
    <n v="0.90181818181818185"/>
    <x v="0"/>
    <s v="Monitor Sales"/>
  </r>
  <r>
    <n v="644"/>
    <s v="Product_3"/>
    <x v="0"/>
    <x v="3"/>
    <n v="419"/>
    <n v="321"/>
    <n v="288"/>
    <n v="2853.39"/>
    <n v="2224.59"/>
    <n v="91"/>
    <n v="14"/>
    <s v="2026-02-22"/>
    <n v="298"/>
    <n v="4"/>
    <n v="2"/>
    <s v="No"/>
    <x v="1"/>
    <n v="33"/>
    <n v="0.76610978520286399"/>
    <x v="0"/>
    <s v="Monitor Sales"/>
  </r>
  <r>
    <n v="645"/>
    <s v="Product_4"/>
    <x v="3"/>
    <x v="1"/>
    <n v="430"/>
    <n v="188"/>
    <n v="176"/>
    <n v="4370.49"/>
    <n v="2815.19"/>
    <n v="112"/>
    <n v="11"/>
    <s v="2026-01-02"/>
    <n v="307"/>
    <n v="2"/>
    <n v="49"/>
    <s v="No"/>
    <x v="2"/>
    <n v="12"/>
    <n v="0.43720930232558142"/>
    <x v="2"/>
    <s v="Apply Discount / Promotion"/>
  </r>
  <r>
    <n v="646"/>
    <s v="Product_1"/>
    <x v="4"/>
    <x v="0"/>
    <n v="109"/>
    <n v="272"/>
    <n v="234"/>
    <n v="645.09"/>
    <n v="470.56"/>
    <n v="60"/>
    <n v="8"/>
    <s v="2026-03-12"/>
    <n v="294"/>
    <n v="5"/>
    <n v="40"/>
    <s v="Yes"/>
    <x v="2"/>
    <n v="38"/>
    <n v="2.4954128440366974"/>
    <x v="1"/>
    <s v="Maintain Stock"/>
  </r>
  <r>
    <n v="647"/>
    <s v="Product_97"/>
    <x v="0"/>
    <x v="2"/>
    <n v="498"/>
    <n v="92"/>
    <n v="74"/>
    <n v="3626.51"/>
    <n v="2899.59"/>
    <n v="140"/>
    <n v="7"/>
    <s v="2026-02-26"/>
    <n v="48"/>
    <n v="5"/>
    <n v="34"/>
    <s v="No"/>
    <x v="1"/>
    <n v="18"/>
    <n v="0.18473895582329317"/>
    <x v="2"/>
    <s v="Apply Discount / Promotion"/>
  </r>
  <r>
    <n v="648"/>
    <s v="Product_21"/>
    <x v="3"/>
    <x v="2"/>
    <n v="437"/>
    <n v="333"/>
    <n v="347"/>
    <n v="1679.4"/>
    <n v="1030.54"/>
    <n v="61"/>
    <n v="9"/>
    <s v="2026-03-02"/>
    <n v="330"/>
    <n v="1"/>
    <n v="2"/>
    <s v="No"/>
    <x v="0"/>
    <n v="-14"/>
    <n v="0.76201372997711669"/>
    <x v="0"/>
    <s v="Monitor Sales"/>
  </r>
  <r>
    <n v="649"/>
    <s v="Product_40"/>
    <x v="4"/>
    <x v="3"/>
    <n v="370"/>
    <n v="277"/>
    <n v="308"/>
    <n v="2640.34"/>
    <n v="1351.99"/>
    <n v="54"/>
    <n v="14"/>
    <s v="2026-03-14"/>
    <n v="300"/>
    <n v="3"/>
    <n v="18"/>
    <s v="Yes"/>
    <x v="1"/>
    <n v="-31"/>
    <n v="0.74864864864864866"/>
    <x v="0"/>
    <s v="Monitor Sales"/>
  </r>
  <r>
    <n v="650"/>
    <s v="Product_34"/>
    <x v="4"/>
    <x v="0"/>
    <n v="275"/>
    <n v="215"/>
    <n v="168"/>
    <n v="4213.4799999999996"/>
    <n v="2836.04"/>
    <n v="147"/>
    <n v="9"/>
    <s v="2026-02-20"/>
    <n v="221"/>
    <n v="1"/>
    <n v="46"/>
    <s v="No"/>
    <x v="1"/>
    <n v="47"/>
    <n v="0.78181818181818186"/>
    <x v="0"/>
    <s v="Monitor Sales"/>
  </r>
  <r>
    <n v="651"/>
    <s v="Product_81"/>
    <x v="0"/>
    <x v="0"/>
    <n v="402"/>
    <n v="223"/>
    <n v="243"/>
    <n v="1765.21"/>
    <n v="1030.94"/>
    <n v="127"/>
    <n v="13"/>
    <s v="2026-03-04"/>
    <n v="183"/>
    <n v="1"/>
    <n v="8"/>
    <s v="No"/>
    <x v="0"/>
    <n v="-20"/>
    <n v="0.55472636815920395"/>
    <x v="0"/>
    <s v="Monitor Sales"/>
  </r>
  <r>
    <n v="652"/>
    <s v="Product_94"/>
    <x v="4"/>
    <x v="1"/>
    <n v="380"/>
    <n v="125"/>
    <n v="173"/>
    <n v="2619.54"/>
    <n v="1575.33"/>
    <n v="66"/>
    <n v="12"/>
    <s v="2026-03-13"/>
    <n v="42"/>
    <n v="3"/>
    <n v="17"/>
    <s v="Yes"/>
    <x v="0"/>
    <n v="-48"/>
    <n v="0.32894736842105265"/>
    <x v="2"/>
    <s v="Apply Discount / Promotion"/>
  </r>
  <r>
    <n v="653"/>
    <s v="Product_48"/>
    <x v="2"/>
    <x v="1"/>
    <n v="150"/>
    <n v="134"/>
    <n v="103"/>
    <n v="4466.83"/>
    <n v="3565.64"/>
    <n v="97"/>
    <n v="12"/>
    <s v="2026-03-20"/>
    <n v="217"/>
    <n v="2"/>
    <n v="5"/>
    <s v="No"/>
    <x v="0"/>
    <n v="31"/>
    <n v="0.89333333333333331"/>
    <x v="0"/>
    <s v="Monitor Sales"/>
  </r>
  <r>
    <n v="654"/>
    <s v="Product_5"/>
    <x v="1"/>
    <x v="2"/>
    <n v="122"/>
    <n v="186"/>
    <n v="212"/>
    <n v="3121.05"/>
    <n v="2312.4299999999998"/>
    <n v="66"/>
    <n v="5"/>
    <s v="2026-01-30"/>
    <n v="158"/>
    <n v="5"/>
    <n v="42"/>
    <s v="Yes"/>
    <x v="2"/>
    <n v="-26"/>
    <n v="1.5245901639344261"/>
    <x v="1"/>
    <s v="Maintain Stock"/>
  </r>
  <r>
    <n v="655"/>
    <s v="Product_65"/>
    <x v="0"/>
    <x v="1"/>
    <n v="495"/>
    <n v="265"/>
    <n v="246"/>
    <n v="1182.21"/>
    <n v="858.71"/>
    <n v="130"/>
    <n v="6"/>
    <s v="2026-03-03"/>
    <n v="139"/>
    <n v="5"/>
    <n v="47"/>
    <s v="Yes"/>
    <x v="1"/>
    <n v="19"/>
    <n v="0.53535353535353536"/>
    <x v="0"/>
    <s v="Monitor Sales"/>
  </r>
  <r>
    <n v="656"/>
    <s v="Product_17"/>
    <x v="1"/>
    <x v="1"/>
    <n v="85"/>
    <n v="259"/>
    <n v="232"/>
    <n v="3592.38"/>
    <n v="2492.8000000000002"/>
    <n v="139"/>
    <n v="15"/>
    <s v="2026-01-03"/>
    <n v="154"/>
    <n v="2"/>
    <n v="35"/>
    <s v="Yes"/>
    <x v="0"/>
    <n v="27"/>
    <n v="3.0470588235294116"/>
    <x v="1"/>
    <s v="Maintain Stock"/>
  </r>
  <r>
    <n v="657"/>
    <s v="Product_85"/>
    <x v="1"/>
    <x v="0"/>
    <n v="213"/>
    <n v="434"/>
    <n v="384"/>
    <n v="2269.9"/>
    <n v="1343.24"/>
    <n v="134"/>
    <n v="3"/>
    <s v="2026-03-20"/>
    <n v="58"/>
    <n v="2"/>
    <n v="43"/>
    <s v="Yes"/>
    <x v="2"/>
    <n v="50"/>
    <n v="2.0375586854460095"/>
    <x v="1"/>
    <s v="Maintain Stock"/>
  </r>
  <r>
    <n v="658"/>
    <s v="Product_76"/>
    <x v="4"/>
    <x v="1"/>
    <n v="176"/>
    <n v="90"/>
    <n v="120"/>
    <n v="4878.1899999999996"/>
    <n v="2510.4"/>
    <n v="55"/>
    <n v="14"/>
    <s v="2026-01-27"/>
    <n v="274"/>
    <n v="3"/>
    <n v="45"/>
    <s v="Yes"/>
    <x v="0"/>
    <n v="-30"/>
    <n v="0.51136363636363635"/>
    <x v="0"/>
    <s v="Monitor Sales"/>
  </r>
  <r>
    <n v="659"/>
    <s v="Product_87"/>
    <x v="2"/>
    <x v="2"/>
    <n v="111"/>
    <n v="159"/>
    <n v="133"/>
    <n v="535.23"/>
    <n v="378.33"/>
    <n v="102"/>
    <n v="10"/>
    <s v="2026-03-15"/>
    <n v="298"/>
    <n v="3"/>
    <n v="11"/>
    <s v="No"/>
    <x v="0"/>
    <n v="26"/>
    <n v="1.4324324324324325"/>
    <x v="1"/>
    <s v="Maintain Stock"/>
  </r>
  <r>
    <n v="660"/>
    <s v="Product_75"/>
    <x v="2"/>
    <x v="0"/>
    <n v="249"/>
    <n v="421"/>
    <n v="375"/>
    <n v="3994.88"/>
    <n v="3112.67"/>
    <n v="97"/>
    <n v="11"/>
    <s v="2026-02-10"/>
    <n v="232"/>
    <n v="2"/>
    <n v="43"/>
    <s v="No"/>
    <x v="1"/>
    <n v="46"/>
    <n v="1.6907630522088353"/>
    <x v="1"/>
    <s v="Maintain Stock"/>
  </r>
  <r>
    <n v="661"/>
    <s v="Product_23"/>
    <x v="3"/>
    <x v="2"/>
    <n v="117"/>
    <n v="275"/>
    <n v="284"/>
    <n v="1269.73"/>
    <n v="803.54"/>
    <n v="59"/>
    <n v="2"/>
    <s v="2026-01-19"/>
    <n v="132"/>
    <n v="3"/>
    <n v="24"/>
    <s v="Yes"/>
    <x v="1"/>
    <n v="-9"/>
    <n v="2.3504273504273505"/>
    <x v="1"/>
    <s v="Maintain Stock"/>
  </r>
  <r>
    <n v="662"/>
    <s v="Product_23"/>
    <x v="3"/>
    <x v="3"/>
    <n v="289"/>
    <n v="353"/>
    <n v="313"/>
    <n v="2397.69"/>
    <n v="1404.19"/>
    <n v="119"/>
    <n v="5"/>
    <s v="2026-02-06"/>
    <n v="255"/>
    <n v="4"/>
    <n v="9"/>
    <s v="Yes"/>
    <x v="0"/>
    <n v="40"/>
    <n v="1.2214532871972319"/>
    <x v="1"/>
    <s v="Maintain Stock"/>
  </r>
  <r>
    <n v="663"/>
    <s v="Product_58"/>
    <x v="4"/>
    <x v="3"/>
    <n v="198"/>
    <n v="157"/>
    <n v="129"/>
    <n v="1983.52"/>
    <n v="1482.3"/>
    <n v="102"/>
    <n v="14"/>
    <s v="2026-02-27"/>
    <n v="273"/>
    <n v="4"/>
    <n v="20"/>
    <s v="Yes"/>
    <x v="0"/>
    <n v="28"/>
    <n v="0.79292929292929293"/>
    <x v="0"/>
    <s v="Monitor Sales"/>
  </r>
  <r>
    <n v="664"/>
    <s v="Product_95"/>
    <x v="2"/>
    <x v="2"/>
    <n v="385"/>
    <n v="336"/>
    <n v="318"/>
    <n v="1845.36"/>
    <n v="1446.73"/>
    <n v="133"/>
    <n v="9"/>
    <s v="2026-01-10"/>
    <n v="173"/>
    <n v="3"/>
    <n v="12"/>
    <s v="No"/>
    <x v="0"/>
    <n v="18"/>
    <n v="0.87272727272727268"/>
    <x v="0"/>
    <s v="Monitor Sales"/>
  </r>
  <r>
    <n v="665"/>
    <s v="Product_38"/>
    <x v="1"/>
    <x v="2"/>
    <n v="361"/>
    <n v="155"/>
    <n v="131"/>
    <n v="542.5"/>
    <n v="364.55"/>
    <n v="95"/>
    <n v="13"/>
    <s v="2026-02-28"/>
    <n v="356"/>
    <n v="1"/>
    <n v="13"/>
    <s v="No"/>
    <x v="0"/>
    <n v="24"/>
    <n v="0.4293628808864266"/>
    <x v="2"/>
    <s v="Apply Discount / Promotion"/>
  </r>
  <r>
    <n v="666"/>
    <s v="Product_9"/>
    <x v="4"/>
    <x v="1"/>
    <n v="427"/>
    <n v="36"/>
    <n v="54"/>
    <n v="1338.44"/>
    <n v="951.03"/>
    <n v="149"/>
    <n v="1"/>
    <s v="2026-03-13"/>
    <n v="36"/>
    <n v="5"/>
    <n v="26"/>
    <s v="No"/>
    <x v="0"/>
    <n v="-18"/>
    <n v="8.4309133489461355E-2"/>
    <x v="2"/>
    <s v="Apply Discount / Promotion"/>
  </r>
  <r>
    <n v="667"/>
    <s v="Product_3"/>
    <x v="3"/>
    <x v="2"/>
    <n v="78"/>
    <n v="91"/>
    <n v="125"/>
    <n v="4345.8100000000004"/>
    <n v="2313.98"/>
    <n v="138"/>
    <n v="14"/>
    <s v="2026-02-17"/>
    <n v="309"/>
    <n v="5"/>
    <n v="44"/>
    <s v="No"/>
    <x v="2"/>
    <n v="-34"/>
    <n v="1.1666666666666667"/>
    <x v="1"/>
    <s v="Maintain Stock"/>
  </r>
  <r>
    <n v="668"/>
    <s v="Product_33"/>
    <x v="4"/>
    <x v="0"/>
    <n v="286"/>
    <n v="121"/>
    <n v="91"/>
    <n v="4304.59"/>
    <n v="2530.67"/>
    <n v="66"/>
    <n v="1"/>
    <s v="2026-03-18"/>
    <n v="253"/>
    <n v="3"/>
    <n v="21"/>
    <s v="Yes"/>
    <x v="0"/>
    <n v="30"/>
    <n v="0.42307692307692307"/>
    <x v="2"/>
    <s v="Apply Discount / Promotion"/>
  </r>
  <r>
    <n v="669"/>
    <s v="Product_61"/>
    <x v="2"/>
    <x v="2"/>
    <n v="159"/>
    <n v="224"/>
    <n v="274"/>
    <n v="4124"/>
    <n v="3150.69"/>
    <n v="128"/>
    <n v="2"/>
    <s v="2026-03-03"/>
    <n v="168"/>
    <n v="2"/>
    <n v="36"/>
    <s v="No"/>
    <x v="0"/>
    <n v="-50"/>
    <n v="1.4088050314465408"/>
    <x v="1"/>
    <s v="Maintain Stock"/>
  </r>
  <r>
    <n v="670"/>
    <s v="Product_21"/>
    <x v="1"/>
    <x v="0"/>
    <n v="205"/>
    <n v="86"/>
    <n v="129"/>
    <n v="758.7"/>
    <n v="431.94"/>
    <n v="82"/>
    <n v="9"/>
    <s v="2026-01-07"/>
    <n v="46"/>
    <n v="3"/>
    <n v="50"/>
    <s v="Yes"/>
    <x v="1"/>
    <n v="-43"/>
    <n v="0.4195121951219512"/>
    <x v="2"/>
    <s v="Apply Discount / Promotion"/>
  </r>
  <r>
    <n v="671"/>
    <s v="Product_7"/>
    <x v="2"/>
    <x v="0"/>
    <n v="433"/>
    <n v="139"/>
    <n v="164"/>
    <n v="2565.71"/>
    <n v="1921.04"/>
    <n v="51"/>
    <n v="10"/>
    <s v="2026-02-27"/>
    <n v="322"/>
    <n v="5"/>
    <n v="39"/>
    <s v="Yes"/>
    <x v="0"/>
    <n v="-25"/>
    <n v="0.32101616628175522"/>
    <x v="2"/>
    <s v="Apply Discount / Promotion"/>
  </r>
  <r>
    <n v="672"/>
    <s v="Product_39"/>
    <x v="2"/>
    <x v="2"/>
    <n v="213"/>
    <n v="11"/>
    <n v="58"/>
    <n v="772.5"/>
    <n v="415.15"/>
    <n v="46"/>
    <n v="3"/>
    <s v="2026-03-14"/>
    <n v="211"/>
    <n v="3"/>
    <n v="30"/>
    <s v="No"/>
    <x v="2"/>
    <n v="-47"/>
    <n v="5.1643192488262914E-2"/>
    <x v="2"/>
    <s v="Apply Discount / Promotion"/>
  </r>
  <r>
    <n v="673"/>
    <s v="Product_29"/>
    <x v="0"/>
    <x v="1"/>
    <n v="419"/>
    <n v="126"/>
    <n v="89"/>
    <n v="303.07"/>
    <n v="196.72"/>
    <n v="115"/>
    <n v="2"/>
    <s v="2026-02-28"/>
    <n v="364"/>
    <n v="5"/>
    <n v="42"/>
    <s v="Yes"/>
    <x v="0"/>
    <n v="37"/>
    <n v="0.30071599045346065"/>
    <x v="2"/>
    <s v="Apply Discount / Promotion"/>
  </r>
  <r>
    <n v="674"/>
    <s v="Product_16"/>
    <x v="1"/>
    <x v="3"/>
    <n v="150"/>
    <n v="123"/>
    <n v="79"/>
    <n v="3894.71"/>
    <n v="2362.17"/>
    <n v="30"/>
    <n v="7"/>
    <s v="2026-03-16"/>
    <n v="271"/>
    <n v="3"/>
    <n v="18"/>
    <s v="Yes"/>
    <x v="0"/>
    <n v="44"/>
    <n v="0.82"/>
    <x v="0"/>
    <s v="Monitor Sales"/>
  </r>
  <r>
    <n v="675"/>
    <s v="Product_37"/>
    <x v="1"/>
    <x v="2"/>
    <n v="294"/>
    <n v="271"/>
    <n v="296"/>
    <n v="831.76"/>
    <n v="567.02"/>
    <n v="73"/>
    <n v="3"/>
    <s v="2026-03-26"/>
    <n v="156"/>
    <n v="1"/>
    <n v="37"/>
    <s v="No"/>
    <x v="0"/>
    <n v="-25"/>
    <n v="0.92176870748299322"/>
    <x v="0"/>
    <s v="Monitor Sales"/>
  </r>
  <r>
    <n v="676"/>
    <s v="Product_56"/>
    <x v="2"/>
    <x v="3"/>
    <n v="331"/>
    <n v="85"/>
    <n v="76"/>
    <n v="3036.2"/>
    <n v="2264.4"/>
    <n v="60"/>
    <n v="10"/>
    <s v="2026-01-13"/>
    <n v="335"/>
    <n v="3"/>
    <n v="18"/>
    <s v="Yes"/>
    <x v="0"/>
    <n v="9"/>
    <n v="0.25679758308157102"/>
    <x v="2"/>
    <s v="Apply Discount / Promotion"/>
  </r>
  <r>
    <n v="677"/>
    <s v="Product_93"/>
    <x v="0"/>
    <x v="1"/>
    <n v="202"/>
    <n v="348"/>
    <n v="319"/>
    <n v="2790.78"/>
    <n v="1730.46"/>
    <n v="130"/>
    <n v="7"/>
    <s v="2026-03-28"/>
    <n v="206"/>
    <n v="2"/>
    <n v="30"/>
    <s v="No"/>
    <x v="2"/>
    <n v="29"/>
    <n v="1.7227722772277227"/>
    <x v="1"/>
    <s v="Maintain Stock"/>
  </r>
  <r>
    <n v="678"/>
    <s v="Product_37"/>
    <x v="1"/>
    <x v="2"/>
    <n v="347"/>
    <n v="66"/>
    <n v="112"/>
    <n v="3032.49"/>
    <n v="1832.45"/>
    <n v="52"/>
    <n v="10"/>
    <s v="2026-01-27"/>
    <n v="318"/>
    <n v="3"/>
    <n v="44"/>
    <s v="Yes"/>
    <x v="2"/>
    <n v="-46"/>
    <n v="0.19020172910662825"/>
    <x v="2"/>
    <s v="Apply Discount / Promotion"/>
  </r>
  <r>
    <n v="679"/>
    <s v="Product_34"/>
    <x v="2"/>
    <x v="3"/>
    <n v="325"/>
    <n v="87"/>
    <n v="42"/>
    <n v="1255.5"/>
    <n v="916.76"/>
    <n v="68"/>
    <n v="13"/>
    <s v="2026-01-15"/>
    <n v="365"/>
    <n v="2"/>
    <n v="25"/>
    <s v="Yes"/>
    <x v="0"/>
    <n v="45"/>
    <n v="0.26769230769230767"/>
    <x v="2"/>
    <s v="Apply Discount / Promotion"/>
  </r>
  <r>
    <n v="680"/>
    <s v="Product_78"/>
    <x v="1"/>
    <x v="0"/>
    <n v="494"/>
    <n v="98"/>
    <n v="110"/>
    <n v="2912.78"/>
    <n v="2224.42"/>
    <n v="74"/>
    <n v="4"/>
    <s v="2026-02-20"/>
    <n v="53"/>
    <n v="2"/>
    <n v="21"/>
    <s v="Yes"/>
    <x v="1"/>
    <n v="-12"/>
    <n v="0.19838056680161945"/>
    <x v="2"/>
    <s v="Apply Discount / Promotion"/>
  </r>
  <r>
    <n v="681"/>
    <s v="Product_82"/>
    <x v="3"/>
    <x v="2"/>
    <n v="106"/>
    <n v="274"/>
    <n v="312"/>
    <n v="993.65"/>
    <n v="506.8"/>
    <n v="59"/>
    <n v="14"/>
    <s v="2026-01-27"/>
    <n v="72"/>
    <n v="4"/>
    <n v="24"/>
    <s v="Yes"/>
    <x v="2"/>
    <n v="-38"/>
    <n v="2.5849056603773586"/>
    <x v="1"/>
    <s v="Maintain Stock"/>
  </r>
  <r>
    <n v="682"/>
    <s v="Product_31"/>
    <x v="1"/>
    <x v="3"/>
    <n v="368"/>
    <n v="74"/>
    <n v="87"/>
    <n v="240.35"/>
    <n v="159.31"/>
    <n v="113"/>
    <n v="5"/>
    <s v="2026-01-08"/>
    <n v="239"/>
    <n v="1"/>
    <n v="35"/>
    <s v="Yes"/>
    <x v="0"/>
    <n v="-13"/>
    <n v="0.20108695652173914"/>
    <x v="2"/>
    <s v="Apply Discount / Promotion"/>
  </r>
  <r>
    <n v="683"/>
    <s v="Product_24"/>
    <x v="4"/>
    <x v="3"/>
    <n v="188"/>
    <n v="94"/>
    <n v="65"/>
    <n v="856.76"/>
    <n v="574.83000000000004"/>
    <n v="105"/>
    <n v="8"/>
    <s v="2026-02-19"/>
    <n v="301"/>
    <n v="3"/>
    <n v="5"/>
    <s v="Yes"/>
    <x v="2"/>
    <n v="29"/>
    <n v="0.5"/>
    <x v="0"/>
    <s v="Monitor Sales"/>
  </r>
  <r>
    <n v="684"/>
    <s v="Product_88"/>
    <x v="3"/>
    <x v="3"/>
    <n v="339"/>
    <n v="335"/>
    <n v="290"/>
    <n v="3023.27"/>
    <n v="1819.55"/>
    <n v="112"/>
    <n v="13"/>
    <s v="2026-01-04"/>
    <n v="229"/>
    <n v="2"/>
    <n v="33"/>
    <s v="Yes"/>
    <x v="2"/>
    <n v="45"/>
    <n v="0.98820058997050142"/>
    <x v="0"/>
    <s v="Monitor Sales"/>
  </r>
  <r>
    <n v="685"/>
    <s v="Product_68"/>
    <x v="2"/>
    <x v="2"/>
    <n v="112"/>
    <n v="190"/>
    <n v="178"/>
    <n v="4370.78"/>
    <n v="2804.46"/>
    <n v="117"/>
    <n v="6"/>
    <s v="2026-02-16"/>
    <n v="144"/>
    <n v="5"/>
    <n v="23"/>
    <s v="No"/>
    <x v="2"/>
    <n v="12"/>
    <n v="1.6964285714285714"/>
    <x v="1"/>
    <s v="Maintain Stock"/>
  </r>
  <r>
    <n v="686"/>
    <s v="Product_60"/>
    <x v="4"/>
    <x v="2"/>
    <n v="400"/>
    <n v="299"/>
    <n v="273"/>
    <n v="4707.76"/>
    <n v="2666.73"/>
    <n v="54"/>
    <n v="10"/>
    <s v="2026-01-21"/>
    <n v="77"/>
    <n v="1"/>
    <n v="50"/>
    <s v="No"/>
    <x v="2"/>
    <n v="26"/>
    <n v="0.74750000000000005"/>
    <x v="0"/>
    <s v="Monitor Sales"/>
  </r>
  <r>
    <n v="687"/>
    <s v="Product_33"/>
    <x v="0"/>
    <x v="2"/>
    <n v="149"/>
    <n v="245"/>
    <n v="267"/>
    <n v="1626.77"/>
    <n v="1198.6199999999999"/>
    <n v="121"/>
    <n v="6"/>
    <s v="2026-03-07"/>
    <n v="130"/>
    <n v="1"/>
    <n v="49"/>
    <s v="No"/>
    <x v="1"/>
    <n v="-22"/>
    <n v="1.6442953020134228"/>
    <x v="1"/>
    <s v="Maintain Stock"/>
  </r>
  <r>
    <n v="688"/>
    <s v="Product_76"/>
    <x v="4"/>
    <x v="2"/>
    <n v="88"/>
    <n v="73"/>
    <n v="107"/>
    <n v="3565.05"/>
    <n v="2450.9299999999998"/>
    <n v="57"/>
    <n v="15"/>
    <s v="2026-03-15"/>
    <n v="196"/>
    <n v="2"/>
    <n v="24"/>
    <s v="No"/>
    <x v="1"/>
    <n v="-34"/>
    <n v="0.82954545454545459"/>
    <x v="0"/>
    <s v="Monitor Sales"/>
  </r>
  <r>
    <n v="689"/>
    <s v="Product_57"/>
    <x v="4"/>
    <x v="3"/>
    <n v="326"/>
    <n v="143"/>
    <n v="127"/>
    <n v="2093.89"/>
    <n v="1311.78"/>
    <n v="115"/>
    <n v="5"/>
    <s v="2026-01-14"/>
    <n v="216"/>
    <n v="1"/>
    <n v="7"/>
    <s v="No"/>
    <x v="2"/>
    <n v="16"/>
    <n v="0.43865030674846628"/>
    <x v="2"/>
    <s v="Apply Discount / Promotion"/>
  </r>
  <r>
    <n v="690"/>
    <s v="Product_15"/>
    <x v="0"/>
    <x v="1"/>
    <n v="92"/>
    <n v="208"/>
    <n v="255"/>
    <n v="3703.71"/>
    <n v="2080.67"/>
    <n v="46"/>
    <n v="4"/>
    <s v="2026-03-20"/>
    <n v="337"/>
    <n v="2"/>
    <n v="27"/>
    <s v="Yes"/>
    <x v="0"/>
    <n v="-47"/>
    <n v="2.2608695652173911"/>
    <x v="1"/>
    <s v="Maintain Stock"/>
  </r>
  <r>
    <n v="691"/>
    <s v="Product_12"/>
    <x v="0"/>
    <x v="1"/>
    <n v="60"/>
    <n v="174"/>
    <n v="178"/>
    <n v="2607.0300000000002"/>
    <n v="1655.32"/>
    <n v="116"/>
    <n v="1"/>
    <s v="2026-02-14"/>
    <n v="149"/>
    <n v="1"/>
    <n v="10"/>
    <s v="Yes"/>
    <x v="2"/>
    <n v="-4"/>
    <n v="2.9"/>
    <x v="1"/>
    <s v="Maintain Stock"/>
  </r>
  <r>
    <n v="692"/>
    <s v="Product_63"/>
    <x v="0"/>
    <x v="1"/>
    <n v="246"/>
    <n v="16"/>
    <n v="26"/>
    <n v="4642.42"/>
    <n v="2911.5"/>
    <n v="110"/>
    <n v="11"/>
    <s v="2026-02-17"/>
    <n v="348"/>
    <n v="3"/>
    <n v="22"/>
    <s v="No"/>
    <x v="2"/>
    <n v="-10"/>
    <n v="6.5040650406504072E-2"/>
    <x v="2"/>
    <s v="Apply Discount / Promotion"/>
  </r>
  <r>
    <n v="693"/>
    <s v="Product_28"/>
    <x v="0"/>
    <x v="3"/>
    <n v="233"/>
    <n v="295"/>
    <n v="305"/>
    <n v="2008.51"/>
    <n v="1583.85"/>
    <n v="95"/>
    <n v="6"/>
    <s v="2026-01-30"/>
    <n v="187"/>
    <n v="1"/>
    <n v="47"/>
    <s v="Yes"/>
    <x v="0"/>
    <n v="-10"/>
    <n v="1.2660944206008584"/>
    <x v="1"/>
    <s v="Maintain Stock"/>
  </r>
  <r>
    <n v="694"/>
    <s v="Product_70"/>
    <x v="3"/>
    <x v="2"/>
    <n v="98"/>
    <n v="431"/>
    <n v="384"/>
    <n v="2600.34"/>
    <n v="1856.55"/>
    <n v="146"/>
    <n v="11"/>
    <s v="2026-03-26"/>
    <n v="205"/>
    <n v="1"/>
    <n v="22"/>
    <s v="No"/>
    <x v="2"/>
    <n v="47"/>
    <n v="4.3979591836734695"/>
    <x v="1"/>
    <s v="Maintain Stock"/>
  </r>
  <r>
    <n v="695"/>
    <s v="Product_67"/>
    <x v="2"/>
    <x v="3"/>
    <n v="175"/>
    <n v="182"/>
    <n v="184"/>
    <n v="2604.42"/>
    <n v="1699.1"/>
    <n v="147"/>
    <n v="2"/>
    <s v="2026-03-18"/>
    <n v="75"/>
    <n v="4"/>
    <n v="24"/>
    <s v="Yes"/>
    <x v="2"/>
    <n v="-2"/>
    <n v="1.04"/>
    <x v="1"/>
    <s v="Maintain Stock"/>
  </r>
  <r>
    <n v="696"/>
    <s v="Product_16"/>
    <x v="4"/>
    <x v="1"/>
    <n v="386"/>
    <n v="299"/>
    <n v="349"/>
    <n v="1171.02"/>
    <n v="588.23"/>
    <n v="98"/>
    <n v="10"/>
    <s v="2026-02-07"/>
    <n v="136"/>
    <n v="5"/>
    <n v="39"/>
    <s v="No"/>
    <x v="2"/>
    <n v="-50"/>
    <n v="0.77461139896373055"/>
    <x v="0"/>
    <s v="Monitor Sales"/>
  </r>
  <r>
    <n v="697"/>
    <s v="Product_74"/>
    <x v="2"/>
    <x v="2"/>
    <n v="38"/>
    <n v="318"/>
    <n v="298"/>
    <n v="551.67999999999995"/>
    <n v="318.63"/>
    <n v="131"/>
    <n v="7"/>
    <s v="2026-01-24"/>
    <n v="114"/>
    <n v="2"/>
    <n v="23"/>
    <s v="No"/>
    <x v="2"/>
    <n v="20"/>
    <n v="8.3684210526315788"/>
    <x v="1"/>
    <s v="Maintain Stock"/>
  </r>
  <r>
    <n v="698"/>
    <s v="Product_61"/>
    <x v="2"/>
    <x v="2"/>
    <n v="123"/>
    <n v="123"/>
    <n v="125"/>
    <n v="363.58"/>
    <n v="235.6"/>
    <n v="93"/>
    <n v="7"/>
    <s v="2026-02-18"/>
    <n v="42"/>
    <n v="4"/>
    <n v="21"/>
    <s v="No"/>
    <x v="2"/>
    <n v="-2"/>
    <n v="1"/>
    <x v="1"/>
    <s v="Maintain Stock"/>
  </r>
  <r>
    <n v="699"/>
    <s v="Product_15"/>
    <x v="1"/>
    <x v="1"/>
    <n v="407"/>
    <n v="324"/>
    <n v="370"/>
    <n v="1416.1"/>
    <n v="1079.97"/>
    <n v="58"/>
    <n v="3"/>
    <s v="2026-03-25"/>
    <n v="98"/>
    <n v="5"/>
    <n v="50"/>
    <s v="Yes"/>
    <x v="1"/>
    <n v="-46"/>
    <n v="0.7960687960687961"/>
    <x v="0"/>
    <s v="Monitor Sales"/>
  </r>
  <r>
    <n v="700"/>
    <s v="Product_71"/>
    <x v="4"/>
    <x v="3"/>
    <n v="254"/>
    <n v="311"/>
    <n v="354"/>
    <n v="2581.4499999999998"/>
    <n v="1373.22"/>
    <n v="62"/>
    <n v="15"/>
    <s v="2026-01-08"/>
    <n v="166"/>
    <n v="2"/>
    <n v="24"/>
    <s v="Yes"/>
    <x v="0"/>
    <n v="-43"/>
    <n v="1.2244094488188977"/>
    <x v="1"/>
    <s v="Maintain Stock"/>
  </r>
  <r>
    <n v="701"/>
    <s v="Product_30"/>
    <x v="1"/>
    <x v="1"/>
    <n v="258"/>
    <n v="318"/>
    <n v="360"/>
    <n v="2934.47"/>
    <n v="2182.38"/>
    <n v="142"/>
    <n v="8"/>
    <s v="2026-01-18"/>
    <n v="346"/>
    <n v="3"/>
    <n v="19"/>
    <s v="Yes"/>
    <x v="2"/>
    <n v="-42"/>
    <n v="1.2325581395348837"/>
    <x v="1"/>
    <s v="Maintain Stock"/>
  </r>
  <r>
    <n v="702"/>
    <s v="Product_5"/>
    <x v="3"/>
    <x v="2"/>
    <n v="338"/>
    <n v="344"/>
    <n v="318"/>
    <n v="3313.96"/>
    <n v="2097.92"/>
    <n v="64"/>
    <n v="13"/>
    <s v="2026-02-17"/>
    <n v="279"/>
    <n v="4"/>
    <n v="29"/>
    <s v="No"/>
    <x v="2"/>
    <n v="26"/>
    <n v="1.0177514792899409"/>
    <x v="1"/>
    <s v="Maintain Stock"/>
  </r>
  <r>
    <n v="703"/>
    <s v="Product_90"/>
    <x v="3"/>
    <x v="1"/>
    <n v="277"/>
    <n v="118"/>
    <n v="150"/>
    <n v="4440.54"/>
    <n v="3037.22"/>
    <n v="31"/>
    <n v="4"/>
    <s v="2026-03-06"/>
    <n v="296"/>
    <n v="2"/>
    <n v="49"/>
    <s v="No"/>
    <x v="1"/>
    <n v="-32"/>
    <n v="0.4259927797833935"/>
    <x v="2"/>
    <s v="Apply Discount / Promotion"/>
  </r>
  <r>
    <n v="704"/>
    <s v="Product_16"/>
    <x v="3"/>
    <x v="1"/>
    <n v="217"/>
    <n v="238"/>
    <n v="268"/>
    <n v="1876.03"/>
    <n v="1330.22"/>
    <n v="107"/>
    <n v="13"/>
    <s v="2026-01-10"/>
    <n v="298"/>
    <n v="1"/>
    <n v="43"/>
    <s v="No"/>
    <x v="1"/>
    <n v="-30"/>
    <n v="1.096774193548387"/>
    <x v="1"/>
    <s v="Maintain Stock"/>
  </r>
  <r>
    <n v="705"/>
    <s v="Product_93"/>
    <x v="4"/>
    <x v="3"/>
    <n v="464"/>
    <n v="235"/>
    <n v="270"/>
    <n v="1906.98"/>
    <n v="1033.19"/>
    <n v="129"/>
    <n v="6"/>
    <s v="2026-01-08"/>
    <n v="175"/>
    <n v="1"/>
    <n v="40"/>
    <s v="No"/>
    <x v="0"/>
    <n v="-35"/>
    <n v="0.50646551724137934"/>
    <x v="0"/>
    <s v="Monitor Sales"/>
  </r>
  <r>
    <n v="706"/>
    <s v="Product_53"/>
    <x v="1"/>
    <x v="0"/>
    <n v="162"/>
    <n v="368"/>
    <n v="391"/>
    <n v="3398.33"/>
    <n v="2618.67"/>
    <n v="82"/>
    <n v="8"/>
    <s v="2026-01-29"/>
    <n v="343"/>
    <n v="3"/>
    <n v="31"/>
    <s v="No"/>
    <x v="1"/>
    <n v="-23"/>
    <n v="2.2716049382716048"/>
    <x v="1"/>
    <s v="Maintain Stock"/>
  </r>
  <r>
    <n v="707"/>
    <s v="Product_61"/>
    <x v="1"/>
    <x v="3"/>
    <n v="156"/>
    <n v="260"/>
    <n v="277"/>
    <n v="825.39"/>
    <n v="512.53"/>
    <n v="135"/>
    <n v="10"/>
    <s v="2026-02-13"/>
    <n v="91"/>
    <n v="4"/>
    <n v="13"/>
    <s v="No"/>
    <x v="1"/>
    <n v="-17"/>
    <n v="1.6666666666666667"/>
    <x v="1"/>
    <s v="Maintain Stock"/>
  </r>
  <r>
    <n v="708"/>
    <s v="Product_24"/>
    <x v="1"/>
    <x v="3"/>
    <n v="150"/>
    <n v="390"/>
    <n v="348"/>
    <n v="323.44"/>
    <n v="240.34"/>
    <n v="79"/>
    <n v="9"/>
    <s v="2026-01-24"/>
    <n v="36"/>
    <n v="3"/>
    <n v="26"/>
    <s v="No"/>
    <x v="2"/>
    <n v="42"/>
    <n v="2.6"/>
    <x v="1"/>
    <s v="Maintain Stock"/>
  </r>
  <r>
    <n v="709"/>
    <s v="Product_43"/>
    <x v="4"/>
    <x v="1"/>
    <n v="476"/>
    <n v="351"/>
    <n v="388"/>
    <n v="2131.31"/>
    <n v="1077.47"/>
    <n v="75"/>
    <n v="10"/>
    <s v="2026-03-15"/>
    <n v="134"/>
    <n v="4"/>
    <n v="43"/>
    <s v="No"/>
    <x v="0"/>
    <n v="-37"/>
    <n v="0.73739495798319332"/>
    <x v="0"/>
    <s v="Monitor Sales"/>
  </r>
  <r>
    <n v="710"/>
    <s v="Product_50"/>
    <x v="1"/>
    <x v="2"/>
    <n v="416"/>
    <n v="42"/>
    <n v="77"/>
    <n v="3097.44"/>
    <n v="2086.25"/>
    <n v="126"/>
    <n v="3"/>
    <s v="2026-01-10"/>
    <n v="191"/>
    <n v="1"/>
    <n v="15"/>
    <s v="No"/>
    <x v="1"/>
    <n v="-35"/>
    <n v="0.10096153846153846"/>
    <x v="2"/>
    <s v="Apply Discount / Promotion"/>
  </r>
  <r>
    <n v="711"/>
    <s v="Product_7"/>
    <x v="4"/>
    <x v="1"/>
    <n v="391"/>
    <n v="224"/>
    <n v="226"/>
    <n v="2453.2800000000002"/>
    <n v="1866.18"/>
    <n v="46"/>
    <n v="9"/>
    <s v="2026-01-24"/>
    <n v="162"/>
    <n v="4"/>
    <n v="5"/>
    <s v="Yes"/>
    <x v="0"/>
    <n v="-2"/>
    <n v="0.57289002557544755"/>
    <x v="0"/>
    <s v="Monitor Sales"/>
  </r>
  <r>
    <n v="712"/>
    <s v="Product_10"/>
    <x v="1"/>
    <x v="0"/>
    <n v="261"/>
    <n v="346"/>
    <n v="357"/>
    <n v="3544.67"/>
    <n v="2044.23"/>
    <n v="70"/>
    <n v="6"/>
    <s v="2026-03-20"/>
    <n v="215"/>
    <n v="2"/>
    <n v="8"/>
    <s v="Yes"/>
    <x v="1"/>
    <n v="-11"/>
    <n v="1.3256704980842913"/>
    <x v="1"/>
    <s v="Maintain Stock"/>
  </r>
  <r>
    <n v="713"/>
    <s v="Product_60"/>
    <x v="0"/>
    <x v="0"/>
    <n v="85"/>
    <n v="95"/>
    <n v="128"/>
    <n v="2529.8200000000002"/>
    <n v="1656"/>
    <n v="60"/>
    <n v="13"/>
    <s v="2026-01-19"/>
    <n v="36"/>
    <n v="4"/>
    <n v="30"/>
    <s v="No"/>
    <x v="2"/>
    <n v="-33"/>
    <n v="1.1176470588235294"/>
    <x v="1"/>
    <s v="Maintain Stock"/>
  </r>
  <r>
    <n v="714"/>
    <s v="Product_83"/>
    <x v="0"/>
    <x v="2"/>
    <n v="318"/>
    <n v="70"/>
    <n v="87"/>
    <n v="3191.28"/>
    <n v="1642.22"/>
    <n v="77"/>
    <n v="7"/>
    <s v="2026-01-11"/>
    <n v="115"/>
    <n v="5"/>
    <n v="27"/>
    <s v="No"/>
    <x v="0"/>
    <n v="-17"/>
    <n v="0.22012578616352202"/>
    <x v="2"/>
    <s v="Apply Discount / Promotion"/>
  </r>
  <r>
    <n v="715"/>
    <s v="Product_75"/>
    <x v="2"/>
    <x v="0"/>
    <n v="42"/>
    <n v="0"/>
    <n v="13"/>
    <n v="2393.8000000000002"/>
    <n v="1561.06"/>
    <n v="142"/>
    <n v="14"/>
    <s v="2026-03-03"/>
    <n v="212"/>
    <n v="3"/>
    <n v="37"/>
    <s v="No"/>
    <x v="2"/>
    <n v="-13"/>
    <n v="0"/>
    <x v="2"/>
    <s v="Apply Discount / Promotion"/>
  </r>
  <r>
    <n v="716"/>
    <s v="Product_2"/>
    <x v="0"/>
    <x v="2"/>
    <n v="99"/>
    <n v="307"/>
    <n v="356"/>
    <n v="622.53"/>
    <n v="414.87"/>
    <n v="110"/>
    <n v="15"/>
    <s v="2026-02-10"/>
    <n v="117"/>
    <n v="1"/>
    <n v="38"/>
    <s v="No"/>
    <x v="2"/>
    <n v="-49"/>
    <n v="3.1010101010101012"/>
    <x v="1"/>
    <s v="Maintain Stock"/>
  </r>
  <r>
    <n v="717"/>
    <s v="Product_44"/>
    <x v="1"/>
    <x v="0"/>
    <n v="493"/>
    <n v="296"/>
    <n v="272"/>
    <n v="4324.3500000000004"/>
    <n v="3121.87"/>
    <n v="34"/>
    <n v="2"/>
    <s v="2026-02-15"/>
    <n v="258"/>
    <n v="4"/>
    <n v="4"/>
    <s v="No"/>
    <x v="0"/>
    <n v="24"/>
    <n v="0.60040567951318458"/>
    <x v="0"/>
    <s v="Monitor Sales"/>
  </r>
  <r>
    <n v="718"/>
    <s v="Product_33"/>
    <x v="0"/>
    <x v="1"/>
    <n v="349"/>
    <n v="315"/>
    <n v="286"/>
    <n v="2122.87"/>
    <n v="1496.97"/>
    <n v="41"/>
    <n v="1"/>
    <s v="2026-02-08"/>
    <n v="293"/>
    <n v="1"/>
    <n v="30"/>
    <s v="No"/>
    <x v="2"/>
    <n v="29"/>
    <n v="0.90257879656160456"/>
    <x v="0"/>
    <s v="Monitor Sales"/>
  </r>
  <r>
    <n v="719"/>
    <s v="Product_41"/>
    <x v="2"/>
    <x v="2"/>
    <n v="81"/>
    <n v="223"/>
    <n v="220"/>
    <n v="977.86"/>
    <n v="672.82"/>
    <n v="108"/>
    <n v="3"/>
    <s v="2026-03-24"/>
    <n v="276"/>
    <n v="5"/>
    <n v="5"/>
    <s v="No"/>
    <x v="1"/>
    <n v="3"/>
    <n v="2.7530864197530862"/>
    <x v="1"/>
    <s v="Maintain Stock"/>
  </r>
  <r>
    <n v="720"/>
    <s v="Product_100"/>
    <x v="4"/>
    <x v="0"/>
    <n v="22"/>
    <n v="83"/>
    <n v="124"/>
    <n v="1053.67"/>
    <n v="555.32000000000005"/>
    <n v="103"/>
    <n v="8"/>
    <s v="2026-02-25"/>
    <n v="189"/>
    <n v="2"/>
    <n v="47"/>
    <s v="No"/>
    <x v="1"/>
    <n v="-41"/>
    <n v="3.7727272727272729"/>
    <x v="1"/>
    <s v="Maintain Stock"/>
  </r>
  <r>
    <n v="721"/>
    <s v="Product_3"/>
    <x v="2"/>
    <x v="3"/>
    <n v="377"/>
    <n v="333"/>
    <n v="317"/>
    <n v="4706.96"/>
    <n v="3238.02"/>
    <n v="32"/>
    <n v="5"/>
    <s v="2026-03-25"/>
    <n v="192"/>
    <n v="1"/>
    <n v="23"/>
    <s v="Yes"/>
    <x v="2"/>
    <n v="16"/>
    <n v="0.88328912466843501"/>
    <x v="0"/>
    <s v="Monitor Sales"/>
  </r>
  <r>
    <n v="722"/>
    <s v="Product_50"/>
    <x v="4"/>
    <x v="1"/>
    <n v="296"/>
    <n v="113"/>
    <n v="162"/>
    <n v="2659.87"/>
    <n v="2049.88"/>
    <n v="148"/>
    <n v="11"/>
    <s v="2026-02-12"/>
    <n v="92"/>
    <n v="4"/>
    <n v="9"/>
    <s v="Yes"/>
    <x v="0"/>
    <n v="-49"/>
    <n v="0.38175675675675674"/>
    <x v="2"/>
    <s v="Apply Discount / Promotion"/>
  </r>
  <r>
    <n v="723"/>
    <s v="Product_9"/>
    <x v="2"/>
    <x v="2"/>
    <n v="500"/>
    <n v="249"/>
    <n v="225"/>
    <n v="2479.2199999999998"/>
    <n v="1325.18"/>
    <n v="125"/>
    <n v="14"/>
    <s v="2026-03-14"/>
    <n v="178"/>
    <n v="1"/>
    <n v="10"/>
    <s v="Yes"/>
    <x v="1"/>
    <n v="24"/>
    <n v="0.498"/>
    <x v="2"/>
    <s v="Apply Discount / Promotion"/>
  </r>
  <r>
    <n v="724"/>
    <s v="Product_26"/>
    <x v="4"/>
    <x v="1"/>
    <n v="127"/>
    <n v="323"/>
    <n v="364"/>
    <n v="2178.38"/>
    <n v="1089.6300000000001"/>
    <n v="63"/>
    <n v="10"/>
    <s v="2026-03-09"/>
    <n v="279"/>
    <n v="5"/>
    <n v="0"/>
    <s v="Yes"/>
    <x v="1"/>
    <n v="-41"/>
    <n v="2.5433070866141732"/>
    <x v="1"/>
    <s v="Maintain Stock"/>
  </r>
  <r>
    <n v="725"/>
    <s v="Product_26"/>
    <x v="3"/>
    <x v="0"/>
    <n v="266"/>
    <n v="285"/>
    <n v="266"/>
    <n v="2799.87"/>
    <n v="2144.92"/>
    <n v="66"/>
    <n v="3"/>
    <s v="2026-02-10"/>
    <n v="355"/>
    <n v="1"/>
    <n v="8"/>
    <s v="Yes"/>
    <x v="1"/>
    <n v="19"/>
    <n v="1.0714285714285714"/>
    <x v="1"/>
    <s v="Maintain Stock"/>
  </r>
  <r>
    <n v="726"/>
    <s v="Product_84"/>
    <x v="2"/>
    <x v="3"/>
    <n v="320"/>
    <n v="379"/>
    <n v="375"/>
    <n v="207.86"/>
    <n v="120.83"/>
    <n v="104"/>
    <n v="1"/>
    <s v="2026-03-08"/>
    <n v="306"/>
    <n v="1"/>
    <n v="26"/>
    <s v="No"/>
    <x v="2"/>
    <n v="4"/>
    <n v="1.184375"/>
    <x v="1"/>
    <s v="Maintain Stock"/>
  </r>
  <r>
    <n v="727"/>
    <s v="Product_73"/>
    <x v="0"/>
    <x v="3"/>
    <n v="360"/>
    <n v="426"/>
    <n v="378"/>
    <n v="4536.41"/>
    <n v="3181.03"/>
    <n v="122"/>
    <n v="11"/>
    <s v="2026-01-27"/>
    <n v="109"/>
    <n v="1"/>
    <n v="36"/>
    <s v="Yes"/>
    <x v="1"/>
    <n v="48"/>
    <n v="1.1833333333333333"/>
    <x v="1"/>
    <s v="Maintain Stock"/>
  </r>
  <r>
    <n v="728"/>
    <s v="Product_16"/>
    <x v="1"/>
    <x v="0"/>
    <n v="333"/>
    <n v="369"/>
    <n v="387"/>
    <n v="577.91999999999996"/>
    <n v="305.69"/>
    <n v="91"/>
    <n v="15"/>
    <s v="2026-01-07"/>
    <n v="203"/>
    <n v="1"/>
    <n v="36"/>
    <s v="No"/>
    <x v="2"/>
    <n v="-18"/>
    <n v="1.1081081081081081"/>
    <x v="1"/>
    <s v="Maintain Stock"/>
  </r>
  <r>
    <n v="729"/>
    <s v="Product_45"/>
    <x v="3"/>
    <x v="1"/>
    <n v="253"/>
    <n v="136"/>
    <n v="102"/>
    <n v="3449.72"/>
    <n v="1791.08"/>
    <n v="70"/>
    <n v="9"/>
    <s v="2026-02-26"/>
    <n v="325"/>
    <n v="2"/>
    <n v="44"/>
    <s v="Yes"/>
    <x v="0"/>
    <n v="34"/>
    <n v="0.53754940711462451"/>
    <x v="0"/>
    <s v="Monitor Sales"/>
  </r>
  <r>
    <n v="730"/>
    <s v="Product_74"/>
    <x v="1"/>
    <x v="3"/>
    <n v="255"/>
    <n v="424"/>
    <n v="396"/>
    <n v="2797.29"/>
    <n v="1938.7"/>
    <n v="53"/>
    <n v="3"/>
    <s v="2026-01-02"/>
    <n v="132"/>
    <n v="4"/>
    <n v="31"/>
    <s v="Yes"/>
    <x v="0"/>
    <n v="28"/>
    <n v="1.6627450980392158"/>
    <x v="1"/>
    <s v="Maintain Stock"/>
  </r>
  <r>
    <n v="731"/>
    <s v="Product_33"/>
    <x v="3"/>
    <x v="3"/>
    <n v="487"/>
    <n v="314"/>
    <n v="356"/>
    <n v="2532.1"/>
    <n v="1826.84"/>
    <n v="139"/>
    <n v="5"/>
    <s v="2026-02-08"/>
    <n v="88"/>
    <n v="5"/>
    <n v="2"/>
    <s v="No"/>
    <x v="1"/>
    <n v="-42"/>
    <n v="0.64476386036960986"/>
    <x v="0"/>
    <s v="Monitor Sales"/>
  </r>
  <r>
    <n v="732"/>
    <s v="Product_20"/>
    <x v="2"/>
    <x v="3"/>
    <n v="259"/>
    <n v="200"/>
    <n v="216"/>
    <n v="2589.31"/>
    <n v="1699.21"/>
    <n v="97"/>
    <n v="10"/>
    <s v="2026-01-23"/>
    <n v="254"/>
    <n v="1"/>
    <n v="23"/>
    <s v="No"/>
    <x v="2"/>
    <n v="-16"/>
    <n v="0.77220077220077221"/>
    <x v="0"/>
    <s v="Monitor Sales"/>
  </r>
  <r>
    <n v="733"/>
    <s v="Product_52"/>
    <x v="2"/>
    <x v="2"/>
    <n v="48"/>
    <n v="32"/>
    <n v="22"/>
    <n v="3490.29"/>
    <n v="2087.65"/>
    <n v="65"/>
    <n v="13"/>
    <s v="2026-01-06"/>
    <n v="342"/>
    <n v="3"/>
    <n v="9"/>
    <s v="No"/>
    <x v="0"/>
    <n v="10"/>
    <n v="0.66666666666666663"/>
    <x v="0"/>
    <s v="Monitor Sales"/>
  </r>
  <r>
    <n v="734"/>
    <s v="Product_41"/>
    <x v="2"/>
    <x v="1"/>
    <n v="32"/>
    <n v="77"/>
    <n v="60"/>
    <n v="968.61"/>
    <n v="664.26"/>
    <n v="114"/>
    <n v="8"/>
    <s v="2026-02-08"/>
    <n v="310"/>
    <n v="2"/>
    <n v="41"/>
    <s v="No"/>
    <x v="2"/>
    <n v="17"/>
    <n v="2.40625"/>
    <x v="1"/>
    <s v="Maintain Stock"/>
  </r>
  <r>
    <n v="735"/>
    <s v="Product_13"/>
    <x v="4"/>
    <x v="3"/>
    <n v="370"/>
    <n v="258"/>
    <n v="292"/>
    <n v="4624.76"/>
    <n v="2760.25"/>
    <n v="57"/>
    <n v="13"/>
    <s v="2026-02-28"/>
    <n v="78"/>
    <n v="4"/>
    <n v="16"/>
    <s v="Yes"/>
    <x v="0"/>
    <n v="-34"/>
    <n v="0.69729729729729728"/>
    <x v="0"/>
    <s v="Monitor Sales"/>
  </r>
  <r>
    <n v="736"/>
    <s v="Product_50"/>
    <x v="3"/>
    <x v="1"/>
    <n v="450"/>
    <n v="236"/>
    <n v="200"/>
    <n v="4432.55"/>
    <n v="3332.71"/>
    <n v="75"/>
    <n v="3"/>
    <s v="2026-03-13"/>
    <n v="173"/>
    <n v="3"/>
    <n v="33"/>
    <s v="Yes"/>
    <x v="0"/>
    <n v="36"/>
    <n v="0.52444444444444449"/>
    <x v="0"/>
    <s v="Monitor Sales"/>
  </r>
  <r>
    <n v="737"/>
    <s v="Product_74"/>
    <x v="0"/>
    <x v="1"/>
    <n v="199"/>
    <n v="32"/>
    <n v="71"/>
    <n v="3136.39"/>
    <n v="1659.33"/>
    <n v="75"/>
    <n v="1"/>
    <s v="2026-03-01"/>
    <n v="236"/>
    <n v="3"/>
    <n v="16"/>
    <s v="Yes"/>
    <x v="2"/>
    <n v="-39"/>
    <n v="0.16080402010050251"/>
    <x v="2"/>
    <s v="Apply Discount / Promotion"/>
  </r>
  <r>
    <n v="738"/>
    <s v="Product_22"/>
    <x v="4"/>
    <x v="0"/>
    <n v="470"/>
    <n v="169"/>
    <n v="180"/>
    <n v="2370.2399999999998"/>
    <n v="1718.04"/>
    <n v="33"/>
    <n v="6"/>
    <s v="2026-02-14"/>
    <n v="170"/>
    <n v="3"/>
    <n v="48"/>
    <s v="No"/>
    <x v="2"/>
    <n v="-11"/>
    <n v="0.3595744680851064"/>
    <x v="2"/>
    <s v="Apply Discount / Promotion"/>
  </r>
  <r>
    <n v="739"/>
    <s v="Product_73"/>
    <x v="3"/>
    <x v="3"/>
    <n v="48"/>
    <n v="366"/>
    <n v="369"/>
    <n v="1184.3800000000001"/>
    <n v="693.18"/>
    <n v="92"/>
    <n v="9"/>
    <s v="2026-03-07"/>
    <n v="181"/>
    <n v="1"/>
    <n v="33"/>
    <s v="No"/>
    <x v="1"/>
    <n v="-3"/>
    <n v="7.625"/>
    <x v="1"/>
    <s v="Maintain Stock"/>
  </r>
  <r>
    <n v="740"/>
    <s v="Product_74"/>
    <x v="4"/>
    <x v="2"/>
    <n v="289"/>
    <n v="147"/>
    <n v="145"/>
    <n v="3645.17"/>
    <n v="2410.73"/>
    <n v="89"/>
    <n v="3"/>
    <s v="2026-01-08"/>
    <n v="50"/>
    <n v="4"/>
    <n v="17"/>
    <s v="Yes"/>
    <x v="0"/>
    <n v="2"/>
    <n v="0.50865051903114189"/>
    <x v="0"/>
    <s v="Monitor Sales"/>
  </r>
  <r>
    <n v="741"/>
    <s v="Product_80"/>
    <x v="0"/>
    <x v="1"/>
    <n v="480"/>
    <n v="334"/>
    <n v="324"/>
    <n v="767.16"/>
    <n v="388.21"/>
    <n v="122"/>
    <n v="11"/>
    <s v="2026-02-20"/>
    <n v="251"/>
    <n v="3"/>
    <n v="48"/>
    <s v="Yes"/>
    <x v="1"/>
    <n v="10"/>
    <n v="0.6958333333333333"/>
    <x v="0"/>
    <s v="Monitor Sales"/>
  </r>
  <r>
    <n v="742"/>
    <s v="Product_5"/>
    <x v="1"/>
    <x v="0"/>
    <n v="78"/>
    <n v="336"/>
    <n v="374"/>
    <n v="4455.17"/>
    <n v="3496.02"/>
    <n v="79"/>
    <n v="1"/>
    <s v="2026-03-05"/>
    <n v="291"/>
    <n v="4"/>
    <n v="21"/>
    <s v="Yes"/>
    <x v="0"/>
    <n v="-38"/>
    <n v="4.3076923076923075"/>
    <x v="1"/>
    <s v="Maintain Stock"/>
  </r>
  <r>
    <n v="743"/>
    <s v="Product_52"/>
    <x v="1"/>
    <x v="1"/>
    <n v="466"/>
    <n v="251"/>
    <n v="261"/>
    <n v="2539.15"/>
    <n v="1276.49"/>
    <n v="110"/>
    <n v="13"/>
    <s v="2025-12-29"/>
    <n v="248"/>
    <n v="3"/>
    <n v="21"/>
    <s v="No"/>
    <x v="1"/>
    <n v="-10"/>
    <n v="0.53862660944206009"/>
    <x v="0"/>
    <s v="Monitor Sales"/>
  </r>
  <r>
    <n v="744"/>
    <s v="Product_10"/>
    <x v="4"/>
    <x v="3"/>
    <n v="234"/>
    <n v="65"/>
    <n v="48"/>
    <n v="2281.5300000000002"/>
    <n v="1800.27"/>
    <n v="110"/>
    <n v="9"/>
    <s v="2026-01-18"/>
    <n v="272"/>
    <n v="5"/>
    <n v="43"/>
    <s v="No"/>
    <x v="0"/>
    <n v="17"/>
    <n v="0.27777777777777779"/>
    <x v="2"/>
    <s v="Apply Discount / Promotion"/>
  </r>
  <r>
    <n v="745"/>
    <s v="Product_91"/>
    <x v="2"/>
    <x v="3"/>
    <n v="93"/>
    <n v="77"/>
    <n v="64"/>
    <n v="2427.3000000000002"/>
    <n v="1886.28"/>
    <n v="49"/>
    <n v="13"/>
    <s v="2026-01-11"/>
    <n v="69"/>
    <n v="2"/>
    <n v="37"/>
    <s v="No"/>
    <x v="1"/>
    <n v="13"/>
    <n v="0.82795698924731187"/>
    <x v="0"/>
    <s v="Monitor Sales"/>
  </r>
  <r>
    <n v="746"/>
    <s v="Product_31"/>
    <x v="2"/>
    <x v="3"/>
    <n v="249"/>
    <n v="23"/>
    <n v="30"/>
    <n v="3904.52"/>
    <n v="2220.87"/>
    <n v="33"/>
    <n v="15"/>
    <s v="2026-03-22"/>
    <n v="159"/>
    <n v="5"/>
    <n v="49"/>
    <s v="No"/>
    <x v="0"/>
    <n v="-7"/>
    <n v="9.2369477911646583E-2"/>
    <x v="2"/>
    <s v="Apply Discount / Promotion"/>
  </r>
  <r>
    <n v="747"/>
    <s v="Product_22"/>
    <x v="1"/>
    <x v="3"/>
    <n v="356"/>
    <n v="44"/>
    <n v="12"/>
    <n v="857.48"/>
    <n v="520.08000000000004"/>
    <n v="141"/>
    <n v="14"/>
    <s v="2026-03-03"/>
    <n v="70"/>
    <n v="1"/>
    <n v="34"/>
    <s v="No"/>
    <x v="0"/>
    <n v="32"/>
    <n v="0.12359550561797752"/>
    <x v="2"/>
    <s v="Apply Discount / Promotion"/>
  </r>
  <r>
    <n v="748"/>
    <s v="Product_41"/>
    <x v="0"/>
    <x v="2"/>
    <n v="326"/>
    <n v="342"/>
    <n v="390"/>
    <n v="311.88"/>
    <n v="237.35"/>
    <n v="82"/>
    <n v="1"/>
    <s v="2026-03-01"/>
    <n v="179"/>
    <n v="2"/>
    <n v="47"/>
    <s v="Yes"/>
    <x v="1"/>
    <n v="-48"/>
    <n v="1.0490797546012269"/>
    <x v="1"/>
    <s v="Maintain Stock"/>
  </r>
  <r>
    <n v="749"/>
    <s v="Product_91"/>
    <x v="1"/>
    <x v="0"/>
    <n v="460"/>
    <n v="113"/>
    <n v="98"/>
    <n v="4309.1000000000004"/>
    <n v="2797.26"/>
    <n v="50"/>
    <n v="8"/>
    <s v="2026-01-21"/>
    <n v="338"/>
    <n v="4"/>
    <n v="44"/>
    <s v="Yes"/>
    <x v="1"/>
    <n v="15"/>
    <n v="0.24565217391304348"/>
    <x v="2"/>
    <s v="Apply Discount / Promotion"/>
  </r>
  <r>
    <n v="750"/>
    <s v="Product_79"/>
    <x v="2"/>
    <x v="0"/>
    <n v="317"/>
    <n v="189"/>
    <n v="164"/>
    <n v="1024.1500000000001"/>
    <n v="649.48"/>
    <n v="54"/>
    <n v="10"/>
    <s v="2026-03-26"/>
    <n v="196"/>
    <n v="1"/>
    <n v="36"/>
    <s v="No"/>
    <x v="1"/>
    <n v="25"/>
    <n v="0.59621451104100942"/>
    <x v="0"/>
    <s v="Monitor Sales"/>
  </r>
  <r>
    <n v="751"/>
    <s v="Product_83"/>
    <x v="4"/>
    <x v="2"/>
    <n v="205"/>
    <n v="78"/>
    <n v="40"/>
    <n v="4547.18"/>
    <n v="3107.22"/>
    <n v="146"/>
    <n v="13"/>
    <s v="2026-02-02"/>
    <n v="124"/>
    <n v="2"/>
    <n v="35"/>
    <s v="Yes"/>
    <x v="2"/>
    <n v="38"/>
    <n v="0.38048780487804879"/>
    <x v="2"/>
    <s v="Apply Discount / Promotion"/>
  </r>
  <r>
    <n v="752"/>
    <s v="Product_82"/>
    <x v="1"/>
    <x v="0"/>
    <n v="183"/>
    <n v="167"/>
    <n v="198"/>
    <n v="4175.8599999999997"/>
    <n v="2283.66"/>
    <n v="81"/>
    <n v="6"/>
    <s v="2026-03-20"/>
    <n v="273"/>
    <n v="3"/>
    <n v="33"/>
    <s v="Yes"/>
    <x v="1"/>
    <n v="-31"/>
    <n v="0.91256830601092898"/>
    <x v="0"/>
    <s v="Monitor Sales"/>
  </r>
  <r>
    <n v="753"/>
    <s v="Product_26"/>
    <x v="1"/>
    <x v="2"/>
    <n v="328"/>
    <n v="389"/>
    <n v="387"/>
    <n v="3485.2"/>
    <n v="2466.15"/>
    <n v="139"/>
    <n v="12"/>
    <s v="2026-03-24"/>
    <n v="309"/>
    <n v="3"/>
    <n v="36"/>
    <s v="Yes"/>
    <x v="1"/>
    <n v="2"/>
    <n v="1.1859756097560976"/>
    <x v="1"/>
    <s v="Maintain Stock"/>
  </r>
  <r>
    <n v="754"/>
    <s v="Product_93"/>
    <x v="2"/>
    <x v="2"/>
    <n v="359"/>
    <n v="146"/>
    <n v="192"/>
    <n v="3831.87"/>
    <n v="2318.46"/>
    <n v="74"/>
    <n v="6"/>
    <s v="2026-02-19"/>
    <n v="325"/>
    <n v="3"/>
    <n v="49"/>
    <s v="No"/>
    <x v="0"/>
    <n v="-46"/>
    <n v="0.40668523676880225"/>
    <x v="2"/>
    <s v="Apply Discount / Promotion"/>
  </r>
  <r>
    <n v="755"/>
    <s v="Product_65"/>
    <x v="2"/>
    <x v="1"/>
    <n v="166"/>
    <n v="254"/>
    <n v="267"/>
    <n v="2531.91"/>
    <n v="1642.46"/>
    <n v="86"/>
    <n v="9"/>
    <s v="2026-02-17"/>
    <n v="135"/>
    <n v="3"/>
    <n v="34"/>
    <s v="Yes"/>
    <x v="1"/>
    <n v="-13"/>
    <n v="1.5301204819277108"/>
    <x v="1"/>
    <s v="Maintain Stock"/>
  </r>
  <r>
    <n v="756"/>
    <s v="Product_33"/>
    <x v="3"/>
    <x v="3"/>
    <n v="238"/>
    <n v="359"/>
    <n v="383"/>
    <n v="4381.92"/>
    <n v="3237.02"/>
    <n v="53"/>
    <n v="1"/>
    <s v="2026-03-23"/>
    <n v="112"/>
    <n v="3"/>
    <n v="5"/>
    <s v="Yes"/>
    <x v="0"/>
    <n v="-24"/>
    <n v="1.5084033613445378"/>
    <x v="1"/>
    <s v="Maintain Stock"/>
  </r>
  <r>
    <n v="757"/>
    <s v="Product_20"/>
    <x v="3"/>
    <x v="2"/>
    <n v="334"/>
    <n v="168"/>
    <n v="213"/>
    <n v="530.26"/>
    <n v="287.87"/>
    <n v="52"/>
    <n v="9"/>
    <s v="2026-03-09"/>
    <n v="162"/>
    <n v="2"/>
    <n v="20"/>
    <s v="Yes"/>
    <x v="1"/>
    <n v="-45"/>
    <n v="0.50299401197604787"/>
    <x v="0"/>
    <s v="Monitor Sales"/>
  </r>
  <r>
    <n v="758"/>
    <s v="Product_44"/>
    <x v="3"/>
    <x v="2"/>
    <n v="165"/>
    <n v="75"/>
    <n v="95"/>
    <n v="976.94"/>
    <n v="704.95"/>
    <n v="58"/>
    <n v="10"/>
    <s v="2026-01-03"/>
    <n v="265"/>
    <n v="1"/>
    <n v="30"/>
    <s v="Yes"/>
    <x v="0"/>
    <n v="-20"/>
    <n v="0.45454545454545453"/>
    <x v="2"/>
    <s v="Apply Discount / Promotion"/>
  </r>
  <r>
    <n v="759"/>
    <s v="Product_26"/>
    <x v="0"/>
    <x v="0"/>
    <n v="374"/>
    <n v="131"/>
    <n v="168"/>
    <n v="4466.8900000000003"/>
    <n v="2885.87"/>
    <n v="80"/>
    <n v="2"/>
    <s v="2026-03-19"/>
    <n v="56"/>
    <n v="1"/>
    <n v="49"/>
    <s v="Yes"/>
    <x v="0"/>
    <n v="-37"/>
    <n v="0.3502673796791444"/>
    <x v="2"/>
    <s v="Apply Discount / Promotion"/>
  </r>
  <r>
    <n v="760"/>
    <s v="Product_41"/>
    <x v="3"/>
    <x v="2"/>
    <n v="223"/>
    <n v="409"/>
    <n v="380"/>
    <n v="4107.17"/>
    <n v="3045.57"/>
    <n v="74"/>
    <n v="5"/>
    <s v="2026-03-10"/>
    <n v="348"/>
    <n v="3"/>
    <n v="30"/>
    <s v="No"/>
    <x v="0"/>
    <n v="29"/>
    <n v="1.8340807174887892"/>
    <x v="1"/>
    <s v="Maintain Stock"/>
  </r>
  <r>
    <n v="761"/>
    <s v="Product_65"/>
    <x v="2"/>
    <x v="0"/>
    <n v="495"/>
    <n v="219"/>
    <n v="248"/>
    <n v="1203.94"/>
    <n v="896.49"/>
    <n v="59"/>
    <n v="3"/>
    <s v="2026-03-26"/>
    <n v="176"/>
    <n v="3"/>
    <n v="43"/>
    <s v="Yes"/>
    <x v="1"/>
    <n v="-29"/>
    <n v="0.44242424242424244"/>
    <x v="2"/>
    <s v="Apply Discount / Promotion"/>
  </r>
  <r>
    <n v="762"/>
    <s v="Product_85"/>
    <x v="3"/>
    <x v="3"/>
    <n v="468"/>
    <n v="284"/>
    <n v="244"/>
    <n v="3319.51"/>
    <n v="1844.94"/>
    <n v="126"/>
    <n v="15"/>
    <s v="2026-02-15"/>
    <n v="306"/>
    <n v="1"/>
    <n v="7"/>
    <s v="Yes"/>
    <x v="0"/>
    <n v="40"/>
    <n v="0.60683760683760679"/>
    <x v="0"/>
    <s v="Monitor Sales"/>
  </r>
  <r>
    <n v="763"/>
    <s v="Product_73"/>
    <x v="4"/>
    <x v="0"/>
    <n v="384"/>
    <n v="170"/>
    <n v="144"/>
    <n v="182.22"/>
    <n v="108.68"/>
    <n v="116"/>
    <n v="13"/>
    <s v="2026-02-04"/>
    <n v="309"/>
    <n v="4"/>
    <n v="17"/>
    <s v="No"/>
    <x v="1"/>
    <n v="26"/>
    <n v="0.44270833333333331"/>
    <x v="2"/>
    <s v="Apply Discount / Promotion"/>
  </r>
  <r>
    <n v="764"/>
    <s v="Product_43"/>
    <x v="1"/>
    <x v="1"/>
    <n v="122"/>
    <n v="429"/>
    <n v="388"/>
    <n v="265.38"/>
    <n v="166.57"/>
    <n v="119"/>
    <n v="9"/>
    <s v="2025-12-29"/>
    <n v="151"/>
    <n v="5"/>
    <n v="30"/>
    <s v="No"/>
    <x v="1"/>
    <n v="41"/>
    <n v="3.5163934426229506"/>
    <x v="1"/>
    <s v="Maintain Stock"/>
  </r>
  <r>
    <n v="765"/>
    <s v="Product_14"/>
    <x v="4"/>
    <x v="0"/>
    <n v="335"/>
    <n v="313"/>
    <n v="320"/>
    <n v="3600.36"/>
    <n v="2271.3000000000002"/>
    <n v="149"/>
    <n v="9"/>
    <s v="2026-01-03"/>
    <n v="157"/>
    <n v="4"/>
    <n v="4"/>
    <s v="No"/>
    <x v="1"/>
    <n v="-7"/>
    <n v="0.93432835820895521"/>
    <x v="0"/>
    <s v="Monitor Sales"/>
  </r>
  <r>
    <n v="766"/>
    <s v="Product_48"/>
    <x v="1"/>
    <x v="0"/>
    <n v="141"/>
    <n v="386"/>
    <n v="356"/>
    <n v="2365.11"/>
    <n v="1671.14"/>
    <n v="114"/>
    <n v="12"/>
    <s v="2026-01-13"/>
    <n v="348"/>
    <n v="5"/>
    <n v="14"/>
    <s v="Yes"/>
    <x v="2"/>
    <n v="30"/>
    <n v="2.7375886524822697"/>
    <x v="1"/>
    <s v="Maintain Stock"/>
  </r>
  <r>
    <n v="767"/>
    <s v="Product_21"/>
    <x v="3"/>
    <x v="0"/>
    <n v="119"/>
    <n v="127"/>
    <n v="119"/>
    <n v="3138.06"/>
    <n v="2106.2399999999998"/>
    <n v="101"/>
    <n v="15"/>
    <s v="2026-01-25"/>
    <n v="183"/>
    <n v="2"/>
    <n v="7"/>
    <s v="No"/>
    <x v="1"/>
    <n v="8"/>
    <n v="1.0672268907563025"/>
    <x v="1"/>
    <s v="Maintain Stock"/>
  </r>
  <r>
    <n v="768"/>
    <s v="Product_54"/>
    <x v="4"/>
    <x v="0"/>
    <n v="369"/>
    <n v="305"/>
    <n v="352"/>
    <n v="4479.16"/>
    <n v="2685.6"/>
    <n v="119"/>
    <n v="2"/>
    <s v="2026-01-20"/>
    <n v="235"/>
    <n v="3"/>
    <n v="5"/>
    <s v="No"/>
    <x v="0"/>
    <n v="-47"/>
    <n v="0.82655826558265577"/>
    <x v="0"/>
    <s v="Monitor Sales"/>
  </r>
  <r>
    <n v="769"/>
    <s v="Product_3"/>
    <x v="0"/>
    <x v="2"/>
    <n v="411"/>
    <n v="349"/>
    <n v="361"/>
    <n v="2731.59"/>
    <n v="1592.79"/>
    <n v="119"/>
    <n v="15"/>
    <s v="2026-02-12"/>
    <n v="90"/>
    <n v="2"/>
    <n v="16"/>
    <s v="Yes"/>
    <x v="1"/>
    <n v="-12"/>
    <n v="0.84914841849148415"/>
    <x v="0"/>
    <s v="Monitor Sales"/>
  </r>
  <r>
    <n v="770"/>
    <s v="Product_19"/>
    <x v="2"/>
    <x v="0"/>
    <n v="439"/>
    <n v="319"/>
    <n v="367"/>
    <n v="1037.8499999999999"/>
    <n v="795.06"/>
    <n v="63"/>
    <n v="3"/>
    <s v="2026-01-29"/>
    <n v="206"/>
    <n v="1"/>
    <n v="12"/>
    <s v="No"/>
    <x v="2"/>
    <n v="-48"/>
    <n v="0.72665148063781326"/>
    <x v="0"/>
    <s v="Monitor Sales"/>
  </r>
  <r>
    <n v="771"/>
    <s v="Product_11"/>
    <x v="1"/>
    <x v="1"/>
    <n v="465"/>
    <n v="281"/>
    <n v="280"/>
    <n v="1651.09"/>
    <n v="1284.55"/>
    <n v="62"/>
    <n v="13"/>
    <s v="2026-01-16"/>
    <n v="308"/>
    <n v="4"/>
    <n v="4"/>
    <s v="Yes"/>
    <x v="2"/>
    <n v="1"/>
    <n v="0.60430107526881716"/>
    <x v="0"/>
    <s v="Monitor Sales"/>
  </r>
  <r>
    <n v="772"/>
    <s v="Product_93"/>
    <x v="3"/>
    <x v="1"/>
    <n v="293"/>
    <n v="204"/>
    <n v="184"/>
    <n v="504.3"/>
    <n v="354.28"/>
    <n v="74"/>
    <n v="13"/>
    <s v="2026-01-14"/>
    <n v="359"/>
    <n v="5"/>
    <n v="32"/>
    <s v="No"/>
    <x v="1"/>
    <n v="20"/>
    <n v="0.69624573378839594"/>
    <x v="0"/>
    <s v="Monitor Sales"/>
  </r>
  <r>
    <n v="773"/>
    <s v="Product_24"/>
    <x v="1"/>
    <x v="2"/>
    <n v="137"/>
    <n v="37"/>
    <n v="56"/>
    <n v="2884.43"/>
    <n v="2087.87"/>
    <n v="33"/>
    <n v="10"/>
    <s v="2026-01-03"/>
    <n v="332"/>
    <n v="3"/>
    <n v="2"/>
    <s v="Yes"/>
    <x v="1"/>
    <n v="-19"/>
    <n v="0.27007299270072993"/>
    <x v="2"/>
    <s v="Apply Discount / Promotion"/>
  </r>
  <r>
    <n v="774"/>
    <s v="Product_28"/>
    <x v="0"/>
    <x v="1"/>
    <n v="249"/>
    <n v="361"/>
    <n v="363"/>
    <n v="248.57"/>
    <n v="128.47"/>
    <n v="150"/>
    <n v="8"/>
    <s v="2026-02-24"/>
    <n v="192"/>
    <n v="5"/>
    <n v="17"/>
    <s v="Yes"/>
    <x v="1"/>
    <n v="-2"/>
    <n v="1.4497991967871486"/>
    <x v="1"/>
    <s v="Maintain Stock"/>
  </r>
  <r>
    <n v="775"/>
    <s v="Product_64"/>
    <x v="3"/>
    <x v="3"/>
    <n v="489"/>
    <n v="135"/>
    <n v="170"/>
    <n v="492.97"/>
    <n v="285.24"/>
    <n v="139"/>
    <n v="1"/>
    <s v="2026-02-02"/>
    <n v="152"/>
    <n v="5"/>
    <n v="4"/>
    <s v="No"/>
    <x v="1"/>
    <n v="-35"/>
    <n v="0.27607361963190186"/>
    <x v="2"/>
    <s v="Apply Discount / Promotion"/>
  </r>
  <r>
    <n v="776"/>
    <s v="Product_70"/>
    <x v="3"/>
    <x v="1"/>
    <n v="189"/>
    <n v="69"/>
    <n v="49"/>
    <n v="4313.47"/>
    <n v="3124.8"/>
    <n v="72"/>
    <n v="9"/>
    <s v="2026-02-11"/>
    <n v="263"/>
    <n v="5"/>
    <n v="43"/>
    <s v="No"/>
    <x v="1"/>
    <n v="20"/>
    <n v="0.36507936507936506"/>
    <x v="2"/>
    <s v="Apply Discount / Promotion"/>
  </r>
  <r>
    <n v="777"/>
    <s v="Product_93"/>
    <x v="2"/>
    <x v="3"/>
    <n v="262"/>
    <n v="306"/>
    <n v="260"/>
    <n v="4886.13"/>
    <n v="3165.63"/>
    <n v="56"/>
    <n v="2"/>
    <s v="2026-02-24"/>
    <n v="298"/>
    <n v="1"/>
    <n v="41"/>
    <s v="Yes"/>
    <x v="1"/>
    <n v="46"/>
    <n v="1.16793893129771"/>
    <x v="1"/>
    <s v="Maintain Stock"/>
  </r>
  <r>
    <n v="778"/>
    <s v="Product_75"/>
    <x v="3"/>
    <x v="1"/>
    <n v="127"/>
    <n v="289"/>
    <n v="246"/>
    <n v="391.43"/>
    <n v="211.82"/>
    <n v="91"/>
    <n v="15"/>
    <s v="2026-02-11"/>
    <n v="268"/>
    <n v="3"/>
    <n v="11"/>
    <s v="Yes"/>
    <x v="1"/>
    <n v="43"/>
    <n v="2.2755905511811023"/>
    <x v="1"/>
    <s v="Maintain Stock"/>
  </r>
  <r>
    <n v="779"/>
    <s v="Product_39"/>
    <x v="4"/>
    <x v="0"/>
    <n v="438"/>
    <n v="247"/>
    <n v="198"/>
    <n v="3449.43"/>
    <n v="1785.2"/>
    <n v="98"/>
    <n v="7"/>
    <s v="2026-01-01"/>
    <n v="120"/>
    <n v="3"/>
    <n v="42"/>
    <s v="No"/>
    <x v="1"/>
    <n v="49"/>
    <n v="0.5639269406392694"/>
    <x v="0"/>
    <s v="Monitor Sales"/>
  </r>
  <r>
    <n v="780"/>
    <s v="Product_10"/>
    <x v="2"/>
    <x v="3"/>
    <n v="422"/>
    <n v="97"/>
    <n v="48"/>
    <n v="4706.75"/>
    <n v="2534.61"/>
    <n v="36"/>
    <n v="1"/>
    <s v="2026-02-15"/>
    <n v="44"/>
    <n v="4"/>
    <n v="31"/>
    <s v="Yes"/>
    <x v="2"/>
    <n v="49"/>
    <n v="0.22985781990521326"/>
    <x v="2"/>
    <s v="Apply Discount / Promotion"/>
  </r>
  <r>
    <n v="781"/>
    <s v="Product_57"/>
    <x v="3"/>
    <x v="1"/>
    <n v="342"/>
    <n v="128"/>
    <n v="178"/>
    <n v="4135.88"/>
    <n v="3242.75"/>
    <n v="111"/>
    <n v="15"/>
    <s v="2026-02-23"/>
    <n v="182"/>
    <n v="5"/>
    <n v="33"/>
    <s v="Yes"/>
    <x v="1"/>
    <n v="-50"/>
    <n v="0.3742690058479532"/>
    <x v="2"/>
    <s v="Apply Discount / Promotion"/>
  </r>
  <r>
    <n v="782"/>
    <s v="Product_49"/>
    <x v="4"/>
    <x v="0"/>
    <n v="188"/>
    <n v="212"/>
    <n v="198"/>
    <n v="314.64"/>
    <n v="213.03"/>
    <n v="65"/>
    <n v="12"/>
    <s v="2026-03-10"/>
    <n v="132"/>
    <n v="4"/>
    <n v="44"/>
    <s v="No"/>
    <x v="1"/>
    <n v="14"/>
    <n v="1.1276595744680851"/>
    <x v="1"/>
    <s v="Maintain Stock"/>
  </r>
  <r>
    <n v="783"/>
    <s v="Product_12"/>
    <x v="0"/>
    <x v="2"/>
    <n v="218"/>
    <n v="132"/>
    <n v="123"/>
    <n v="2076.9899999999998"/>
    <n v="1274.47"/>
    <n v="45"/>
    <n v="6"/>
    <s v="2026-02-27"/>
    <n v="221"/>
    <n v="5"/>
    <n v="2"/>
    <s v="Yes"/>
    <x v="2"/>
    <n v="9"/>
    <n v="0.60550458715596334"/>
    <x v="0"/>
    <s v="Monitor Sales"/>
  </r>
  <r>
    <n v="784"/>
    <s v="Product_95"/>
    <x v="3"/>
    <x v="0"/>
    <n v="112"/>
    <n v="138"/>
    <n v="135"/>
    <n v="1409.55"/>
    <n v="920.83"/>
    <n v="106"/>
    <n v="14"/>
    <s v="2026-02-13"/>
    <n v="120"/>
    <n v="2"/>
    <n v="5"/>
    <s v="Yes"/>
    <x v="0"/>
    <n v="3"/>
    <n v="1.2321428571428572"/>
    <x v="1"/>
    <s v="Maintain Stock"/>
  </r>
  <r>
    <n v="785"/>
    <s v="Product_6"/>
    <x v="4"/>
    <x v="1"/>
    <n v="257"/>
    <n v="314"/>
    <n v="288"/>
    <n v="2123.83"/>
    <n v="1462.89"/>
    <n v="67"/>
    <n v="11"/>
    <s v="2026-02-10"/>
    <n v="234"/>
    <n v="2"/>
    <n v="30"/>
    <s v="Yes"/>
    <x v="0"/>
    <n v="26"/>
    <n v="1.2217898832684826"/>
    <x v="1"/>
    <s v="Maintain Stock"/>
  </r>
  <r>
    <n v="786"/>
    <s v="Product_26"/>
    <x v="0"/>
    <x v="0"/>
    <n v="417"/>
    <n v="351"/>
    <n v="320"/>
    <n v="2185.89"/>
    <n v="1322.32"/>
    <n v="66"/>
    <n v="6"/>
    <s v="2026-01-03"/>
    <n v="138"/>
    <n v="3"/>
    <n v="48"/>
    <s v="Yes"/>
    <x v="0"/>
    <n v="31"/>
    <n v="0.84172661870503596"/>
    <x v="0"/>
    <s v="Monitor Sales"/>
  </r>
  <r>
    <n v="787"/>
    <s v="Product_22"/>
    <x v="4"/>
    <x v="3"/>
    <n v="165"/>
    <n v="78"/>
    <n v="103"/>
    <n v="2377.13"/>
    <n v="1805.94"/>
    <n v="106"/>
    <n v="3"/>
    <s v="2026-02-26"/>
    <n v="196"/>
    <n v="2"/>
    <n v="49"/>
    <s v="Yes"/>
    <x v="2"/>
    <n v="-25"/>
    <n v="0.47272727272727272"/>
    <x v="2"/>
    <s v="Apply Discount / Promotion"/>
  </r>
  <r>
    <n v="788"/>
    <s v="Product_42"/>
    <x v="4"/>
    <x v="2"/>
    <n v="350"/>
    <n v="365"/>
    <n v="397"/>
    <n v="1713.55"/>
    <n v="1111.3"/>
    <n v="30"/>
    <n v="6"/>
    <s v="2026-01-18"/>
    <n v="37"/>
    <n v="4"/>
    <n v="38"/>
    <s v="No"/>
    <x v="0"/>
    <n v="-32"/>
    <n v="1.0428571428571429"/>
    <x v="1"/>
    <s v="Maintain Stock"/>
  </r>
  <r>
    <n v="789"/>
    <s v="Product_27"/>
    <x v="1"/>
    <x v="0"/>
    <n v="307"/>
    <n v="139"/>
    <n v="187"/>
    <n v="1473.66"/>
    <n v="881.3"/>
    <n v="100"/>
    <n v="7"/>
    <s v="2026-01-07"/>
    <n v="183"/>
    <n v="4"/>
    <n v="27"/>
    <s v="Yes"/>
    <x v="2"/>
    <n v="-48"/>
    <n v="0.45276872964169379"/>
    <x v="2"/>
    <s v="Apply Discount / Promotion"/>
  </r>
  <r>
    <n v="790"/>
    <s v="Product_58"/>
    <x v="1"/>
    <x v="1"/>
    <n v="328"/>
    <n v="18"/>
    <n v="24"/>
    <n v="4891.01"/>
    <n v="3258.89"/>
    <n v="52"/>
    <n v="8"/>
    <s v="2026-03-06"/>
    <n v="56"/>
    <n v="2"/>
    <n v="18"/>
    <s v="No"/>
    <x v="0"/>
    <n v="-6"/>
    <n v="5.4878048780487805E-2"/>
    <x v="2"/>
    <s v="Apply Discount / Promotion"/>
  </r>
  <r>
    <n v="791"/>
    <s v="Product_6"/>
    <x v="3"/>
    <x v="1"/>
    <n v="118"/>
    <n v="355"/>
    <n v="316"/>
    <n v="2171.9299999999998"/>
    <n v="1718.19"/>
    <n v="105"/>
    <n v="1"/>
    <s v="2026-01-15"/>
    <n v="234"/>
    <n v="1"/>
    <n v="22"/>
    <s v="Yes"/>
    <x v="1"/>
    <n v="39"/>
    <n v="3.0084745762711864"/>
    <x v="1"/>
    <s v="Maintain Stock"/>
  </r>
  <r>
    <n v="792"/>
    <s v="Product_35"/>
    <x v="4"/>
    <x v="3"/>
    <n v="480"/>
    <n v="274"/>
    <n v="253"/>
    <n v="3958.44"/>
    <n v="2838.97"/>
    <n v="51"/>
    <n v="7"/>
    <s v="2026-03-16"/>
    <n v="251"/>
    <n v="1"/>
    <n v="20"/>
    <s v="No"/>
    <x v="0"/>
    <n v="21"/>
    <n v="0.5708333333333333"/>
    <x v="0"/>
    <s v="Monitor Sales"/>
  </r>
  <r>
    <n v="793"/>
    <s v="Product_55"/>
    <x v="1"/>
    <x v="3"/>
    <n v="269"/>
    <n v="123"/>
    <n v="147"/>
    <n v="3945.66"/>
    <n v="2913.65"/>
    <n v="102"/>
    <n v="2"/>
    <s v="2026-03-24"/>
    <n v="239"/>
    <n v="5"/>
    <n v="24"/>
    <s v="No"/>
    <x v="1"/>
    <n v="-24"/>
    <n v="0.45724907063197023"/>
    <x v="2"/>
    <s v="Apply Discount / Promotion"/>
  </r>
  <r>
    <n v="794"/>
    <s v="Product_10"/>
    <x v="0"/>
    <x v="1"/>
    <n v="497"/>
    <n v="126"/>
    <n v="151"/>
    <n v="2170.6799999999998"/>
    <n v="1149.28"/>
    <n v="121"/>
    <n v="13"/>
    <s v="2026-03-05"/>
    <n v="155"/>
    <n v="1"/>
    <n v="49"/>
    <s v="Yes"/>
    <x v="2"/>
    <n v="-25"/>
    <n v="0.25352112676056338"/>
    <x v="2"/>
    <s v="Apply Discount / Promotion"/>
  </r>
  <r>
    <n v="795"/>
    <s v="Product_39"/>
    <x v="0"/>
    <x v="0"/>
    <n v="113"/>
    <n v="65"/>
    <n v="37"/>
    <n v="1590.68"/>
    <n v="1242.25"/>
    <n v="142"/>
    <n v="6"/>
    <s v="2026-02-26"/>
    <n v="155"/>
    <n v="1"/>
    <n v="50"/>
    <s v="No"/>
    <x v="1"/>
    <n v="28"/>
    <n v="0.5752212389380531"/>
    <x v="0"/>
    <s v="Monitor Sales"/>
  </r>
  <r>
    <n v="796"/>
    <s v="Product_68"/>
    <x v="2"/>
    <x v="3"/>
    <n v="433"/>
    <n v="330"/>
    <n v="312"/>
    <n v="1145.3599999999999"/>
    <n v="580.33000000000004"/>
    <n v="144"/>
    <n v="4"/>
    <s v="2026-01-06"/>
    <n v="89"/>
    <n v="1"/>
    <n v="16"/>
    <s v="Yes"/>
    <x v="0"/>
    <n v="18"/>
    <n v="0.76212471131639725"/>
    <x v="0"/>
    <s v="Monitor Sales"/>
  </r>
  <r>
    <n v="797"/>
    <s v="Product_46"/>
    <x v="2"/>
    <x v="1"/>
    <n v="425"/>
    <n v="6"/>
    <n v="46"/>
    <n v="3773.99"/>
    <n v="2891.7"/>
    <n v="129"/>
    <n v="3"/>
    <s v="2026-01-27"/>
    <n v="266"/>
    <n v="4"/>
    <n v="2"/>
    <s v="Yes"/>
    <x v="1"/>
    <n v="-40"/>
    <n v="1.411764705882353E-2"/>
    <x v="2"/>
    <s v="Apply Discount / Promotion"/>
  </r>
  <r>
    <n v="798"/>
    <s v="Product_23"/>
    <x v="0"/>
    <x v="1"/>
    <n v="152"/>
    <n v="354"/>
    <n v="371"/>
    <n v="1512.06"/>
    <n v="1164.54"/>
    <n v="107"/>
    <n v="7"/>
    <s v="2026-01-31"/>
    <n v="153"/>
    <n v="1"/>
    <n v="39"/>
    <s v="No"/>
    <x v="2"/>
    <n v="-17"/>
    <n v="2.3289473684210527"/>
    <x v="1"/>
    <s v="Maintain Stock"/>
  </r>
  <r>
    <n v="799"/>
    <s v="Product_77"/>
    <x v="1"/>
    <x v="0"/>
    <n v="25"/>
    <n v="140"/>
    <n v="125"/>
    <n v="4146.93"/>
    <n v="2611.6"/>
    <n v="34"/>
    <n v="10"/>
    <s v="2026-03-19"/>
    <n v="175"/>
    <n v="4"/>
    <n v="28"/>
    <s v="Yes"/>
    <x v="2"/>
    <n v="15"/>
    <n v="5.6"/>
    <x v="1"/>
    <s v="Maintain Stock"/>
  </r>
  <r>
    <n v="800"/>
    <s v="Product_67"/>
    <x v="4"/>
    <x v="1"/>
    <n v="44"/>
    <n v="253"/>
    <n v="267"/>
    <n v="119.8"/>
    <n v="69.91"/>
    <n v="85"/>
    <n v="14"/>
    <s v="2026-01-28"/>
    <n v="167"/>
    <n v="5"/>
    <n v="39"/>
    <s v="No"/>
    <x v="2"/>
    <n v="-14"/>
    <n v="5.75"/>
    <x v="1"/>
    <s v="Maintain Stock"/>
  </r>
  <r>
    <n v="801"/>
    <s v="Product_23"/>
    <x v="4"/>
    <x v="3"/>
    <n v="489"/>
    <n v="26"/>
    <n v="25"/>
    <n v="760.11"/>
    <n v="501.6"/>
    <n v="128"/>
    <n v="12"/>
    <s v="2026-01-04"/>
    <n v="248"/>
    <n v="5"/>
    <n v="16"/>
    <s v="No"/>
    <x v="2"/>
    <n v="1"/>
    <n v="5.3169734151329244E-2"/>
    <x v="2"/>
    <s v="Apply Discount / Promotion"/>
  </r>
  <r>
    <n v="802"/>
    <s v="Product_45"/>
    <x v="0"/>
    <x v="3"/>
    <n v="288"/>
    <n v="141"/>
    <n v="103"/>
    <n v="1925.14"/>
    <n v="1006.24"/>
    <n v="79"/>
    <n v="8"/>
    <s v="2026-01-05"/>
    <n v="308"/>
    <n v="3"/>
    <n v="39"/>
    <s v="Yes"/>
    <x v="2"/>
    <n v="38"/>
    <n v="0.48958333333333331"/>
    <x v="2"/>
    <s v="Apply Discount / Promotion"/>
  </r>
  <r>
    <n v="803"/>
    <s v="Product_83"/>
    <x v="0"/>
    <x v="1"/>
    <n v="433"/>
    <n v="135"/>
    <n v="184"/>
    <n v="277.95"/>
    <n v="161.91"/>
    <n v="62"/>
    <n v="9"/>
    <s v="2026-01-15"/>
    <n v="322"/>
    <n v="2"/>
    <n v="40"/>
    <s v="No"/>
    <x v="2"/>
    <n v="-49"/>
    <n v="0.31177829099307158"/>
    <x v="2"/>
    <s v="Apply Discount / Promotion"/>
  </r>
  <r>
    <n v="804"/>
    <s v="Product_23"/>
    <x v="3"/>
    <x v="2"/>
    <n v="416"/>
    <n v="155"/>
    <n v="126"/>
    <n v="4401.08"/>
    <n v="2588.17"/>
    <n v="84"/>
    <n v="13"/>
    <s v="2026-02-24"/>
    <n v="258"/>
    <n v="1"/>
    <n v="26"/>
    <s v="No"/>
    <x v="0"/>
    <n v="29"/>
    <n v="0.37259615384615385"/>
    <x v="2"/>
    <s v="Apply Discount / Promotion"/>
  </r>
  <r>
    <n v="805"/>
    <s v="Product_57"/>
    <x v="2"/>
    <x v="0"/>
    <n v="312"/>
    <n v="242"/>
    <n v="226"/>
    <n v="4327.04"/>
    <n v="2755.14"/>
    <n v="83"/>
    <n v="14"/>
    <s v="2026-03-06"/>
    <n v="217"/>
    <n v="3"/>
    <n v="17"/>
    <s v="No"/>
    <x v="1"/>
    <n v="16"/>
    <n v="0.77564102564102566"/>
    <x v="0"/>
    <s v="Monitor Sales"/>
  </r>
  <r>
    <n v="806"/>
    <s v="Product_89"/>
    <x v="4"/>
    <x v="1"/>
    <n v="298"/>
    <n v="385"/>
    <n v="352"/>
    <n v="1395.21"/>
    <n v="853.33"/>
    <n v="70"/>
    <n v="3"/>
    <s v="2026-03-15"/>
    <n v="365"/>
    <n v="3"/>
    <n v="23"/>
    <s v="Yes"/>
    <x v="2"/>
    <n v="33"/>
    <n v="1.2919463087248322"/>
    <x v="1"/>
    <s v="Maintain Stock"/>
  </r>
  <r>
    <n v="807"/>
    <s v="Product_90"/>
    <x v="1"/>
    <x v="2"/>
    <n v="124"/>
    <n v="359"/>
    <n v="368"/>
    <n v="1248.57"/>
    <n v="846"/>
    <n v="120"/>
    <n v="5"/>
    <s v="2026-03-11"/>
    <n v="155"/>
    <n v="2"/>
    <n v="34"/>
    <s v="No"/>
    <x v="0"/>
    <n v="-9"/>
    <n v="2.8951612903225805"/>
    <x v="1"/>
    <s v="Maintain Stock"/>
  </r>
  <r>
    <n v="808"/>
    <s v="Product_50"/>
    <x v="2"/>
    <x v="0"/>
    <n v="186"/>
    <n v="270"/>
    <n v="225"/>
    <n v="4424.79"/>
    <n v="2841.72"/>
    <n v="95"/>
    <n v="10"/>
    <s v="2026-03-10"/>
    <n v="216"/>
    <n v="4"/>
    <n v="48"/>
    <s v="No"/>
    <x v="2"/>
    <n v="45"/>
    <n v="1.4516129032258065"/>
    <x v="1"/>
    <s v="Maintain Stock"/>
  </r>
  <r>
    <n v="809"/>
    <s v="Product_39"/>
    <x v="0"/>
    <x v="1"/>
    <n v="152"/>
    <n v="265"/>
    <n v="296"/>
    <n v="1564.01"/>
    <n v="1100.3800000000001"/>
    <n v="79"/>
    <n v="5"/>
    <s v="2026-01-16"/>
    <n v="179"/>
    <n v="2"/>
    <n v="8"/>
    <s v="No"/>
    <x v="0"/>
    <n v="-31"/>
    <n v="1.743421052631579"/>
    <x v="1"/>
    <s v="Maintain Stock"/>
  </r>
  <r>
    <n v="810"/>
    <s v="Product_3"/>
    <x v="2"/>
    <x v="1"/>
    <n v="480"/>
    <n v="10"/>
    <n v="13"/>
    <n v="178.41"/>
    <n v="100.65"/>
    <n v="50"/>
    <n v="6"/>
    <s v="2026-03-15"/>
    <n v="189"/>
    <n v="2"/>
    <n v="0"/>
    <s v="No"/>
    <x v="1"/>
    <n v="-3"/>
    <n v="2.0833333333333332E-2"/>
    <x v="2"/>
    <s v="Apply Discount / Promotion"/>
  </r>
  <r>
    <n v="811"/>
    <s v="Product_91"/>
    <x v="3"/>
    <x v="1"/>
    <n v="26"/>
    <n v="157"/>
    <n v="176"/>
    <n v="3955.93"/>
    <n v="2960.55"/>
    <n v="136"/>
    <n v="12"/>
    <s v="2026-02-11"/>
    <n v="328"/>
    <n v="2"/>
    <n v="17"/>
    <s v="Yes"/>
    <x v="1"/>
    <n v="-19"/>
    <n v="6.0384615384615383"/>
    <x v="1"/>
    <s v="Maintain Stock"/>
  </r>
  <r>
    <n v="812"/>
    <s v="Product_35"/>
    <x v="3"/>
    <x v="1"/>
    <n v="50"/>
    <n v="158"/>
    <n v="115"/>
    <n v="1433.7"/>
    <n v="901.7"/>
    <n v="41"/>
    <n v="6"/>
    <s v="2026-03-25"/>
    <n v="236"/>
    <n v="3"/>
    <n v="37"/>
    <s v="Yes"/>
    <x v="2"/>
    <n v="43"/>
    <n v="3.16"/>
    <x v="1"/>
    <s v="Maintain Stock"/>
  </r>
  <r>
    <n v="813"/>
    <s v="Product_35"/>
    <x v="1"/>
    <x v="2"/>
    <n v="60"/>
    <n v="13"/>
    <n v="25"/>
    <n v="783.68"/>
    <n v="497.68"/>
    <n v="124"/>
    <n v="9"/>
    <s v="2026-02-08"/>
    <n v="137"/>
    <n v="3"/>
    <n v="16"/>
    <s v="No"/>
    <x v="1"/>
    <n v="-12"/>
    <n v="0.21666666666666667"/>
    <x v="2"/>
    <s v="Apply Discount / Promotion"/>
  </r>
  <r>
    <n v="814"/>
    <s v="Product_97"/>
    <x v="3"/>
    <x v="3"/>
    <n v="465"/>
    <n v="367"/>
    <n v="385"/>
    <n v="4376.0600000000004"/>
    <n v="3316.34"/>
    <n v="125"/>
    <n v="3"/>
    <s v="2026-01-10"/>
    <n v="312"/>
    <n v="4"/>
    <n v="28"/>
    <s v="No"/>
    <x v="2"/>
    <n v="-18"/>
    <n v="0.78924731182795704"/>
    <x v="0"/>
    <s v="Monitor Sales"/>
  </r>
  <r>
    <n v="815"/>
    <s v="Product_67"/>
    <x v="1"/>
    <x v="2"/>
    <n v="216"/>
    <n v="228"/>
    <n v="270"/>
    <n v="4887.72"/>
    <n v="3598.02"/>
    <n v="38"/>
    <n v="2"/>
    <s v="2026-03-06"/>
    <n v="230"/>
    <n v="2"/>
    <n v="27"/>
    <s v="Yes"/>
    <x v="1"/>
    <n v="-42"/>
    <n v="1.0555555555555556"/>
    <x v="1"/>
    <s v="Maintain Stock"/>
  </r>
  <r>
    <n v="816"/>
    <s v="Product_4"/>
    <x v="3"/>
    <x v="3"/>
    <n v="384"/>
    <n v="195"/>
    <n v="244"/>
    <n v="4397.5"/>
    <n v="2257.06"/>
    <n v="150"/>
    <n v="5"/>
    <s v="2026-02-04"/>
    <n v="216"/>
    <n v="3"/>
    <n v="24"/>
    <s v="No"/>
    <x v="1"/>
    <n v="-49"/>
    <n v="0.5078125"/>
    <x v="0"/>
    <s v="Monitor Sales"/>
  </r>
  <r>
    <n v="817"/>
    <s v="Product_11"/>
    <x v="2"/>
    <x v="3"/>
    <n v="264"/>
    <n v="24"/>
    <n v="57"/>
    <n v="1732.06"/>
    <n v="1325.18"/>
    <n v="149"/>
    <n v="2"/>
    <s v="2026-01-06"/>
    <n v="281"/>
    <n v="5"/>
    <n v="1"/>
    <s v="Yes"/>
    <x v="2"/>
    <n v="-33"/>
    <n v="9.0909090909090912E-2"/>
    <x v="2"/>
    <s v="Apply Discount / Promotion"/>
  </r>
  <r>
    <n v="818"/>
    <s v="Product_84"/>
    <x v="4"/>
    <x v="3"/>
    <n v="150"/>
    <n v="90"/>
    <n v="99"/>
    <n v="2279.14"/>
    <n v="1463.57"/>
    <n v="94"/>
    <n v="3"/>
    <s v="2026-02-11"/>
    <n v="35"/>
    <n v="1"/>
    <n v="19"/>
    <s v="No"/>
    <x v="1"/>
    <n v="-9"/>
    <n v="0.6"/>
    <x v="0"/>
    <s v="Monitor Sales"/>
  </r>
  <r>
    <n v="819"/>
    <s v="Product_63"/>
    <x v="3"/>
    <x v="0"/>
    <n v="418"/>
    <n v="157"/>
    <n v="156"/>
    <n v="2598.0100000000002"/>
    <n v="1420.28"/>
    <n v="43"/>
    <n v="14"/>
    <s v="2026-01-17"/>
    <n v="160"/>
    <n v="3"/>
    <n v="31"/>
    <s v="Yes"/>
    <x v="2"/>
    <n v="1"/>
    <n v="0.37559808612440193"/>
    <x v="2"/>
    <s v="Apply Discount / Promotion"/>
  </r>
  <r>
    <n v="820"/>
    <s v="Product_24"/>
    <x v="2"/>
    <x v="1"/>
    <n v="321"/>
    <n v="351"/>
    <n v="304"/>
    <n v="3785.04"/>
    <n v="2523.21"/>
    <n v="130"/>
    <n v="11"/>
    <s v="2026-02-28"/>
    <n v="163"/>
    <n v="2"/>
    <n v="26"/>
    <s v="No"/>
    <x v="1"/>
    <n v="47"/>
    <n v="1.0934579439252337"/>
    <x v="1"/>
    <s v="Maintain Stock"/>
  </r>
  <r>
    <n v="821"/>
    <s v="Product_10"/>
    <x v="1"/>
    <x v="2"/>
    <n v="162"/>
    <n v="95"/>
    <n v="138"/>
    <n v="63.94"/>
    <n v="44.33"/>
    <n v="34"/>
    <n v="2"/>
    <s v="2026-01-14"/>
    <n v="141"/>
    <n v="4"/>
    <n v="44"/>
    <s v="Yes"/>
    <x v="0"/>
    <n v="-43"/>
    <n v="0.5864197530864198"/>
    <x v="0"/>
    <s v="Monitor Sales"/>
  </r>
  <r>
    <n v="822"/>
    <s v="Product_11"/>
    <x v="2"/>
    <x v="0"/>
    <n v="329"/>
    <n v="130"/>
    <n v="113"/>
    <n v="3164.25"/>
    <n v="1932.79"/>
    <n v="131"/>
    <n v="7"/>
    <s v="2026-01-26"/>
    <n v="67"/>
    <n v="4"/>
    <n v="14"/>
    <s v="No"/>
    <x v="1"/>
    <n v="17"/>
    <n v="0.39513677811550152"/>
    <x v="2"/>
    <s v="Apply Discount / Promotion"/>
  </r>
  <r>
    <n v="823"/>
    <s v="Product_97"/>
    <x v="0"/>
    <x v="0"/>
    <n v="466"/>
    <n v="191"/>
    <n v="153"/>
    <n v="2962.86"/>
    <n v="1637.3"/>
    <n v="47"/>
    <n v="1"/>
    <s v="2026-02-23"/>
    <n v="150"/>
    <n v="4"/>
    <n v="17"/>
    <s v="No"/>
    <x v="0"/>
    <n v="38"/>
    <n v="0.40987124463519314"/>
    <x v="2"/>
    <s v="Apply Discount / Promotion"/>
  </r>
  <r>
    <n v="824"/>
    <s v="Product_43"/>
    <x v="0"/>
    <x v="2"/>
    <n v="236"/>
    <n v="104"/>
    <n v="78"/>
    <n v="3702.66"/>
    <n v="2417.0500000000002"/>
    <n v="131"/>
    <n v="6"/>
    <s v="2026-02-17"/>
    <n v="113"/>
    <n v="1"/>
    <n v="37"/>
    <s v="No"/>
    <x v="0"/>
    <n v="26"/>
    <n v="0.44067796610169491"/>
    <x v="2"/>
    <s v="Apply Discount / Promotion"/>
  </r>
  <r>
    <n v="825"/>
    <s v="Product_86"/>
    <x v="3"/>
    <x v="3"/>
    <n v="293"/>
    <n v="341"/>
    <n v="352"/>
    <n v="3398.67"/>
    <n v="2192"/>
    <n v="103"/>
    <n v="10"/>
    <s v="2026-01-23"/>
    <n v="215"/>
    <n v="3"/>
    <n v="33"/>
    <s v="No"/>
    <x v="0"/>
    <n v="-11"/>
    <n v="1.1638225255972696"/>
    <x v="1"/>
    <s v="Maintain Stock"/>
  </r>
  <r>
    <n v="826"/>
    <s v="Product_84"/>
    <x v="1"/>
    <x v="0"/>
    <n v="405"/>
    <n v="39"/>
    <n v="87"/>
    <n v="2404.6999999999998"/>
    <n v="1245.75"/>
    <n v="139"/>
    <n v="8"/>
    <s v="2026-03-03"/>
    <n v="101"/>
    <n v="5"/>
    <n v="35"/>
    <s v="No"/>
    <x v="0"/>
    <n v="-48"/>
    <n v="9.6296296296296297E-2"/>
    <x v="2"/>
    <s v="Apply Discount / Promotion"/>
  </r>
  <r>
    <n v="827"/>
    <s v="Product_93"/>
    <x v="0"/>
    <x v="2"/>
    <n v="61"/>
    <n v="110"/>
    <n v="135"/>
    <n v="1426.77"/>
    <n v="1095.0899999999999"/>
    <n v="97"/>
    <n v="5"/>
    <s v="2026-02-05"/>
    <n v="175"/>
    <n v="1"/>
    <n v="26"/>
    <s v="Yes"/>
    <x v="1"/>
    <n v="-25"/>
    <n v="1.8032786885245902"/>
    <x v="1"/>
    <s v="Maintain Stock"/>
  </r>
  <r>
    <n v="828"/>
    <s v="Product_8"/>
    <x v="3"/>
    <x v="1"/>
    <n v="470"/>
    <n v="246"/>
    <n v="220"/>
    <n v="3881.92"/>
    <n v="2462.86"/>
    <n v="133"/>
    <n v="8"/>
    <s v="2026-01-12"/>
    <n v="232"/>
    <n v="5"/>
    <n v="12"/>
    <s v="Yes"/>
    <x v="1"/>
    <n v="26"/>
    <n v="0.52340425531914891"/>
    <x v="0"/>
    <s v="Monitor Sales"/>
  </r>
  <r>
    <n v="829"/>
    <s v="Product_35"/>
    <x v="4"/>
    <x v="0"/>
    <n v="432"/>
    <n v="142"/>
    <n v="105"/>
    <n v="1389.81"/>
    <n v="1046.57"/>
    <n v="75"/>
    <n v="4"/>
    <s v="2026-02-17"/>
    <n v="313"/>
    <n v="2"/>
    <n v="37"/>
    <s v="Yes"/>
    <x v="1"/>
    <n v="37"/>
    <n v="0.32870370370370372"/>
    <x v="2"/>
    <s v="Apply Discount / Promotion"/>
  </r>
  <r>
    <n v="830"/>
    <s v="Product_15"/>
    <x v="3"/>
    <x v="0"/>
    <n v="218"/>
    <n v="139"/>
    <n v="143"/>
    <n v="1539.48"/>
    <n v="1084.22"/>
    <n v="87"/>
    <n v="5"/>
    <s v="2026-01-07"/>
    <n v="190"/>
    <n v="2"/>
    <n v="13"/>
    <s v="No"/>
    <x v="2"/>
    <n v="-4"/>
    <n v="0.63761467889908252"/>
    <x v="0"/>
    <s v="Monitor Sales"/>
  </r>
  <r>
    <n v="831"/>
    <s v="Product_43"/>
    <x v="3"/>
    <x v="1"/>
    <n v="471"/>
    <n v="348"/>
    <n v="336"/>
    <n v="1648.51"/>
    <n v="1039.8900000000001"/>
    <n v="46"/>
    <n v="1"/>
    <s v="2026-01-23"/>
    <n v="80"/>
    <n v="4"/>
    <n v="33"/>
    <s v="Yes"/>
    <x v="1"/>
    <n v="12"/>
    <n v="0.73885350318471332"/>
    <x v="0"/>
    <s v="Monitor Sales"/>
  </r>
  <r>
    <n v="832"/>
    <s v="Product_38"/>
    <x v="1"/>
    <x v="1"/>
    <n v="247"/>
    <n v="24"/>
    <n v="60"/>
    <n v="1231.2"/>
    <n v="888.28"/>
    <n v="120"/>
    <n v="6"/>
    <s v="2026-01-17"/>
    <n v="184"/>
    <n v="1"/>
    <n v="5"/>
    <s v="Yes"/>
    <x v="2"/>
    <n v="-36"/>
    <n v="9.7165991902834009E-2"/>
    <x v="2"/>
    <s v="Apply Discount / Promotion"/>
  </r>
  <r>
    <n v="833"/>
    <s v="Product_91"/>
    <x v="4"/>
    <x v="0"/>
    <n v="270"/>
    <n v="372"/>
    <n v="330"/>
    <n v="4099.05"/>
    <n v="2381.14"/>
    <n v="97"/>
    <n v="1"/>
    <s v="2026-02-19"/>
    <n v="280"/>
    <n v="5"/>
    <n v="31"/>
    <s v="No"/>
    <x v="1"/>
    <n v="42"/>
    <n v="1.3777777777777778"/>
    <x v="1"/>
    <s v="Maintain Stock"/>
  </r>
  <r>
    <n v="834"/>
    <s v="Product_81"/>
    <x v="2"/>
    <x v="3"/>
    <n v="294"/>
    <n v="165"/>
    <n v="124"/>
    <n v="161.63999999999999"/>
    <n v="90.93"/>
    <n v="30"/>
    <n v="14"/>
    <s v="2026-01-23"/>
    <n v="338"/>
    <n v="1"/>
    <n v="10"/>
    <s v="Yes"/>
    <x v="1"/>
    <n v="41"/>
    <n v="0.56122448979591832"/>
    <x v="0"/>
    <s v="Monitor Sales"/>
  </r>
  <r>
    <n v="835"/>
    <s v="Product_24"/>
    <x v="0"/>
    <x v="3"/>
    <n v="389"/>
    <n v="0"/>
    <n v="12"/>
    <n v="1484.04"/>
    <n v="1023.38"/>
    <n v="80"/>
    <n v="12"/>
    <s v="2026-01-02"/>
    <n v="357"/>
    <n v="2"/>
    <n v="22"/>
    <s v="Yes"/>
    <x v="1"/>
    <n v="-12"/>
    <n v="0"/>
    <x v="2"/>
    <s v="Apply Discount / Promotion"/>
  </r>
  <r>
    <n v="836"/>
    <s v="Product_36"/>
    <x v="0"/>
    <x v="2"/>
    <n v="481"/>
    <n v="262"/>
    <n v="268"/>
    <n v="2046.54"/>
    <n v="1583.34"/>
    <n v="30"/>
    <n v="6"/>
    <s v="2026-03-14"/>
    <n v="91"/>
    <n v="5"/>
    <n v="14"/>
    <s v="No"/>
    <x v="1"/>
    <n v="-6"/>
    <n v="0.54469854469854473"/>
    <x v="0"/>
    <s v="Monitor Sales"/>
  </r>
  <r>
    <n v="837"/>
    <s v="Product_72"/>
    <x v="4"/>
    <x v="2"/>
    <n v="270"/>
    <n v="87"/>
    <n v="53"/>
    <n v="784"/>
    <n v="532.09"/>
    <n v="75"/>
    <n v="11"/>
    <s v="2026-03-05"/>
    <n v="307"/>
    <n v="2"/>
    <n v="3"/>
    <s v="Yes"/>
    <x v="2"/>
    <n v="34"/>
    <n v="0.32222222222222224"/>
    <x v="2"/>
    <s v="Apply Discount / Promotion"/>
  </r>
  <r>
    <n v="838"/>
    <s v="Product_99"/>
    <x v="4"/>
    <x v="2"/>
    <n v="450"/>
    <n v="168"/>
    <n v="162"/>
    <n v="514.69000000000005"/>
    <n v="401.28"/>
    <n v="58"/>
    <n v="15"/>
    <s v="2026-02-16"/>
    <n v="248"/>
    <n v="1"/>
    <n v="0"/>
    <s v="No"/>
    <x v="0"/>
    <n v="6"/>
    <n v="0.37333333333333335"/>
    <x v="2"/>
    <s v="Apply Discount / Promotion"/>
  </r>
  <r>
    <n v="839"/>
    <s v="Product_65"/>
    <x v="3"/>
    <x v="1"/>
    <n v="210"/>
    <n v="312"/>
    <n v="274"/>
    <n v="4638.93"/>
    <n v="3169.28"/>
    <n v="71"/>
    <n v="14"/>
    <s v="2026-02-19"/>
    <n v="104"/>
    <n v="5"/>
    <n v="28"/>
    <s v="No"/>
    <x v="0"/>
    <n v="38"/>
    <n v="1.4857142857142858"/>
    <x v="1"/>
    <s v="Maintain Stock"/>
  </r>
  <r>
    <n v="840"/>
    <s v="Product_88"/>
    <x v="0"/>
    <x v="2"/>
    <n v="88"/>
    <n v="53"/>
    <n v="77"/>
    <n v="4586.7700000000004"/>
    <n v="2323.9299999999998"/>
    <n v="50"/>
    <n v="9"/>
    <s v="2026-02-27"/>
    <n v="318"/>
    <n v="2"/>
    <n v="40"/>
    <s v="Yes"/>
    <x v="1"/>
    <n v="-24"/>
    <n v="0.60227272727272729"/>
    <x v="0"/>
    <s v="Monitor Sales"/>
  </r>
  <r>
    <n v="841"/>
    <s v="Product_33"/>
    <x v="1"/>
    <x v="1"/>
    <n v="151"/>
    <n v="141"/>
    <n v="171"/>
    <n v="1354.39"/>
    <n v="926.66"/>
    <n v="148"/>
    <n v="5"/>
    <s v="2026-01-08"/>
    <n v="131"/>
    <n v="4"/>
    <n v="23"/>
    <s v="No"/>
    <x v="0"/>
    <n v="-30"/>
    <n v="0.93377483443708609"/>
    <x v="0"/>
    <s v="Monitor Sales"/>
  </r>
  <r>
    <n v="842"/>
    <s v="Product_40"/>
    <x v="2"/>
    <x v="1"/>
    <n v="230"/>
    <n v="142"/>
    <n v="180"/>
    <n v="3627.16"/>
    <n v="2853.45"/>
    <n v="38"/>
    <n v="4"/>
    <s v="2026-03-01"/>
    <n v="35"/>
    <n v="3"/>
    <n v="43"/>
    <s v="No"/>
    <x v="2"/>
    <n v="-38"/>
    <n v="0.61739130434782608"/>
    <x v="0"/>
    <s v="Monitor Sales"/>
  </r>
  <r>
    <n v="843"/>
    <s v="Product_53"/>
    <x v="0"/>
    <x v="0"/>
    <n v="243"/>
    <n v="192"/>
    <n v="170"/>
    <n v="4061.71"/>
    <n v="2244.1"/>
    <n v="34"/>
    <n v="3"/>
    <s v="2026-02-22"/>
    <n v="268"/>
    <n v="5"/>
    <n v="35"/>
    <s v="No"/>
    <x v="0"/>
    <n v="22"/>
    <n v="0.79012345679012341"/>
    <x v="0"/>
    <s v="Monitor Sales"/>
  </r>
  <r>
    <n v="844"/>
    <s v="Product_64"/>
    <x v="3"/>
    <x v="2"/>
    <n v="482"/>
    <n v="109"/>
    <n v="146"/>
    <n v="653.02"/>
    <n v="452.36"/>
    <n v="93"/>
    <n v="2"/>
    <s v="2026-03-21"/>
    <n v="98"/>
    <n v="1"/>
    <n v="14"/>
    <s v="Yes"/>
    <x v="0"/>
    <n v="-37"/>
    <n v="0.22614107883817428"/>
    <x v="2"/>
    <s v="Apply Discount / Promotion"/>
  </r>
  <r>
    <n v="845"/>
    <s v="Product_27"/>
    <x v="2"/>
    <x v="3"/>
    <n v="427"/>
    <n v="101"/>
    <n v="141"/>
    <n v="1759.44"/>
    <n v="888.8"/>
    <n v="53"/>
    <n v="9"/>
    <s v="2026-02-25"/>
    <n v="339"/>
    <n v="3"/>
    <n v="19"/>
    <s v="Yes"/>
    <x v="1"/>
    <n v="-40"/>
    <n v="0.23653395784543327"/>
    <x v="2"/>
    <s v="Apply Discount / Promotion"/>
  </r>
  <r>
    <n v="846"/>
    <s v="Product_87"/>
    <x v="2"/>
    <x v="0"/>
    <n v="478"/>
    <n v="10"/>
    <n v="47"/>
    <n v="4861.8500000000004"/>
    <n v="3642.15"/>
    <n v="73"/>
    <n v="8"/>
    <s v="2026-03-10"/>
    <n v="80"/>
    <n v="2"/>
    <n v="11"/>
    <s v="Yes"/>
    <x v="0"/>
    <n v="-37"/>
    <n v="2.0920502092050208E-2"/>
    <x v="2"/>
    <s v="Apply Discount / Promotion"/>
  </r>
  <r>
    <n v="847"/>
    <s v="Product_17"/>
    <x v="4"/>
    <x v="3"/>
    <n v="191"/>
    <n v="257"/>
    <n v="216"/>
    <n v="4835.95"/>
    <n v="3812.62"/>
    <n v="146"/>
    <n v="2"/>
    <s v="2026-01-22"/>
    <n v="197"/>
    <n v="1"/>
    <n v="43"/>
    <s v="No"/>
    <x v="2"/>
    <n v="41"/>
    <n v="1.3455497382198953"/>
    <x v="1"/>
    <s v="Maintain Stock"/>
  </r>
  <r>
    <n v="848"/>
    <s v="Product_84"/>
    <x v="1"/>
    <x v="2"/>
    <n v="270"/>
    <n v="251"/>
    <n v="219"/>
    <n v="1678.67"/>
    <n v="1054.52"/>
    <n v="41"/>
    <n v="6"/>
    <s v="2026-03-01"/>
    <n v="50"/>
    <n v="4"/>
    <n v="17"/>
    <s v="Yes"/>
    <x v="1"/>
    <n v="32"/>
    <n v="0.92962962962962958"/>
    <x v="0"/>
    <s v="Monitor Sales"/>
  </r>
  <r>
    <n v="849"/>
    <s v="Product_95"/>
    <x v="0"/>
    <x v="0"/>
    <n v="36"/>
    <n v="146"/>
    <n v="162"/>
    <n v="123.85"/>
    <n v="87.43"/>
    <n v="31"/>
    <n v="13"/>
    <s v="2026-01-28"/>
    <n v="120"/>
    <n v="5"/>
    <n v="29"/>
    <s v="No"/>
    <x v="1"/>
    <n v="-16"/>
    <n v="4.0555555555555554"/>
    <x v="1"/>
    <s v="Maintain Stock"/>
  </r>
  <r>
    <n v="850"/>
    <s v="Product_74"/>
    <x v="1"/>
    <x v="1"/>
    <n v="295"/>
    <n v="185"/>
    <n v="211"/>
    <n v="2145.9499999999998"/>
    <n v="1654.24"/>
    <n v="105"/>
    <n v="7"/>
    <s v="2026-03-21"/>
    <n v="128"/>
    <n v="4"/>
    <n v="19"/>
    <s v="No"/>
    <x v="1"/>
    <n v="-26"/>
    <n v="0.6271186440677966"/>
    <x v="0"/>
    <s v="Monitor Sales"/>
  </r>
  <r>
    <n v="851"/>
    <s v="Product_57"/>
    <x v="3"/>
    <x v="1"/>
    <n v="293"/>
    <n v="2"/>
    <n v="19"/>
    <n v="3337.3"/>
    <n v="2257.0700000000002"/>
    <n v="111"/>
    <n v="12"/>
    <s v="2026-02-16"/>
    <n v="322"/>
    <n v="4"/>
    <n v="13"/>
    <s v="Yes"/>
    <x v="0"/>
    <n v="-17"/>
    <n v="6.8259385665529011E-3"/>
    <x v="2"/>
    <s v="Apply Discount / Promotion"/>
  </r>
  <r>
    <n v="852"/>
    <s v="Product_25"/>
    <x v="2"/>
    <x v="1"/>
    <n v="308"/>
    <n v="340"/>
    <n v="334"/>
    <n v="2912.9"/>
    <n v="1744.28"/>
    <n v="72"/>
    <n v="8"/>
    <s v="2026-01-03"/>
    <n v="205"/>
    <n v="4"/>
    <n v="9"/>
    <s v="No"/>
    <x v="0"/>
    <n v="6"/>
    <n v="1.1038961038961039"/>
    <x v="1"/>
    <s v="Maintain Stock"/>
  </r>
  <r>
    <n v="853"/>
    <s v="Product_14"/>
    <x v="2"/>
    <x v="3"/>
    <n v="412"/>
    <n v="354"/>
    <n v="312"/>
    <n v="1216.93"/>
    <n v="894.9"/>
    <n v="93"/>
    <n v="3"/>
    <s v="2026-02-04"/>
    <n v="203"/>
    <n v="4"/>
    <n v="22"/>
    <s v="No"/>
    <x v="2"/>
    <n v="42"/>
    <n v="0.85922330097087374"/>
    <x v="0"/>
    <s v="Monitor Sales"/>
  </r>
  <r>
    <n v="854"/>
    <s v="Product_16"/>
    <x v="1"/>
    <x v="1"/>
    <n v="250"/>
    <n v="249"/>
    <n v="258"/>
    <n v="419.27"/>
    <n v="285.20999999999998"/>
    <n v="118"/>
    <n v="13"/>
    <s v="2026-03-24"/>
    <n v="294"/>
    <n v="4"/>
    <n v="43"/>
    <s v="No"/>
    <x v="0"/>
    <n v="-9"/>
    <n v="0.996"/>
    <x v="0"/>
    <s v="Monitor Sales"/>
  </r>
  <r>
    <n v="855"/>
    <s v="Product_14"/>
    <x v="3"/>
    <x v="1"/>
    <n v="21"/>
    <n v="149"/>
    <n v="125"/>
    <n v="2984.01"/>
    <n v="1680.3"/>
    <n v="134"/>
    <n v="12"/>
    <s v="2026-01-13"/>
    <n v="244"/>
    <n v="4"/>
    <n v="10"/>
    <s v="No"/>
    <x v="1"/>
    <n v="24"/>
    <n v="7.0952380952380949"/>
    <x v="1"/>
    <s v="Maintain Stock"/>
  </r>
  <r>
    <n v="856"/>
    <s v="Product_41"/>
    <x v="0"/>
    <x v="2"/>
    <n v="196"/>
    <n v="276"/>
    <n v="226"/>
    <n v="3557.97"/>
    <n v="1840.24"/>
    <n v="108"/>
    <n v="1"/>
    <s v="2026-01-16"/>
    <n v="56"/>
    <n v="4"/>
    <n v="23"/>
    <s v="Yes"/>
    <x v="2"/>
    <n v="50"/>
    <n v="1.4081632653061225"/>
    <x v="1"/>
    <s v="Maintain Stock"/>
  </r>
  <r>
    <n v="857"/>
    <s v="Product_87"/>
    <x v="3"/>
    <x v="2"/>
    <n v="455"/>
    <n v="153"/>
    <n v="145"/>
    <n v="4733.41"/>
    <n v="3420.06"/>
    <n v="48"/>
    <n v="1"/>
    <s v="2026-02-26"/>
    <n v="66"/>
    <n v="2"/>
    <n v="15"/>
    <s v="No"/>
    <x v="2"/>
    <n v="8"/>
    <n v="0.33626373626373629"/>
    <x v="2"/>
    <s v="Apply Discount / Promotion"/>
  </r>
  <r>
    <n v="858"/>
    <s v="Product_67"/>
    <x v="0"/>
    <x v="1"/>
    <n v="114"/>
    <n v="113"/>
    <n v="131"/>
    <n v="864.45"/>
    <n v="564.47"/>
    <n v="109"/>
    <n v="13"/>
    <s v="2026-03-26"/>
    <n v="180"/>
    <n v="4"/>
    <n v="42"/>
    <s v="No"/>
    <x v="1"/>
    <n v="-18"/>
    <n v="0.99122807017543857"/>
    <x v="0"/>
    <s v="Monitor Sales"/>
  </r>
  <r>
    <n v="859"/>
    <s v="Product_68"/>
    <x v="1"/>
    <x v="2"/>
    <n v="214"/>
    <n v="191"/>
    <n v="178"/>
    <n v="520.08000000000004"/>
    <n v="329.79"/>
    <n v="94"/>
    <n v="2"/>
    <s v="2026-03-10"/>
    <n v="220"/>
    <n v="1"/>
    <n v="5"/>
    <s v="No"/>
    <x v="0"/>
    <n v="13"/>
    <n v="0.89252336448598135"/>
    <x v="0"/>
    <s v="Monitor Sales"/>
  </r>
  <r>
    <n v="860"/>
    <s v="Product_11"/>
    <x v="0"/>
    <x v="2"/>
    <n v="298"/>
    <n v="322"/>
    <n v="300"/>
    <n v="2374.64"/>
    <n v="1522.98"/>
    <n v="133"/>
    <n v="7"/>
    <s v="2026-02-08"/>
    <n v="60"/>
    <n v="5"/>
    <n v="33"/>
    <s v="No"/>
    <x v="2"/>
    <n v="22"/>
    <n v="1.080536912751678"/>
    <x v="1"/>
    <s v="Maintain Stock"/>
  </r>
  <r>
    <n v="861"/>
    <s v="Product_6"/>
    <x v="0"/>
    <x v="0"/>
    <n v="165"/>
    <n v="148"/>
    <n v="152"/>
    <n v="4562.53"/>
    <n v="2707.71"/>
    <n v="133"/>
    <n v="4"/>
    <s v="2026-03-04"/>
    <n v="106"/>
    <n v="2"/>
    <n v="27"/>
    <s v="No"/>
    <x v="1"/>
    <n v="-4"/>
    <n v="0.89696969696969697"/>
    <x v="0"/>
    <s v="Monitor Sales"/>
  </r>
  <r>
    <n v="862"/>
    <s v="Product_63"/>
    <x v="1"/>
    <x v="2"/>
    <n v="52"/>
    <n v="417"/>
    <n v="374"/>
    <n v="399.12"/>
    <n v="200.12"/>
    <n v="115"/>
    <n v="2"/>
    <s v="2026-02-20"/>
    <n v="212"/>
    <n v="1"/>
    <n v="49"/>
    <s v="Yes"/>
    <x v="1"/>
    <n v="43"/>
    <n v="8.0192307692307701"/>
    <x v="1"/>
    <s v="Maintain Stock"/>
  </r>
  <r>
    <n v="863"/>
    <s v="Product_1"/>
    <x v="0"/>
    <x v="2"/>
    <n v="87"/>
    <n v="370"/>
    <n v="338"/>
    <n v="1163.43"/>
    <n v="691.92"/>
    <n v="147"/>
    <n v="11"/>
    <s v="2026-02-05"/>
    <n v="112"/>
    <n v="2"/>
    <n v="43"/>
    <s v="No"/>
    <x v="1"/>
    <n v="32"/>
    <n v="4.2528735632183912"/>
    <x v="1"/>
    <s v="Maintain Stock"/>
  </r>
  <r>
    <n v="864"/>
    <s v="Product_41"/>
    <x v="3"/>
    <x v="3"/>
    <n v="347"/>
    <n v="152"/>
    <n v="148"/>
    <n v="3121.73"/>
    <n v="2005.18"/>
    <n v="51"/>
    <n v="4"/>
    <s v="2026-02-01"/>
    <n v="104"/>
    <n v="1"/>
    <n v="3"/>
    <s v="Yes"/>
    <x v="2"/>
    <n v="4"/>
    <n v="0.43804034582132567"/>
    <x v="2"/>
    <s v="Apply Discount / Promotion"/>
  </r>
  <r>
    <n v="865"/>
    <s v="Product_1"/>
    <x v="4"/>
    <x v="2"/>
    <n v="312"/>
    <n v="131"/>
    <n v="90"/>
    <n v="2568.0100000000002"/>
    <n v="1303.76"/>
    <n v="31"/>
    <n v="11"/>
    <s v="2026-02-15"/>
    <n v="66"/>
    <n v="2"/>
    <n v="10"/>
    <s v="Yes"/>
    <x v="2"/>
    <n v="41"/>
    <n v="0.41987179487179488"/>
    <x v="2"/>
    <s v="Apply Discount / Promotion"/>
  </r>
  <r>
    <n v="866"/>
    <s v="Product_81"/>
    <x v="3"/>
    <x v="0"/>
    <n v="338"/>
    <n v="298"/>
    <n v="317"/>
    <n v="4133.87"/>
    <n v="2145.86"/>
    <n v="50"/>
    <n v="15"/>
    <s v="2026-02-16"/>
    <n v="93"/>
    <n v="2"/>
    <n v="27"/>
    <s v="No"/>
    <x v="1"/>
    <n v="-19"/>
    <n v="0.88165680473372776"/>
    <x v="0"/>
    <s v="Monitor Sales"/>
  </r>
  <r>
    <n v="867"/>
    <s v="Product_76"/>
    <x v="1"/>
    <x v="1"/>
    <n v="372"/>
    <n v="378"/>
    <n v="378"/>
    <n v="2462.77"/>
    <n v="1838.82"/>
    <n v="126"/>
    <n v="1"/>
    <s v="2026-02-12"/>
    <n v="144"/>
    <n v="3"/>
    <n v="2"/>
    <s v="No"/>
    <x v="2"/>
    <n v="0"/>
    <n v="1.0161290322580645"/>
    <x v="1"/>
    <s v="Maintain Stock"/>
  </r>
  <r>
    <n v="868"/>
    <s v="Product_59"/>
    <x v="2"/>
    <x v="2"/>
    <n v="283"/>
    <n v="118"/>
    <n v="74"/>
    <n v="2894.61"/>
    <n v="2309.9699999999998"/>
    <n v="112"/>
    <n v="9"/>
    <s v="2026-02-09"/>
    <n v="333"/>
    <n v="3"/>
    <n v="0"/>
    <s v="No"/>
    <x v="0"/>
    <n v="44"/>
    <n v="0.41696113074204949"/>
    <x v="2"/>
    <s v="Apply Discount / Promotion"/>
  </r>
  <r>
    <n v="869"/>
    <s v="Product_53"/>
    <x v="0"/>
    <x v="3"/>
    <n v="95"/>
    <n v="354"/>
    <n v="356"/>
    <n v="4497.62"/>
    <n v="3343.43"/>
    <n v="62"/>
    <n v="14"/>
    <s v="2026-01-01"/>
    <n v="330"/>
    <n v="1"/>
    <n v="47"/>
    <s v="No"/>
    <x v="2"/>
    <n v="-2"/>
    <n v="3.7263157894736842"/>
    <x v="1"/>
    <s v="Maintain Stock"/>
  </r>
  <r>
    <n v="870"/>
    <s v="Product_29"/>
    <x v="3"/>
    <x v="1"/>
    <n v="199"/>
    <n v="292"/>
    <n v="315"/>
    <n v="4436.3599999999997"/>
    <n v="3141.9"/>
    <n v="115"/>
    <n v="13"/>
    <s v="2026-01-13"/>
    <n v="291"/>
    <n v="4"/>
    <n v="24"/>
    <s v="Yes"/>
    <x v="2"/>
    <n v="-23"/>
    <n v="1.4673366834170853"/>
    <x v="1"/>
    <s v="Maintain Stock"/>
  </r>
  <r>
    <n v="871"/>
    <s v="Product_20"/>
    <x v="3"/>
    <x v="2"/>
    <n v="105"/>
    <n v="297"/>
    <n v="286"/>
    <n v="1501.27"/>
    <n v="1009.48"/>
    <n v="68"/>
    <n v="9"/>
    <s v="2026-01-18"/>
    <n v="85"/>
    <n v="2"/>
    <n v="31"/>
    <s v="No"/>
    <x v="0"/>
    <n v="11"/>
    <n v="2.8285714285714287"/>
    <x v="1"/>
    <s v="Maintain Stock"/>
  </r>
  <r>
    <n v="872"/>
    <s v="Product_13"/>
    <x v="3"/>
    <x v="0"/>
    <n v="149"/>
    <n v="296"/>
    <n v="276"/>
    <n v="1577.99"/>
    <n v="1135.7"/>
    <n v="140"/>
    <n v="1"/>
    <s v="2026-01-12"/>
    <n v="150"/>
    <n v="4"/>
    <n v="17"/>
    <s v="No"/>
    <x v="2"/>
    <n v="20"/>
    <n v="1.9865771812080537"/>
    <x v="1"/>
    <s v="Maintain Stock"/>
  </r>
  <r>
    <n v="873"/>
    <s v="Product_66"/>
    <x v="4"/>
    <x v="2"/>
    <n v="256"/>
    <n v="347"/>
    <n v="356"/>
    <n v="4067.74"/>
    <n v="2817.57"/>
    <n v="148"/>
    <n v="12"/>
    <s v="2026-02-18"/>
    <n v="301"/>
    <n v="4"/>
    <n v="48"/>
    <s v="Yes"/>
    <x v="1"/>
    <n v="-9"/>
    <n v="1.35546875"/>
    <x v="1"/>
    <s v="Maintain Stock"/>
  </r>
  <r>
    <n v="874"/>
    <s v="Product_9"/>
    <x v="3"/>
    <x v="0"/>
    <n v="452"/>
    <n v="7"/>
    <n v="10"/>
    <n v="508.95"/>
    <n v="357.25"/>
    <n v="129"/>
    <n v="9"/>
    <s v="2026-03-14"/>
    <n v="306"/>
    <n v="5"/>
    <n v="9"/>
    <s v="No"/>
    <x v="2"/>
    <n v="-3"/>
    <n v="1.5486725663716814E-2"/>
    <x v="2"/>
    <s v="Apply Discount / Promotion"/>
  </r>
  <r>
    <n v="875"/>
    <s v="Product_94"/>
    <x v="2"/>
    <x v="1"/>
    <n v="265"/>
    <n v="245"/>
    <n v="283"/>
    <n v="2929.63"/>
    <n v="2006.22"/>
    <n v="137"/>
    <n v="14"/>
    <s v="2026-03-06"/>
    <n v="184"/>
    <n v="4"/>
    <n v="0"/>
    <s v="No"/>
    <x v="1"/>
    <n v="-38"/>
    <n v="0.92452830188679247"/>
    <x v="0"/>
    <s v="Monitor Sales"/>
  </r>
  <r>
    <n v="876"/>
    <s v="Product_1"/>
    <x v="0"/>
    <x v="0"/>
    <n v="193"/>
    <n v="22"/>
    <n v="12"/>
    <n v="268"/>
    <n v="168.47"/>
    <n v="103"/>
    <n v="3"/>
    <s v="2026-01-01"/>
    <n v="266"/>
    <n v="3"/>
    <n v="13"/>
    <s v="Yes"/>
    <x v="0"/>
    <n v="10"/>
    <n v="0.11398963730569948"/>
    <x v="2"/>
    <s v="Apply Discount / Promotion"/>
  </r>
  <r>
    <n v="877"/>
    <s v="Product_6"/>
    <x v="1"/>
    <x v="2"/>
    <n v="294"/>
    <n v="177"/>
    <n v="138"/>
    <n v="903.72"/>
    <n v="472.49"/>
    <n v="113"/>
    <n v="11"/>
    <s v="2026-03-04"/>
    <n v="143"/>
    <n v="3"/>
    <n v="11"/>
    <s v="Yes"/>
    <x v="2"/>
    <n v="39"/>
    <n v="0.60204081632653061"/>
    <x v="0"/>
    <s v="Monitor Sales"/>
  </r>
  <r>
    <n v="878"/>
    <s v="Product_20"/>
    <x v="2"/>
    <x v="2"/>
    <n v="453"/>
    <n v="75"/>
    <n v="55"/>
    <n v="4932.41"/>
    <n v="3297.23"/>
    <n v="96"/>
    <n v="11"/>
    <s v="2026-01-22"/>
    <n v="173"/>
    <n v="1"/>
    <n v="45"/>
    <s v="No"/>
    <x v="0"/>
    <n v="20"/>
    <n v="0.16556291390728478"/>
    <x v="2"/>
    <s v="Apply Discount / Promotion"/>
  </r>
  <r>
    <n v="879"/>
    <s v="Product_93"/>
    <x v="3"/>
    <x v="2"/>
    <n v="62"/>
    <n v="347"/>
    <n v="298"/>
    <n v="200.2"/>
    <n v="126.87"/>
    <n v="44"/>
    <n v="15"/>
    <s v="2026-01-17"/>
    <n v="315"/>
    <n v="2"/>
    <n v="6"/>
    <s v="Yes"/>
    <x v="0"/>
    <n v="49"/>
    <n v="5.596774193548387"/>
    <x v="1"/>
    <s v="Maintain Stock"/>
  </r>
  <r>
    <n v="880"/>
    <s v="Product_4"/>
    <x v="2"/>
    <x v="0"/>
    <n v="355"/>
    <n v="377"/>
    <n v="395"/>
    <n v="4611.28"/>
    <n v="3247.91"/>
    <n v="141"/>
    <n v="2"/>
    <s v="2026-01-04"/>
    <n v="165"/>
    <n v="2"/>
    <n v="9"/>
    <s v="No"/>
    <x v="2"/>
    <n v="-18"/>
    <n v="1.0619718309859154"/>
    <x v="1"/>
    <s v="Maintain Stock"/>
  </r>
  <r>
    <n v="881"/>
    <s v="Product_18"/>
    <x v="2"/>
    <x v="0"/>
    <n v="272"/>
    <n v="21"/>
    <n v="46"/>
    <n v="4929.1400000000003"/>
    <n v="3117.44"/>
    <n v="49"/>
    <n v="11"/>
    <s v="2026-02-08"/>
    <n v="148"/>
    <n v="1"/>
    <n v="24"/>
    <s v="No"/>
    <x v="1"/>
    <n v="-25"/>
    <n v="7.720588235294118E-2"/>
    <x v="2"/>
    <s v="Apply Discount / Promotion"/>
  </r>
  <r>
    <n v="882"/>
    <s v="Product_75"/>
    <x v="0"/>
    <x v="2"/>
    <n v="365"/>
    <n v="154"/>
    <n v="176"/>
    <n v="4874.3900000000003"/>
    <n v="3438"/>
    <n v="112"/>
    <n v="14"/>
    <s v="2026-02-11"/>
    <n v="193"/>
    <n v="1"/>
    <n v="10"/>
    <s v="No"/>
    <x v="0"/>
    <n v="-22"/>
    <n v="0.42191780821917807"/>
    <x v="2"/>
    <s v="Apply Discount / Promotion"/>
  </r>
  <r>
    <n v="883"/>
    <s v="Product_32"/>
    <x v="3"/>
    <x v="2"/>
    <n v="190"/>
    <n v="258"/>
    <n v="239"/>
    <n v="2995.32"/>
    <n v="1506.44"/>
    <n v="85"/>
    <n v="7"/>
    <s v="2025-12-29"/>
    <n v="147"/>
    <n v="5"/>
    <n v="37"/>
    <s v="No"/>
    <x v="2"/>
    <n v="19"/>
    <n v="1.3578947368421053"/>
    <x v="1"/>
    <s v="Maintain Stock"/>
  </r>
  <r>
    <n v="884"/>
    <s v="Product_39"/>
    <x v="1"/>
    <x v="3"/>
    <n v="97"/>
    <n v="73"/>
    <n v="77"/>
    <n v="3308.43"/>
    <n v="2062.44"/>
    <n v="141"/>
    <n v="9"/>
    <s v="2025-12-30"/>
    <n v="332"/>
    <n v="1"/>
    <n v="7"/>
    <s v="Yes"/>
    <x v="1"/>
    <n v="-4"/>
    <n v="0.75257731958762886"/>
    <x v="0"/>
    <s v="Monitor Sales"/>
  </r>
  <r>
    <n v="885"/>
    <s v="Product_5"/>
    <x v="4"/>
    <x v="1"/>
    <n v="63"/>
    <n v="350"/>
    <n v="316"/>
    <n v="4313.87"/>
    <n v="2233.25"/>
    <n v="121"/>
    <n v="13"/>
    <s v="2026-01-10"/>
    <n v="258"/>
    <n v="2"/>
    <n v="20"/>
    <s v="No"/>
    <x v="0"/>
    <n v="34"/>
    <n v="5.5555555555555554"/>
    <x v="1"/>
    <s v="Maintain Stock"/>
  </r>
  <r>
    <n v="886"/>
    <s v="Product_98"/>
    <x v="4"/>
    <x v="0"/>
    <n v="139"/>
    <n v="316"/>
    <n v="339"/>
    <n v="2512.2600000000002"/>
    <n v="1567.03"/>
    <n v="37"/>
    <n v="4"/>
    <s v="2026-02-06"/>
    <n v="299"/>
    <n v="3"/>
    <n v="44"/>
    <s v="No"/>
    <x v="2"/>
    <n v="-23"/>
    <n v="2.2733812949640289"/>
    <x v="1"/>
    <s v="Maintain Stock"/>
  </r>
  <r>
    <n v="887"/>
    <s v="Product_12"/>
    <x v="2"/>
    <x v="1"/>
    <n v="342"/>
    <n v="346"/>
    <n v="366"/>
    <n v="3529.69"/>
    <n v="2212.9"/>
    <n v="150"/>
    <n v="14"/>
    <s v="2026-03-06"/>
    <n v="244"/>
    <n v="1"/>
    <n v="11"/>
    <s v="Yes"/>
    <x v="1"/>
    <n v="-20"/>
    <n v="1.0116959064327486"/>
    <x v="1"/>
    <s v="Maintain Stock"/>
  </r>
  <r>
    <n v="888"/>
    <s v="Product_92"/>
    <x v="2"/>
    <x v="2"/>
    <n v="377"/>
    <n v="254"/>
    <n v="244"/>
    <n v="3926.69"/>
    <n v="2821.57"/>
    <n v="59"/>
    <n v="7"/>
    <s v="2026-02-09"/>
    <n v="115"/>
    <n v="1"/>
    <n v="30"/>
    <s v="No"/>
    <x v="2"/>
    <n v="10"/>
    <n v="0.67374005305039786"/>
    <x v="0"/>
    <s v="Monitor Sales"/>
  </r>
  <r>
    <n v="889"/>
    <s v="Product_67"/>
    <x v="4"/>
    <x v="2"/>
    <n v="375"/>
    <n v="162"/>
    <n v="130"/>
    <n v="126.68"/>
    <n v="64.59"/>
    <n v="106"/>
    <n v="12"/>
    <s v="2026-03-25"/>
    <n v="62"/>
    <n v="3"/>
    <n v="0"/>
    <s v="No"/>
    <x v="1"/>
    <n v="32"/>
    <n v="0.432"/>
    <x v="2"/>
    <s v="Apply Discount / Promotion"/>
  </r>
  <r>
    <n v="890"/>
    <s v="Product_67"/>
    <x v="3"/>
    <x v="2"/>
    <n v="365"/>
    <n v="292"/>
    <n v="268"/>
    <n v="3935.22"/>
    <n v="2898.14"/>
    <n v="40"/>
    <n v="5"/>
    <s v="2026-02-04"/>
    <n v="58"/>
    <n v="2"/>
    <n v="31"/>
    <s v="No"/>
    <x v="0"/>
    <n v="24"/>
    <n v="0.8"/>
    <x v="0"/>
    <s v="Monitor Sales"/>
  </r>
  <r>
    <n v="891"/>
    <s v="Product_19"/>
    <x v="4"/>
    <x v="3"/>
    <n v="489"/>
    <n v="349"/>
    <n v="387"/>
    <n v="1424.55"/>
    <n v="1099.24"/>
    <n v="89"/>
    <n v="12"/>
    <s v="2026-03-02"/>
    <n v="262"/>
    <n v="1"/>
    <n v="42"/>
    <s v="No"/>
    <x v="1"/>
    <n v="-38"/>
    <n v="0.71370143149284249"/>
    <x v="0"/>
    <s v="Monitor Sales"/>
  </r>
  <r>
    <n v="892"/>
    <s v="Product_25"/>
    <x v="4"/>
    <x v="3"/>
    <n v="301"/>
    <n v="149"/>
    <n v="149"/>
    <n v="4351.2299999999996"/>
    <n v="2271.84"/>
    <n v="148"/>
    <n v="5"/>
    <s v="2026-03-22"/>
    <n v="131"/>
    <n v="3"/>
    <n v="4"/>
    <s v="Yes"/>
    <x v="1"/>
    <n v="0"/>
    <n v="0.49501661129568109"/>
    <x v="2"/>
    <s v="Apply Discount / Promotion"/>
  </r>
  <r>
    <n v="893"/>
    <s v="Product_11"/>
    <x v="0"/>
    <x v="1"/>
    <n v="490"/>
    <n v="88"/>
    <n v="119"/>
    <n v="4255.34"/>
    <n v="2610.86"/>
    <n v="44"/>
    <n v="10"/>
    <s v="2026-01-26"/>
    <n v="178"/>
    <n v="4"/>
    <n v="29"/>
    <s v="No"/>
    <x v="0"/>
    <n v="-31"/>
    <n v="0.17959183673469387"/>
    <x v="2"/>
    <s v="Apply Discount / Promotion"/>
  </r>
  <r>
    <n v="894"/>
    <s v="Product_28"/>
    <x v="1"/>
    <x v="3"/>
    <n v="319"/>
    <n v="174"/>
    <n v="167"/>
    <n v="4263.4399999999996"/>
    <n v="2226.6999999999998"/>
    <n v="115"/>
    <n v="6"/>
    <s v="2026-01-24"/>
    <n v="67"/>
    <n v="1"/>
    <n v="10"/>
    <s v="Yes"/>
    <x v="1"/>
    <n v="7"/>
    <n v="0.54545454545454541"/>
    <x v="0"/>
    <s v="Monitor Sales"/>
  </r>
  <r>
    <n v="895"/>
    <s v="Product_1"/>
    <x v="2"/>
    <x v="3"/>
    <n v="314"/>
    <n v="235"/>
    <n v="277"/>
    <n v="2886.02"/>
    <n v="2059.5300000000002"/>
    <n v="114"/>
    <n v="13"/>
    <s v="2026-02-03"/>
    <n v="87"/>
    <n v="2"/>
    <n v="35"/>
    <s v="Yes"/>
    <x v="2"/>
    <n v="-42"/>
    <n v="0.74840764331210186"/>
    <x v="0"/>
    <s v="Monitor Sales"/>
  </r>
  <r>
    <n v="896"/>
    <s v="Product_60"/>
    <x v="1"/>
    <x v="0"/>
    <n v="412"/>
    <n v="197"/>
    <n v="163"/>
    <n v="2615.7800000000002"/>
    <n v="1569.33"/>
    <n v="129"/>
    <n v="4"/>
    <s v="2026-02-18"/>
    <n v="68"/>
    <n v="2"/>
    <n v="8"/>
    <s v="Yes"/>
    <x v="1"/>
    <n v="34"/>
    <n v="0.47815533980582525"/>
    <x v="2"/>
    <s v="Apply Discount / Promotion"/>
  </r>
  <r>
    <n v="897"/>
    <s v="Product_5"/>
    <x v="1"/>
    <x v="3"/>
    <n v="314"/>
    <n v="247"/>
    <n v="218"/>
    <n v="3716.09"/>
    <n v="1941.12"/>
    <n v="119"/>
    <n v="1"/>
    <s v="2026-03-08"/>
    <n v="336"/>
    <n v="1"/>
    <n v="14"/>
    <s v="No"/>
    <x v="1"/>
    <n v="29"/>
    <n v="0.7866242038216561"/>
    <x v="0"/>
    <s v="Monitor Sales"/>
  </r>
  <r>
    <n v="898"/>
    <s v="Product_98"/>
    <x v="1"/>
    <x v="0"/>
    <n v="234"/>
    <n v="421"/>
    <n v="398"/>
    <n v="4497.62"/>
    <n v="3065.13"/>
    <n v="88"/>
    <n v="8"/>
    <s v="2026-02-09"/>
    <n v="357"/>
    <n v="3"/>
    <n v="18"/>
    <s v="No"/>
    <x v="1"/>
    <n v="23"/>
    <n v="1.7991452991452992"/>
    <x v="1"/>
    <s v="Maintain Stock"/>
  </r>
  <r>
    <n v="899"/>
    <s v="Product_44"/>
    <x v="4"/>
    <x v="3"/>
    <n v="161"/>
    <n v="52"/>
    <n v="79"/>
    <n v="3444.41"/>
    <n v="2390.2199999999998"/>
    <n v="60"/>
    <n v="9"/>
    <s v="2026-01-09"/>
    <n v="200"/>
    <n v="1"/>
    <n v="16"/>
    <s v="Yes"/>
    <x v="1"/>
    <n v="-27"/>
    <n v="0.32298136645962733"/>
    <x v="2"/>
    <s v="Apply Discount / Promotion"/>
  </r>
  <r>
    <n v="900"/>
    <s v="Product_1"/>
    <x v="1"/>
    <x v="3"/>
    <n v="310"/>
    <n v="171"/>
    <n v="215"/>
    <n v="1364.22"/>
    <n v="926.74"/>
    <n v="51"/>
    <n v="1"/>
    <s v="2026-03-07"/>
    <n v="246"/>
    <n v="1"/>
    <n v="25"/>
    <s v="No"/>
    <x v="0"/>
    <n v="-44"/>
    <n v="0.55161290322580647"/>
    <x v="0"/>
    <s v="Monitor Sales"/>
  </r>
  <r>
    <n v="901"/>
    <s v="Product_44"/>
    <x v="3"/>
    <x v="2"/>
    <n v="249"/>
    <n v="214"/>
    <n v="203"/>
    <n v="1160.82"/>
    <n v="864.38"/>
    <n v="113"/>
    <n v="6"/>
    <s v="2026-03-21"/>
    <n v="347"/>
    <n v="3"/>
    <n v="1"/>
    <s v="Yes"/>
    <x v="0"/>
    <n v="11"/>
    <n v="0.85943775100401609"/>
    <x v="0"/>
    <s v="Monitor Sales"/>
  </r>
  <r>
    <n v="902"/>
    <s v="Product_81"/>
    <x v="2"/>
    <x v="2"/>
    <n v="162"/>
    <n v="152"/>
    <n v="142"/>
    <n v="4519.3999999999996"/>
    <n v="3081.81"/>
    <n v="66"/>
    <n v="9"/>
    <s v="2026-01-27"/>
    <n v="239"/>
    <n v="5"/>
    <n v="12"/>
    <s v="Yes"/>
    <x v="0"/>
    <n v="10"/>
    <n v="0.93827160493827155"/>
    <x v="0"/>
    <s v="Monitor Sales"/>
  </r>
  <r>
    <n v="903"/>
    <s v="Product_74"/>
    <x v="3"/>
    <x v="3"/>
    <n v="235"/>
    <n v="377"/>
    <n v="385"/>
    <n v="51.12"/>
    <n v="28.87"/>
    <n v="119"/>
    <n v="12"/>
    <s v="2026-01-17"/>
    <n v="161"/>
    <n v="5"/>
    <n v="14"/>
    <s v="No"/>
    <x v="0"/>
    <n v="-8"/>
    <n v="1.6042553191489362"/>
    <x v="1"/>
    <s v="Maintain Stock"/>
  </r>
  <r>
    <n v="904"/>
    <s v="Product_26"/>
    <x v="4"/>
    <x v="2"/>
    <n v="211"/>
    <n v="38"/>
    <n v="81"/>
    <n v="912.4"/>
    <n v="579.46"/>
    <n v="104"/>
    <n v="4"/>
    <s v="2026-01-04"/>
    <n v="32"/>
    <n v="3"/>
    <n v="32"/>
    <s v="Yes"/>
    <x v="0"/>
    <n v="-43"/>
    <n v="0.18009478672985782"/>
    <x v="2"/>
    <s v="Apply Discount / Promotion"/>
  </r>
  <r>
    <n v="905"/>
    <s v="Product_62"/>
    <x v="3"/>
    <x v="2"/>
    <n v="207"/>
    <n v="10"/>
    <n v="14"/>
    <n v="4417.76"/>
    <n v="3080.53"/>
    <n v="90"/>
    <n v="14"/>
    <s v="2026-01-28"/>
    <n v="251"/>
    <n v="2"/>
    <n v="3"/>
    <s v="Yes"/>
    <x v="1"/>
    <n v="-4"/>
    <n v="4.8309178743961352E-2"/>
    <x v="2"/>
    <s v="Apply Discount / Promotion"/>
  </r>
  <r>
    <n v="906"/>
    <s v="Product_73"/>
    <x v="1"/>
    <x v="2"/>
    <n v="216"/>
    <n v="88"/>
    <n v="41"/>
    <n v="1894.81"/>
    <n v="1076.27"/>
    <n v="106"/>
    <n v="4"/>
    <s v="2026-03-01"/>
    <n v="173"/>
    <n v="1"/>
    <n v="30"/>
    <s v="Yes"/>
    <x v="0"/>
    <n v="47"/>
    <n v="0.40740740740740738"/>
    <x v="2"/>
    <s v="Apply Discount / Promotion"/>
  </r>
  <r>
    <n v="907"/>
    <s v="Product_85"/>
    <x v="0"/>
    <x v="1"/>
    <n v="418"/>
    <n v="112"/>
    <n v="104"/>
    <n v="1064.52"/>
    <n v="728.99"/>
    <n v="124"/>
    <n v="3"/>
    <s v="2026-03-22"/>
    <n v="142"/>
    <n v="2"/>
    <n v="3"/>
    <s v="Yes"/>
    <x v="2"/>
    <n v="8"/>
    <n v="0.26794258373205743"/>
    <x v="2"/>
    <s v="Apply Discount / Promotion"/>
  </r>
  <r>
    <n v="908"/>
    <s v="Product_28"/>
    <x v="0"/>
    <x v="2"/>
    <n v="421"/>
    <n v="83"/>
    <n v="66"/>
    <n v="3397.63"/>
    <n v="1746.66"/>
    <n v="80"/>
    <n v="5"/>
    <s v="2026-02-04"/>
    <n v="55"/>
    <n v="5"/>
    <n v="34"/>
    <s v="No"/>
    <x v="1"/>
    <n v="17"/>
    <n v="0.19714964370546317"/>
    <x v="2"/>
    <s v="Apply Discount / Promotion"/>
  </r>
  <r>
    <n v="909"/>
    <s v="Product_30"/>
    <x v="2"/>
    <x v="2"/>
    <n v="341"/>
    <n v="366"/>
    <n v="392"/>
    <n v="1383.53"/>
    <n v="952.66"/>
    <n v="105"/>
    <n v="2"/>
    <s v="2026-03-06"/>
    <n v="348"/>
    <n v="5"/>
    <n v="32"/>
    <s v="No"/>
    <x v="1"/>
    <n v="-26"/>
    <n v="1.0733137829912023"/>
    <x v="1"/>
    <s v="Maintain Stock"/>
  </r>
  <r>
    <n v="910"/>
    <s v="Product_29"/>
    <x v="4"/>
    <x v="2"/>
    <n v="91"/>
    <n v="83"/>
    <n v="60"/>
    <n v="2346.14"/>
    <n v="1245.96"/>
    <n v="113"/>
    <n v="13"/>
    <s v="2026-01-15"/>
    <n v="203"/>
    <n v="5"/>
    <n v="24"/>
    <s v="No"/>
    <x v="2"/>
    <n v="23"/>
    <n v="0.91208791208791207"/>
    <x v="0"/>
    <s v="Monitor Sales"/>
  </r>
  <r>
    <n v="911"/>
    <s v="Product_32"/>
    <x v="3"/>
    <x v="0"/>
    <n v="454"/>
    <n v="372"/>
    <n v="363"/>
    <n v="1461.79"/>
    <n v="1105.96"/>
    <n v="35"/>
    <n v="4"/>
    <s v="2026-01-16"/>
    <n v="169"/>
    <n v="1"/>
    <n v="35"/>
    <s v="No"/>
    <x v="0"/>
    <n v="9"/>
    <n v="0.81938325991189431"/>
    <x v="0"/>
    <s v="Monitor Sales"/>
  </r>
  <r>
    <n v="912"/>
    <s v="Product_82"/>
    <x v="0"/>
    <x v="3"/>
    <n v="478"/>
    <n v="280"/>
    <n v="280"/>
    <n v="311.17"/>
    <n v="207.63"/>
    <n v="124"/>
    <n v="6"/>
    <s v="2026-01-18"/>
    <n v="202"/>
    <n v="2"/>
    <n v="1"/>
    <s v="Yes"/>
    <x v="1"/>
    <n v="0"/>
    <n v="0.58577405857740583"/>
    <x v="0"/>
    <s v="Monitor Sales"/>
  </r>
  <r>
    <n v="913"/>
    <s v="Product_12"/>
    <x v="4"/>
    <x v="0"/>
    <n v="225"/>
    <n v="261"/>
    <n v="253"/>
    <n v="2253.65"/>
    <n v="1621.91"/>
    <n v="55"/>
    <n v="14"/>
    <s v="2026-01-14"/>
    <n v="180"/>
    <n v="1"/>
    <n v="31"/>
    <s v="Yes"/>
    <x v="0"/>
    <n v="8"/>
    <n v="1.1599999999999999"/>
    <x v="1"/>
    <s v="Maintain Stock"/>
  </r>
  <r>
    <n v="914"/>
    <s v="Product_68"/>
    <x v="0"/>
    <x v="2"/>
    <n v="222"/>
    <n v="44"/>
    <n v="90"/>
    <n v="2034.46"/>
    <n v="1551.32"/>
    <n v="132"/>
    <n v="13"/>
    <s v="2026-03-20"/>
    <n v="145"/>
    <n v="5"/>
    <n v="38"/>
    <s v="No"/>
    <x v="2"/>
    <n v="-46"/>
    <n v="0.1981981981981982"/>
    <x v="2"/>
    <s v="Apply Discount / Promotion"/>
  </r>
  <r>
    <n v="915"/>
    <s v="Product_30"/>
    <x v="2"/>
    <x v="0"/>
    <n v="205"/>
    <n v="134"/>
    <n v="180"/>
    <n v="4007.76"/>
    <n v="2198.44"/>
    <n v="88"/>
    <n v="15"/>
    <s v="2026-02-09"/>
    <n v="93"/>
    <n v="1"/>
    <n v="37"/>
    <s v="No"/>
    <x v="0"/>
    <n v="-46"/>
    <n v="0.65365853658536588"/>
    <x v="0"/>
    <s v="Monitor Sales"/>
  </r>
  <r>
    <n v="916"/>
    <s v="Product_35"/>
    <x v="3"/>
    <x v="1"/>
    <n v="437"/>
    <n v="78"/>
    <n v="84"/>
    <n v="576.25"/>
    <n v="347.52"/>
    <n v="36"/>
    <n v="8"/>
    <s v="2026-03-04"/>
    <n v="157"/>
    <n v="4"/>
    <n v="36"/>
    <s v="No"/>
    <x v="1"/>
    <n v="-6"/>
    <n v="0.17848970251716248"/>
    <x v="2"/>
    <s v="Apply Discount / Promotion"/>
  </r>
  <r>
    <n v="917"/>
    <s v="Product_71"/>
    <x v="1"/>
    <x v="0"/>
    <n v="245"/>
    <n v="215"/>
    <n v="167"/>
    <n v="3402.26"/>
    <n v="2514.6"/>
    <n v="99"/>
    <n v="8"/>
    <s v="2026-01-28"/>
    <n v="352"/>
    <n v="1"/>
    <n v="31"/>
    <s v="Yes"/>
    <x v="0"/>
    <n v="48"/>
    <n v="0.87755102040816324"/>
    <x v="0"/>
    <s v="Monitor Sales"/>
  </r>
  <r>
    <n v="918"/>
    <s v="Product_75"/>
    <x v="1"/>
    <x v="3"/>
    <n v="360"/>
    <n v="178"/>
    <n v="141"/>
    <n v="4429.96"/>
    <n v="3376.53"/>
    <n v="50"/>
    <n v="15"/>
    <s v="2026-01-30"/>
    <n v="245"/>
    <n v="1"/>
    <n v="23"/>
    <s v="Yes"/>
    <x v="1"/>
    <n v="37"/>
    <n v="0.49444444444444446"/>
    <x v="2"/>
    <s v="Apply Discount / Promotion"/>
  </r>
  <r>
    <n v="919"/>
    <s v="Product_20"/>
    <x v="3"/>
    <x v="2"/>
    <n v="395"/>
    <n v="311"/>
    <n v="294"/>
    <n v="562.86"/>
    <n v="301.52999999999997"/>
    <n v="61"/>
    <n v="7"/>
    <s v="2026-02-10"/>
    <n v="156"/>
    <n v="3"/>
    <n v="43"/>
    <s v="Yes"/>
    <x v="1"/>
    <n v="17"/>
    <n v="0.78734177215189871"/>
    <x v="0"/>
    <s v="Monitor Sales"/>
  </r>
  <r>
    <n v="920"/>
    <s v="Product_51"/>
    <x v="2"/>
    <x v="0"/>
    <n v="89"/>
    <n v="84"/>
    <n v="115"/>
    <n v="1514.08"/>
    <n v="992.41"/>
    <n v="128"/>
    <n v="10"/>
    <s v="2026-01-23"/>
    <n v="70"/>
    <n v="2"/>
    <n v="39"/>
    <s v="No"/>
    <x v="2"/>
    <n v="-31"/>
    <n v="0.9438202247191011"/>
    <x v="0"/>
    <s v="Monitor Sales"/>
  </r>
  <r>
    <n v="921"/>
    <s v="Product_59"/>
    <x v="2"/>
    <x v="1"/>
    <n v="238"/>
    <n v="105"/>
    <n v="86"/>
    <n v="4343.2700000000004"/>
    <n v="2785.48"/>
    <n v="137"/>
    <n v="5"/>
    <s v="2026-03-07"/>
    <n v="63"/>
    <n v="5"/>
    <n v="26"/>
    <s v="No"/>
    <x v="1"/>
    <n v="19"/>
    <n v="0.44117647058823528"/>
    <x v="2"/>
    <s v="Apply Discount / Promotion"/>
  </r>
  <r>
    <n v="922"/>
    <s v="Product_66"/>
    <x v="1"/>
    <x v="0"/>
    <n v="407"/>
    <n v="152"/>
    <n v="163"/>
    <n v="564.80999999999995"/>
    <n v="336.86"/>
    <n v="145"/>
    <n v="14"/>
    <s v="2026-01-16"/>
    <n v="303"/>
    <n v="3"/>
    <n v="47"/>
    <s v="Yes"/>
    <x v="1"/>
    <n v="-11"/>
    <n v="0.37346437346437344"/>
    <x v="2"/>
    <s v="Apply Discount / Promotion"/>
  </r>
  <r>
    <n v="923"/>
    <s v="Product_73"/>
    <x v="2"/>
    <x v="3"/>
    <n v="157"/>
    <n v="143"/>
    <n v="113"/>
    <n v="1615.66"/>
    <n v="933.23"/>
    <n v="125"/>
    <n v="14"/>
    <s v="2026-02-12"/>
    <n v="309"/>
    <n v="5"/>
    <n v="6"/>
    <s v="Yes"/>
    <x v="0"/>
    <n v="30"/>
    <n v="0.91082802547770703"/>
    <x v="0"/>
    <s v="Monitor Sales"/>
  </r>
  <r>
    <n v="924"/>
    <s v="Product_81"/>
    <x v="1"/>
    <x v="3"/>
    <n v="207"/>
    <n v="140"/>
    <n v="135"/>
    <n v="1083.6300000000001"/>
    <n v="714.52"/>
    <n v="37"/>
    <n v="5"/>
    <s v="2026-02-27"/>
    <n v="238"/>
    <n v="5"/>
    <n v="19"/>
    <s v="Yes"/>
    <x v="2"/>
    <n v="5"/>
    <n v="0.67632850241545894"/>
    <x v="0"/>
    <s v="Monitor Sales"/>
  </r>
  <r>
    <n v="925"/>
    <s v="Product_84"/>
    <x v="1"/>
    <x v="1"/>
    <n v="414"/>
    <n v="324"/>
    <n v="365"/>
    <n v="4154.42"/>
    <n v="2630.29"/>
    <n v="77"/>
    <n v="3"/>
    <s v="2026-03-25"/>
    <n v="146"/>
    <n v="3"/>
    <n v="31"/>
    <s v="No"/>
    <x v="1"/>
    <n v="-41"/>
    <n v="0.78260869565217395"/>
    <x v="0"/>
    <s v="Monitor Sales"/>
  </r>
  <r>
    <n v="926"/>
    <s v="Product_51"/>
    <x v="3"/>
    <x v="2"/>
    <n v="103"/>
    <n v="21"/>
    <n v="53"/>
    <n v="2622.77"/>
    <n v="1517.71"/>
    <n v="149"/>
    <n v="7"/>
    <s v="2026-01-09"/>
    <n v="97"/>
    <n v="4"/>
    <n v="26"/>
    <s v="Yes"/>
    <x v="1"/>
    <n v="-32"/>
    <n v="0.20388349514563106"/>
    <x v="2"/>
    <s v="Apply Discount / Promotion"/>
  </r>
  <r>
    <n v="927"/>
    <s v="Product_86"/>
    <x v="3"/>
    <x v="0"/>
    <n v="333"/>
    <n v="200"/>
    <n v="222"/>
    <n v="2275.85"/>
    <n v="1481.08"/>
    <n v="133"/>
    <n v="11"/>
    <s v="2026-02-15"/>
    <n v="325"/>
    <n v="1"/>
    <n v="6"/>
    <s v="No"/>
    <x v="1"/>
    <n v="-22"/>
    <n v="0.60060060060060061"/>
    <x v="0"/>
    <s v="Monitor Sales"/>
  </r>
  <r>
    <n v="928"/>
    <s v="Product_27"/>
    <x v="1"/>
    <x v="0"/>
    <n v="133"/>
    <n v="75"/>
    <n v="92"/>
    <n v="1195.5"/>
    <n v="742.28"/>
    <n v="102"/>
    <n v="3"/>
    <s v="2026-02-27"/>
    <n v="207"/>
    <n v="5"/>
    <n v="32"/>
    <s v="No"/>
    <x v="0"/>
    <n v="-17"/>
    <n v="0.56390977443609025"/>
    <x v="0"/>
    <s v="Monitor Sales"/>
  </r>
  <r>
    <n v="929"/>
    <s v="Product_12"/>
    <x v="3"/>
    <x v="2"/>
    <n v="112"/>
    <n v="240"/>
    <n v="280"/>
    <n v="1656.4"/>
    <n v="894.88"/>
    <n v="124"/>
    <n v="11"/>
    <s v="2026-01-23"/>
    <n v="86"/>
    <n v="1"/>
    <n v="8"/>
    <s v="Yes"/>
    <x v="1"/>
    <n v="-40"/>
    <n v="2.1428571428571428"/>
    <x v="1"/>
    <s v="Maintain Stock"/>
  </r>
  <r>
    <n v="930"/>
    <s v="Product_17"/>
    <x v="2"/>
    <x v="3"/>
    <n v="278"/>
    <n v="156"/>
    <n v="132"/>
    <n v="378.42"/>
    <n v="190.96"/>
    <n v="79"/>
    <n v="1"/>
    <s v="2026-03-11"/>
    <n v="43"/>
    <n v="2"/>
    <n v="19"/>
    <s v="Yes"/>
    <x v="0"/>
    <n v="24"/>
    <n v="0.5611510791366906"/>
    <x v="0"/>
    <s v="Monitor Sales"/>
  </r>
  <r>
    <n v="931"/>
    <s v="Product_85"/>
    <x v="3"/>
    <x v="2"/>
    <n v="29"/>
    <n v="0"/>
    <n v="34"/>
    <n v="765.61"/>
    <n v="481.15"/>
    <n v="102"/>
    <n v="13"/>
    <s v="2026-03-17"/>
    <n v="287"/>
    <n v="4"/>
    <n v="29"/>
    <s v="No"/>
    <x v="0"/>
    <n v="-34"/>
    <n v="0"/>
    <x v="2"/>
    <s v="Apply Discount / Promotion"/>
  </r>
  <r>
    <n v="932"/>
    <s v="Product_30"/>
    <x v="0"/>
    <x v="1"/>
    <n v="168"/>
    <n v="91"/>
    <n v="65"/>
    <n v="1851.42"/>
    <n v="1381.11"/>
    <n v="130"/>
    <n v="15"/>
    <s v="2025-12-31"/>
    <n v="222"/>
    <n v="3"/>
    <n v="38"/>
    <s v="No"/>
    <x v="1"/>
    <n v="26"/>
    <n v="0.54166666666666663"/>
    <x v="0"/>
    <s v="Monitor Sales"/>
  </r>
  <r>
    <n v="933"/>
    <s v="Product_76"/>
    <x v="2"/>
    <x v="3"/>
    <n v="315"/>
    <n v="14"/>
    <n v="35"/>
    <n v="2019.92"/>
    <n v="1355.6"/>
    <n v="33"/>
    <n v="7"/>
    <s v="2026-02-04"/>
    <n v="131"/>
    <n v="1"/>
    <n v="46"/>
    <s v="No"/>
    <x v="2"/>
    <n v="-21"/>
    <n v="4.4444444444444446E-2"/>
    <x v="2"/>
    <s v="Apply Discount / Promotion"/>
  </r>
  <r>
    <n v="934"/>
    <s v="Product_14"/>
    <x v="3"/>
    <x v="2"/>
    <n v="272"/>
    <n v="412"/>
    <n v="395"/>
    <n v="277.63"/>
    <n v="149.25"/>
    <n v="113"/>
    <n v="10"/>
    <s v="2026-01-06"/>
    <n v="95"/>
    <n v="1"/>
    <n v="38"/>
    <s v="Yes"/>
    <x v="1"/>
    <n v="17"/>
    <n v="1.5147058823529411"/>
    <x v="1"/>
    <s v="Maintain Stock"/>
  </r>
  <r>
    <n v="935"/>
    <s v="Product_77"/>
    <x v="2"/>
    <x v="0"/>
    <n v="183"/>
    <n v="18"/>
    <n v="53"/>
    <n v="2789.61"/>
    <n v="1495.02"/>
    <n v="96"/>
    <n v="10"/>
    <s v="2026-02-10"/>
    <n v="152"/>
    <n v="3"/>
    <n v="15"/>
    <s v="No"/>
    <x v="2"/>
    <n v="-35"/>
    <n v="9.8360655737704916E-2"/>
    <x v="2"/>
    <s v="Apply Discount / Promotion"/>
  </r>
  <r>
    <n v="936"/>
    <s v="Product_18"/>
    <x v="2"/>
    <x v="0"/>
    <n v="206"/>
    <n v="398"/>
    <n v="369"/>
    <n v="2661.82"/>
    <n v="1733.51"/>
    <n v="140"/>
    <n v="10"/>
    <s v="2026-01-18"/>
    <n v="175"/>
    <n v="1"/>
    <n v="0"/>
    <s v="No"/>
    <x v="2"/>
    <n v="29"/>
    <n v="1.9320388349514563"/>
    <x v="1"/>
    <s v="Maintain Stock"/>
  </r>
  <r>
    <n v="937"/>
    <s v="Product_90"/>
    <x v="0"/>
    <x v="0"/>
    <n v="275"/>
    <n v="300"/>
    <n v="267"/>
    <n v="3183.06"/>
    <n v="2467.4299999999998"/>
    <n v="34"/>
    <n v="3"/>
    <s v="2026-01-19"/>
    <n v="106"/>
    <n v="2"/>
    <n v="29"/>
    <s v="Yes"/>
    <x v="0"/>
    <n v="33"/>
    <n v="1.0909090909090908"/>
    <x v="1"/>
    <s v="Maintain Stock"/>
  </r>
  <r>
    <n v="938"/>
    <s v="Product_92"/>
    <x v="4"/>
    <x v="3"/>
    <n v="111"/>
    <n v="288"/>
    <n v="322"/>
    <n v="584.29"/>
    <n v="392.4"/>
    <n v="118"/>
    <n v="8"/>
    <s v="2026-02-23"/>
    <n v="266"/>
    <n v="2"/>
    <n v="33"/>
    <s v="Yes"/>
    <x v="2"/>
    <n v="-34"/>
    <n v="2.5945945945945947"/>
    <x v="1"/>
    <s v="Maintain Stock"/>
  </r>
  <r>
    <n v="939"/>
    <s v="Product_98"/>
    <x v="4"/>
    <x v="0"/>
    <n v="97"/>
    <n v="0"/>
    <n v="33"/>
    <n v="2746.2"/>
    <n v="2056.92"/>
    <n v="122"/>
    <n v="14"/>
    <s v="2026-02-16"/>
    <n v="126"/>
    <n v="3"/>
    <n v="8"/>
    <s v="Yes"/>
    <x v="0"/>
    <n v="-33"/>
    <n v="0"/>
    <x v="2"/>
    <s v="Apply Discount / Promotion"/>
  </r>
  <r>
    <n v="940"/>
    <s v="Product_5"/>
    <x v="0"/>
    <x v="2"/>
    <n v="172"/>
    <n v="226"/>
    <n v="243"/>
    <n v="939.49"/>
    <n v="510.5"/>
    <n v="59"/>
    <n v="8"/>
    <s v="2026-02-11"/>
    <n v="275"/>
    <n v="4"/>
    <n v="39"/>
    <s v="No"/>
    <x v="1"/>
    <n v="-17"/>
    <n v="1.3139534883720929"/>
    <x v="1"/>
    <s v="Maintain Stock"/>
  </r>
  <r>
    <n v="941"/>
    <s v="Product_57"/>
    <x v="4"/>
    <x v="0"/>
    <n v="496"/>
    <n v="171"/>
    <n v="157"/>
    <n v="3822.09"/>
    <n v="2106.4299999999998"/>
    <n v="111"/>
    <n v="8"/>
    <s v="2026-01-27"/>
    <n v="32"/>
    <n v="2"/>
    <n v="4"/>
    <s v="Yes"/>
    <x v="1"/>
    <n v="14"/>
    <n v="0.34475806451612906"/>
    <x v="2"/>
    <s v="Apply Discount / Promotion"/>
  </r>
  <r>
    <n v="942"/>
    <s v="Product_84"/>
    <x v="2"/>
    <x v="1"/>
    <n v="474"/>
    <n v="101"/>
    <n v="126"/>
    <n v="277.3"/>
    <n v="145.29"/>
    <n v="39"/>
    <n v="4"/>
    <s v="2026-03-01"/>
    <n v="136"/>
    <n v="3"/>
    <n v="0"/>
    <s v="Yes"/>
    <x v="2"/>
    <n v="-25"/>
    <n v="0.21308016877637131"/>
    <x v="2"/>
    <s v="Apply Discount / Promotion"/>
  </r>
  <r>
    <n v="943"/>
    <s v="Product_6"/>
    <x v="3"/>
    <x v="1"/>
    <n v="284"/>
    <n v="150"/>
    <n v="181"/>
    <n v="4409.8500000000004"/>
    <n v="2363.84"/>
    <n v="120"/>
    <n v="4"/>
    <s v="2026-01-02"/>
    <n v="160"/>
    <n v="2"/>
    <n v="0"/>
    <s v="No"/>
    <x v="0"/>
    <n v="-31"/>
    <n v="0.528169014084507"/>
    <x v="0"/>
    <s v="Monitor Sales"/>
  </r>
  <r>
    <n v="944"/>
    <s v="Product_16"/>
    <x v="2"/>
    <x v="3"/>
    <n v="248"/>
    <n v="252"/>
    <n v="270"/>
    <n v="4197.1000000000004"/>
    <n v="2986.77"/>
    <n v="150"/>
    <n v="2"/>
    <s v="2026-01-08"/>
    <n v="202"/>
    <n v="5"/>
    <n v="8"/>
    <s v="No"/>
    <x v="0"/>
    <n v="-18"/>
    <n v="1.0161290322580645"/>
    <x v="1"/>
    <s v="Maintain Stock"/>
  </r>
  <r>
    <n v="945"/>
    <s v="Product_89"/>
    <x v="4"/>
    <x v="1"/>
    <n v="63"/>
    <n v="280"/>
    <n v="250"/>
    <n v="478.37"/>
    <n v="360.18"/>
    <n v="76"/>
    <n v="8"/>
    <s v="2026-03-14"/>
    <n v="212"/>
    <n v="4"/>
    <n v="4"/>
    <s v="No"/>
    <x v="0"/>
    <n v="30"/>
    <n v="4.4444444444444446"/>
    <x v="1"/>
    <s v="Maintain Stock"/>
  </r>
  <r>
    <n v="946"/>
    <s v="Product_66"/>
    <x v="2"/>
    <x v="0"/>
    <n v="294"/>
    <n v="0"/>
    <n v="37"/>
    <n v="733.7"/>
    <n v="403.24"/>
    <n v="44"/>
    <n v="7"/>
    <s v="2026-01-22"/>
    <n v="219"/>
    <n v="3"/>
    <n v="39"/>
    <s v="Yes"/>
    <x v="1"/>
    <n v="-37"/>
    <n v="0"/>
    <x v="2"/>
    <s v="Apply Discount / Promotion"/>
  </r>
  <r>
    <n v="947"/>
    <s v="Product_61"/>
    <x v="1"/>
    <x v="0"/>
    <n v="251"/>
    <n v="281"/>
    <n v="322"/>
    <n v="1139.42"/>
    <n v="836.5"/>
    <n v="118"/>
    <n v="11"/>
    <s v="2026-01-07"/>
    <n v="160"/>
    <n v="3"/>
    <n v="44"/>
    <s v="Yes"/>
    <x v="0"/>
    <n v="-41"/>
    <n v="1.1195219123505975"/>
    <x v="1"/>
    <s v="Maintain Stock"/>
  </r>
  <r>
    <n v="948"/>
    <s v="Product_69"/>
    <x v="4"/>
    <x v="1"/>
    <n v="92"/>
    <n v="71"/>
    <n v="84"/>
    <n v="4145.78"/>
    <n v="3152.48"/>
    <n v="145"/>
    <n v="8"/>
    <s v="2026-03-12"/>
    <n v="108"/>
    <n v="2"/>
    <n v="18"/>
    <s v="No"/>
    <x v="2"/>
    <n v="-13"/>
    <n v="0.77173913043478259"/>
    <x v="0"/>
    <s v="Monitor Sales"/>
  </r>
  <r>
    <n v="949"/>
    <s v="Product_35"/>
    <x v="0"/>
    <x v="0"/>
    <n v="467"/>
    <n v="341"/>
    <n v="350"/>
    <n v="3252.84"/>
    <n v="2293.79"/>
    <n v="94"/>
    <n v="13"/>
    <s v="2026-03-21"/>
    <n v="334"/>
    <n v="4"/>
    <n v="3"/>
    <s v="No"/>
    <x v="1"/>
    <n v="-9"/>
    <n v="0.73019271948608133"/>
    <x v="0"/>
    <s v="Monitor Sales"/>
  </r>
  <r>
    <n v="950"/>
    <s v="Product_78"/>
    <x v="0"/>
    <x v="0"/>
    <n v="91"/>
    <n v="75"/>
    <n v="69"/>
    <n v="4264.33"/>
    <n v="2823.22"/>
    <n v="126"/>
    <n v="15"/>
    <s v="2026-01-18"/>
    <n v="302"/>
    <n v="5"/>
    <n v="42"/>
    <s v="No"/>
    <x v="2"/>
    <n v="6"/>
    <n v="0.82417582417582413"/>
    <x v="0"/>
    <s v="Monitor Sales"/>
  </r>
  <r>
    <n v="951"/>
    <s v="Product_66"/>
    <x v="1"/>
    <x v="3"/>
    <n v="305"/>
    <n v="263"/>
    <n v="292"/>
    <n v="4219.62"/>
    <n v="2618.19"/>
    <n v="121"/>
    <n v="4"/>
    <s v="2026-01-26"/>
    <n v="174"/>
    <n v="4"/>
    <n v="6"/>
    <s v="Yes"/>
    <x v="1"/>
    <n v="-29"/>
    <n v="0.86229508196721316"/>
    <x v="0"/>
    <s v="Monitor Sales"/>
  </r>
  <r>
    <n v="952"/>
    <s v="Product_37"/>
    <x v="3"/>
    <x v="3"/>
    <n v="490"/>
    <n v="419"/>
    <n v="393"/>
    <n v="467.34"/>
    <n v="277.63"/>
    <n v="75"/>
    <n v="3"/>
    <s v="2026-02-16"/>
    <n v="255"/>
    <n v="5"/>
    <n v="49"/>
    <s v="Yes"/>
    <x v="1"/>
    <n v="26"/>
    <n v="0.85510204081632657"/>
    <x v="0"/>
    <s v="Monitor Sales"/>
  </r>
  <r>
    <n v="953"/>
    <s v="Product_48"/>
    <x v="1"/>
    <x v="1"/>
    <n v="267"/>
    <n v="255"/>
    <n v="225"/>
    <n v="1151.5999999999999"/>
    <n v="646.22"/>
    <n v="46"/>
    <n v="14"/>
    <s v="2026-02-08"/>
    <n v="323"/>
    <n v="5"/>
    <n v="15"/>
    <s v="Yes"/>
    <x v="2"/>
    <n v="30"/>
    <n v="0.9550561797752809"/>
    <x v="0"/>
    <s v="Monitor Sales"/>
  </r>
  <r>
    <n v="954"/>
    <s v="Product_99"/>
    <x v="0"/>
    <x v="1"/>
    <n v="461"/>
    <n v="282"/>
    <n v="307"/>
    <n v="3549.58"/>
    <n v="2147.0700000000002"/>
    <n v="56"/>
    <n v="9"/>
    <s v="2026-03-07"/>
    <n v="124"/>
    <n v="2"/>
    <n v="48"/>
    <s v="Yes"/>
    <x v="1"/>
    <n v="-25"/>
    <n v="0.61171366594360088"/>
    <x v="0"/>
    <s v="Monitor Sales"/>
  </r>
  <r>
    <n v="955"/>
    <s v="Product_9"/>
    <x v="1"/>
    <x v="2"/>
    <n v="150"/>
    <n v="195"/>
    <n v="176"/>
    <n v="2421.94"/>
    <n v="1514.61"/>
    <n v="76"/>
    <n v="7"/>
    <s v="2026-01-08"/>
    <n v="319"/>
    <n v="2"/>
    <n v="7"/>
    <s v="Yes"/>
    <x v="2"/>
    <n v="19"/>
    <n v="1.3"/>
    <x v="1"/>
    <s v="Maintain Stock"/>
  </r>
  <r>
    <n v="956"/>
    <s v="Product_3"/>
    <x v="4"/>
    <x v="1"/>
    <n v="231"/>
    <n v="350"/>
    <n v="342"/>
    <n v="4835.58"/>
    <n v="3721.18"/>
    <n v="102"/>
    <n v="13"/>
    <s v="2026-01-12"/>
    <n v="177"/>
    <n v="1"/>
    <n v="6"/>
    <s v="No"/>
    <x v="1"/>
    <n v="8"/>
    <n v="1.5151515151515151"/>
    <x v="1"/>
    <s v="Maintain Stock"/>
  </r>
  <r>
    <n v="957"/>
    <s v="Product_66"/>
    <x v="0"/>
    <x v="3"/>
    <n v="404"/>
    <n v="352"/>
    <n v="304"/>
    <n v="739.91"/>
    <n v="512.34"/>
    <n v="38"/>
    <n v="3"/>
    <s v="2026-02-24"/>
    <n v="146"/>
    <n v="1"/>
    <n v="48"/>
    <s v="No"/>
    <x v="2"/>
    <n v="48"/>
    <n v="0.87128712871287128"/>
    <x v="0"/>
    <s v="Monitor Sales"/>
  </r>
  <r>
    <n v="958"/>
    <s v="Product_35"/>
    <x v="1"/>
    <x v="1"/>
    <n v="261"/>
    <n v="81"/>
    <n v="46"/>
    <n v="3961.11"/>
    <n v="2679.98"/>
    <n v="70"/>
    <n v="7"/>
    <s v="2026-03-12"/>
    <n v="87"/>
    <n v="3"/>
    <n v="43"/>
    <s v="Yes"/>
    <x v="1"/>
    <n v="35"/>
    <n v="0.31034482758620691"/>
    <x v="2"/>
    <s v="Apply Discount / Promotion"/>
  </r>
  <r>
    <n v="959"/>
    <s v="Product_50"/>
    <x v="1"/>
    <x v="2"/>
    <n v="149"/>
    <n v="241"/>
    <n v="216"/>
    <n v="1984.4"/>
    <n v="1252.27"/>
    <n v="121"/>
    <n v="8"/>
    <s v="2026-02-21"/>
    <n v="59"/>
    <n v="5"/>
    <n v="27"/>
    <s v="Yes"/>
    <x v="2"/>
    <n v="25"/>
    <n v="1.6174496644295302"/>
    <x v="1"/>
    <s v="Maintain Stock"/>
  </r>
  <r>
    <n v="960"/>
    <s v="Product_41"/>
    <x v="2"/>
    <x v="0"/>
    <n v="107"/>
    <n v="271"/>
    <n v="249"/>
    <n v="2618.09"/>
    <n v="1689.73"/>
    <n v="109"/>
    <n v="13"/>
    <s v="2026-01-14"/>
    <n v="356"/>
    <n v="5"/>
    <n v="14"/>
    <s v="Yes"/>
    <x v="1"/>
    <n v="22"/>
    <n v="2.5327102803738319"/>
    <x v="1"/>
    <s v="Maintain Stock"/>
  </r>
  <r>
    <n v="961"/>
    <s v="Product_61"/>
    <x v="1"/>
    <x v="1"/>
    <n v="417"/>
    <n v="145"/>
    <n v="142"/>
    <n v="3148.65"/>
    <n v="1757.33"/>
    <n v="62"/>
    <n v="6"/>
    <s v="2026-01-09"/>
    <n v="126"/>
    <n v="4"/>
    <n v="32"/>
    <s v="No"/>
    <x v="2"/>
    <n v="3"/>
    <n v="0.34772182254196643"/>
    <x v="2"/>
    <s v="Apply Discount / Promotion"/>
  </r>
  <r>
    <n v="962"/>
    <s v="Product_35"/>
    <x v="3"/>
    <x v="3"/>
    <n v="481"/>
    <n v="73"/>
    <n v="47"/>
    <n v="1655.22"/>
    <n v="1026.98"/>
    <n v="127"/>
    <n v="7"/>
    <s v="2026-02-18"/>
    <n v="325"/>
    <n v="2"/>
    <n v="15"/>
    <s v="No"/>
    <x v="1"/>
    <n v="26"/>
    <n v="0.15176715176715178"/>
    <x v="2"/>
    <s v="Apply Discount / Promotion"/>
  </r>
  <r>
    <n v="963"/>
    <s v="Product_78"/>
    <x v="2"/>
    <x v="2"/>
    <n v="176"/>
    <n v="361"/>
    <n v="377"/>
    <n v="1462.06"/>
    <n v="857.73"/>
    <n v="94"/>
    <n v="5"/>
    <s v="2026-02-22"/>
    <n v="282"/>
    <n v="5"/>
    <n v="7"/>
    <s v="No"/>
    <x v="2"/>
    <n v="-16"/>
    <n v="2.0511363636363638"/>
    <x v="1"/>
    <s v="Maintain Stock"/>
  </r>
  <r>
    <n v="964"/>
    <s v="Product_91"/>
    <x v="0"/>
    <x v="1"/>
    <n v="310"/>
    <n v="388"/>
    <n v="349"/>
    <n v="4188.17"/>
    <n v="2182.64"/>
    <n v="124"/>
    <n v="9"/>
    <s v="2026-03-03"/>
    <n v="157"/>
    <n v="4"/>
    <n v="48"/>
    <s v="No"/>
    <x v="2"/>
    <n v="39"/>
    <n v="1.2516129032258065"/>
    <x v="1"/>
    <s v="Maintain Stock"/>
  </r>
  <r>
    <n v="965"/>
    <s v="Product_74"/>
    <x v="4"/>
    <x v="1"/>
    <n v="81"/>
    <n v="170"/>
    <n v="151"/>
    <n v="1183.18"/>
    <n v="781.99"/>
    <n v="118"/>
    <n v="12"/>
    <s v="2026-01-09"/>
    <n v="172"/>
    <n v="3"/>
    <n v="3"/>
    <s v="No"/>
    <x v="1"/>
    <n v="19"/>
    <n v="2.0987654320987654"/>
    <x v="1"/>
    <s v="Maintain Stock"/>
  </r>
  <r>
    <n v="966"/>
    <s v="Product_86"/>
    <x v="4"/>
    <x v="3"/>
    <n v="482"/>
    <n v="160"/>
    <n v="180"/>
    <n v="607.25"/>
    <n v="475.8"/>
    <n v="88"/>
    <n v="3"/>
    <s v="2026-03-10"/>
    <n v="58"/>
    <n v="3"/>
    <n v="4"/>
    <s v="No"/>
    <x v="2"/>
    <n v="-20"/>
    <n v="0.33195020746887965"/>
    <x v="2"/>
    <s v="Apply Discount / Promotion"/>
  </r>
  <r>
    <n v="967"/>
    <s v="Product_79"/>
    <x v="2"/>
    <x v="3"/>
    <n v="420"/>
    <n v="91"/>
    <n v="120"/>
    <n v="2390.86"/>
    <n v="1839.56"/>
    <n v="64"/>
    <n v="9"/>
    <s v="2026-03-22"/>
    <n v="117"/>
    <n v="3"/>
    <n v="48"/>
    <s v="Yes"/>
    <x v="2"/>
    <n v="-29"/>
    <n v="0.21666666666666667"/>
    <x v="2"/>
    <s v="Apply Discount / Promotion"/>
  </r>
  <r>
    <n v="968"/>
    <s v="Product_86"/>
    <x v="4"/>
    <x v="3"/>
    <n v="487"/>
    <n v="58"/>
    <n v="30"/>
    <n v="2698.29"/>
    <n v="1704.67"/>
    <n v="116"/>
    <n v="15"/>
    <s v="2026-02-17"/>
    <n v="292"/>
    <n v="5"/>
    <n v="11"/>
    <s v="Yes"/>
    <x v="2"/>
    <n v="28"/>
    <n v="0.11909650924024641"/>
    <x v="2"/>
    <s v="Apply Discount / Promotion"/>
  </r>
  <r>
    <n v="969"/>
    <s v="Product_11"/>
    <x v="3"/>
    <x v="2"/>
    <n v="22"/>
    <n v="0"/>
    <n v="37"/>
    <n v="1971.51"/>
    <n v="1030.6300000000001"/>
    <n v="116"/>
    <n v="13"/>
    <s v="2026-01-14"/>
    <n v="243"/>
    <n v="2"/>
    <n v="6"/>
    <s v="Yes"/>
    <x v="0"/>
    <n v="-37"/>
    <n v="0"/>
    <x v="2"/>
    <s v="Apply Discount / Promotion"/>
  </r>
  <r>
    <n v="970"/>
    <s v="Product_87"/>
    <x v="3"/>
    <x v="1"/>
    <n v="37"/>
    <n v="230"/>
    <n v="213"/>
    <n v="1601.13"/>
    <n v="946.21"/>
    <n v="71"/>
    <n v="9"/>
    <s v="2026-02-13"/>
    <n v="342"/>
    <n v="3"/>
    <n v="36"/>
    <s v="No"/>
    <x v="0"/>
    <n v="17"/>
    <n v="6.2162162162162158"/>
    <x v="1"/>
    <s v="Maintain Stock"/>
  </r>
  <r>
    <n v="971"/>
    <s v="Product_28"/>
    <x v="2"/>
    <x v="2"/>
    <n v="495"/>
    <n v="170"/>
    <n v="205"/>
    <n v="991.92"/>
    <n v="518.39"/>
    <n v="139"/>
    <n v="9"/>
    <s v="2026-01-06"/>
    <n v="49"/>
    <n v="4"/>
    <n v="50"/>
    <s v="Yes"/>
    <x v="2"/>
    <n v="-35"/>
    <n v="0.34343434343434343"/>
    <x v="2"/>
    <s v="Apply Discount / Promotion"/>
  </r>
  <r>
    <n v="972"/>
    <s v="Product_4"/>
    <x v="2"/>
    <x v="1"/>
    <n v="496"/>
    <n v="98"/>
    <n v="77"/>
    <n v="2986.05"/>
    <n v="1667.78"/>
    <n v="144"/>
    <n v="10"/>
    <s v="2026-03-07"/>
    <n v="267"/>
    <n v="1"/>
    <n v="20"/>
    <s v="No"/>
    <x v="1"/>
    <n v="21"/>
    <n v="0.19758064516129031"/>
    <x v="2"/>
    <s v="Apply Discount / Promotion"/>
  </r>
  <r>
    <n v="973"/>
    <s v="Product_80"/>
    <x v="2"/>
    <x v="2"/>
    <n v="362"/>
    <n v="303"/>
    <n v="341"/>
    <n v="1203.6199999999999"/>
    <n v="771.98"/>
    <n v="34"/>
    <n v="5"/>
    <s v="2026-02-02"/>
    <n v="175"/>
    <n v="4"/>
    <n v="2"/>
    <s v="Yes"/>
    <x v="0"/>
    <n v="-38"/>
    <n v="0.83701657458563539"/>
    <x v="0"/>
    <s v="Monitor Sales"/>
  </r>
  <r>
    <n v="974"/>
    <s v="Product_53"/>
    <x v="1"/>
    <x v="0"/>
    <n v="483"/>
    <n v="262"/>
    <n v="250"/>
    <n v="3967.43"/>
    <n v="2170.35"/>
    <n v="124"/>
    <n v="9"/>
    <s v="2026-02-24"/>
    <n v="334"/>
    <n v="3"/>
    <n v="23"/>
    <s v="Yes"/>
    <x v="1"/>
    <n v="12"/>
    <n v="0.54244306418219457"/>
    <x v="0"/>
    <s v="Monitor Sales"/>
  </r>
  <r>
    <n v="975"/>
    <s v="Product_91"/>
    <x v="1"/>
    <x v="1"/>
    <n v="271"/>
    <n v="189"/>
    <n v="193"/>
    <n v="1674.13"/>
    <n v="939.51"/>
    <n v="131"/>
    <n v="7"/>
    <s v="2026-02-01"/>
    <n v="219"/>
    <n v="2"/>
    <n v="22"/>
    <s v="Yes"/>
    <x v="0"/>
    <n v="-4"/>
    <n v="0.69741697416974169"/>
    <x v="0"/>
    <s v="Monitor Sales"/>
  </r>
  <r>
    <n v="976"/>
    <s v="Product_29"/>
    <x v="4"/>
    <x v="2"/>
    <n v="320"/>
    <n v="404"/>
    <n v="375"/>
    <n v="3890.79"/>
    <n v="2785.54"/>
    <n v="83"/>
    <n v="1"/>
    <s v="2026-03-13"/>
    <n v="299"/>
    <n v="2"/>
    <n v="18"/>
    <s v="Yes"/>
    <x v="1"/>
    <n v="29"/>
    <n v="1.2625"/>
    <x v="1"/>
    <s v="Maintain Stock"/>
  </r>
  <r>
    <n v="977"/>
    <s v="Product_50"/>
    <x v="4"/>
    <x v="1"/>
    <n v="94"/>
    <n v="296"/>
    <n v="291"/>
    <n v="3275.89"/>
    <n v="2337.7600000000002"/>
    <n v="121"/>
    <n v="11"/>
    <s v="2026-02-10"/>
    <n v="297"/>
    <n v="1"/>
    <n v="11"/>
    <s v="Yes"/>
    <x v="2"/>
    <n v="5"/>
    <n v="3.1489361702127661"/>
    <x v="1"/>
    <s v="Maintain Stock"/>
  </r>
  <r>
    <n v="978"/>
    <s v="Product_23"/>
    <x v="2"/>
    <x v="2"/>
    <n v="332"/>
    <n v="146"/>
    <n v="178"/>
    <n v="398.34"/>
    <n v="235.78"/>
    <n v="143"/>
    <n v="9"/>
    <s v="2026-01-27"/>
    <n v="117"/>
    <n v="1"/>
    <n v="22"/>
    <s v="No"/>
    <x v="0"/>
    <n v="-32"/>
    <n v="0.43975903614457829"/>
    <x v="2"/>
    <s v="Apply Discount / Promotion"/>
  </r>
  <r>
    <n v="979"/>
    <s v="Product_4"/>
    <x v="3"/>
    <x v="2"/>
    <n v="467"/>
    <n v="82"/>
    <n v="63"/>
    <n v="3735.8"/>
    <n v="2660.44"/>
    <n v="64"/>
    <n v="12"/>
    <s v="2026-02-13"/>
    <n v="358"/>
    <n v="3"/>
    <n v="30"/>
    <s v="Yes"/>
    <x v="2"/>
    <n v="19"/>
    <n v="0.17558886509635974"/>
    <x v="2"/>
    <s v="Apply Discount / Promotion"/>
  </r>
  <r>
    <n v="980"/>
    <s v="Product_53"/>
    <x v="3"/>
    <x v="2"/>
    <n v="300"/>
    <n v="183"/>
    <n v="194"/>
    <n v="4886.2700000000004"/>
    <n v="3344.42"/>
    <n v="55"/>
    <n v="9"/>
    <s v="2026-02-24"/>
    <n v="59"/>
    <n v="1"/>
    <n v="26"/>
    <s v="Yes"/>
    <x v="2"/>
    <n v="-11"/>
    <n v="0.61"/>
    <x v="0"/>
    <s v="Monitor Sales"/>
  </r>
  <r>
    <n v="981"/>
    <s v="Product_56"/>
    <x v="3"/>
    <x v="1"/>
    <n v="341"/>
    <n v="132"/>
    <n v="138"/>
    <n v="2468.0500000000002"/>
    <n v="1677.85"/>
    <n v="102"/>
    <n v="9"/>
    <s v="2026-01-11"/>
    <n v="176"/>
    <n v="2"/>
    <n v="16"/>
    <s v="No"/>
    <x v="1"/>
    <n v="-6"/>
    <n v="0.38709677419354838"/>
    <x v="2"/>
    <s v="Apply Discount / Promotion"/>
  </r>
  <r>
    <n v="982"/>
    <s v="Product_19"/>
    <x v="3"/>
    <x v="3"/>
    <n v="419"/>
    <n v="249"/>
    <n v="213"/>
    <n v="4887.43"/>
    <n v="3821.44"/>
    <n v="120"/>
    <n v="2"/>
    <s v="2026-01-07"/>
    <n v="363"/>
    <n v="2"/>
    <n v="38"/>
    <s v="Yes"/>
    <x v="1"/>
    <n v="36"/>
    <n v="0.59427207637231505"/>
    <x v="0"/>
    <s v="Monitor Sales"/>
  </r>
  <r>
    <n v="983"/>
    <s v="Product_30"/>
    <x v="4"/>
    <x v="1"/>
    <n v="112"/>
    <n v="192"/>
    <n v="166"/>
    <n v="3915.4"/>
    <n v="2453.13"/>
    <n v="96"/>
    <n v="12"/>
    <s v="2026-01-17"/>
    <n v="35"/>
    <n v="4"/>
    <n v="26"/>
    <s v="Yes"/>
    <x v="0"/>
    <n v="26"/>
    <n v="1.7142857142857142"/>
    <x v="1"/>
    <s v="Maintain Stock"/>
  </r>
  <r>
    <n v="984"/>
    <s v="Product_2"/>
    <x v="4"/>
    <x v="1"/>
    <n v="201"/>
    <n v="241"/>
    <n v="237"/>
    <n v="2570.02"/>
    <n v="1844.46"/>
    <n v="109"/>
    <n v="13"/>
    <s v="2026-02-20"/>
    <n v="305"/>
    <n v="1"/>
    <n v="24"/>
    <s v="Yes"/>
    <x v="1"/>
    <n v="4"/>
    <n v="1.1990049751243781"/>
    <x v="1"/>
    <s v="Maintain Stock"/>
  </r>
  <r>
    <n v="985"/>
    <s v="Product_3"/>
    <x v="0"/>
    <x v="2"/>
    <n v="461"/>
    <n v="214"/>
    <n v="233"/>
    <n v="991.89"/>
    <n v="510.88"/>
    <n v="75"/>
    <n v="4"/>
    <s v="2026-01-12"/>
    <n v="123"/>
    <n v="1"/>
    <n v="6"/>
    <s v="Yes"/>
    <x v="0"/>
    <n v="-19"/>
    <n v="0.46420824295010849"/>
    <x v="2"/>
    <s v="Apply Discount / Promotion"/>
  </r>
  <r>
    <n v="986"/>
    <s v="Product_51"/>
    <x v="0"/>
    <x v="0"/>
    <n v="349"/>
    <n v="308"/>
    <n v="287"/>
    <n v="2652.85"/>
    <n v="1784.54"/>
    <n v="69"/>
    <n v="4"/>
    <s v="2026-01-28"/>
    <n v="175"/>
    <n v="5"/>
    <n v="35"/>
    <s v="Yes"/>
    <x v="0"/>
    <n v="21"/>
    <n v="0.88252148997134672"/>
    <x v="0"/>
    <s v="Monitor Sales"/>
  </r>
  <r>
    <n v="987"/>
    <s v="Product_14"/>
    <x v="4"/>
    <x v="1"/>
    <n v="73"/>
    <n v="188"/>
    <n v="179"/>
    <n v="4456.41"/>
    <n v="3553.43"/>
    <n v="30"/>
    <n v="10"/>
    <s v="2026-01-16"/>
    <n v="356"/>
    <n v="2"/>
    <n v="14"/>
    <s v="No"/>
    <x v="2"/>
    <n v="9"/>
    <n v="2.5753424657534247"/>
    <x v="1"/>
    <s v="Maintain Stock"/>
  </r>
  <r>
    <n v="988"/>
    <s v="Product_63"/>
    <x v="4"/>
    <x v="3"/>
    <n v="410"/>
    <n v="272"/>
    <n v="237"/>
    <n v="3363.79"/>
    <n v="1963.44"/>
    <n v="149"/>
    <n v="8"/>
    <s v="2026-01-18"/>
    <n v="315"/>
    <n v="2"/>
    <n v="23"/>
    <s v="Yes"/>
    <x v="2"/>
    <n v="35"/>
    <n v="0.6634146341463415"/>
    <x v="0"/>
    <s v="Monitor Sales"/>
  </r>
  <r>
    <n v="989"/>
    <s v="Product_59"/>
    <x v="0"/>
    <x v="3"/>
    <n v="137"/>
    <n v="167"/>
    <n v="139"/>
    <n v="1341.17"/>
    <n v="1021.87"/>
    <n v="96"/>
    <n v="8"/>
    <s v="2026-02-22"/>
    <n v="237"/>
    <n v="1"/>
    <n v="23"/>
    <s v="Yes"/>
    <x v="0"/>
    <n v="28"/>
    <n v="1.218978102189781"/>
    <x v="1"/>
    <s v="Maintain Stock"/>
  </r>
  <r>
    <n v="990"/>
    <s v="Product_30"/>
    <x v="0"/>
    <x v="2"/>
    <n v="443"/>
    <n v="299"/>
    <n v="328"/>
    <n v="3332.8"/>
    <n v="1727.2"/>
    <n v="143"/>
    <n v="5"/>
    <s v="2026-03-19"/>
    <n v="269"/>
    <n v="1"/>
    <n v="47"/>
    <s v="No"/>
    <x v="0"/>
    <n v="-29"/>
    <n v="0.67494356659142207"/>
    <x v="0"/>
    <s v="Monitor Sales"/>
  </r>
  <r>
    <n v="991"/>
    <s v="Product_9"/>
    <x v="0"/>
    <x v="1"/>
    <n v="264"/>
    <n v="119"/>
    <n v="76"/>
    <n v="113.49"/>
    <n v="82.84"/>
    <n v="125"/>
    <n v="9"/>
    <s v="2026-03-01"/>
    <n v="345"/>
    <n v="2"/>
    <n v="38"/>
    <s v="Yes"/>
    <x v="0"/>
    <n v="43"/>
    <n v="0.45075757575757575"/>
    <x v="2"/>
    <s v="Apply Discount / Promotion"/>
  </r>
  <r>
    <n v="992"/>
    <s v="Product_89"/>
    <x v="0"/>
    <x v="2"/>
    <n v="339"/>
    <n v="275"/>
    <n v="280"/>
    <n v="719.67"/>
    <n v="373.17"/>
    <n v="149"/>
    <n v="2"/>
    <s v="2026-03-02"/>
    <n v="281"/>
    <n v="5"/>
    <n v="50"/>
    <s v="No"/>
    <x v="1"/>
    <n v="-5"/>
    <n v="0.8112094395280236"/>
    <x v="0"/>
    <s v="Monitor Sales"/>
  </r>
  <r>
    <n v="993"/>
    <s v="Product_97"/>
    <x v="3"/>
    <x v="2"/>
    <n v="115"/>
    <n v="91"/>
    <n v="64"/>
    <n v="1933.4"/>
    <n v="1382.5"/>
    <n v="52"/>
    <n v="13"/>
    <s v="2026-01-10"/>
    <n v="360"/>
    <n v="3"/>
    <n v="44"/>
    <s v="No"/>
    <x v="1"/>
    <n v="27"/>
    <n v="0.79130434782608694"/>
    <x v="0"/>
    <s v="Monitor Sales"/>
  </r>
  <r>
    <n v="994"/>
    <s v="Product_81"/>
    <x v="4"/>
    <x v="3"/>
    <n v="267"/>
    <n v="370"/>
    <n v="362"/>
    <n v="2607.34"/>
    <n v="1317.53"/>
    <n v="90"/>
    <n v="10"/>
    <s v="2026-02-03"/>
    <n v="55"/>
    <n v="2"/>
    <n v="8"/>
    <s v="No"/>
    <x v="0"/>
    <n v="8"/>
    <n v="1.3857677902621723"/>
    <x v="1"/>
    <s v="Maintain Stock"/>
  </r>
  <r>
    <n v="995"/>
    <s v="Product_61"/>
    <x v="4"/>
    <x v="2"/>
    <n v="138"/>
    <n v="45"/>
    <n v="37"/>
    <n v="2416.1"/>
    <n v="1902.52"/>
    <n v="56"/>
    <n v="3"/>
    <s v="2026-03-13"/>
    <n v="312"/>
    <n v="1"/>
    <n v="20"/>
    <s v="Yes"/>
    <x v="2"/>
    <n v="8"/>
    <n v="0.32608695652173914"/>
    <x v="2"/>
    <s v="Apply Discount / Promotion"/>
  </r>
  <r>
    <n v="996"/>
    <s v="Product_94"/>
    <x v="1"/>
    <x v="0"/>
    <n v="101"/>
    <n v="0"/>
    <n v="18"/>
    <n v="217.14"/>
    <n v="130.82"/>
    <n v="118"/>
    <n v="8"/>
    <s v="2026-02-02"/>
    <n v="135"/>
    <n v="1"/>
    <n v="10"/>
    <s v="No"/>
    <x v="2"/>
    <n v="-18"/>
    <n v="0"/>
    <x v="2"/>
    <s v="Apply Discount / Promotion"/>
  </r>
  <r>
    <n v="997"/>
    <s v="Product_62"/>
    <x v="2"/>
    <x v="2"/>
    <n v="212"/>
    <n v="269"/>
    <n v="256"/>
    <n v="3519.97"/>
    <n v="2366.87"/>
    <n v="150"/>
    <n v="4"/>
    <s v="2026-01-06"/>
    <n v="363"/>
    <n v="4"/>
    <n v="45"/>
    <s v="No"/>
    <x v="2"/>
    <n v="13"/>
    <n v="1.2688679245283019"/>
    <x v="1"/>
    <s v="Maintain Stock"/>
  </r>
  <r>
    <n v="998"/>
    <s v="Product_73"/>
    <x v="4"/>
    <x v="0"/>
    <n v="98"/>
    <n v="198"/>
    <n v="151"/>
    <n v="2614.04"/>
    <n v="1443.48"/>
    <n v="92"/>
    <n v="8"/>
    <s v="2026-03-21"/>
    <n v="252"/>
    <n v="3"/>
    <n v="40"/>
    <s v="No"/>
    <x v="1"/>
    <n v="47"/>
    <n v="2.0204081632653059"/>
    <x v="1"/>
    <s v="Maintain Stock"/>
  </r>
  <r>
    <n v="999"/>
    <s v="Product_83"/>
    <x v="0"/>
    <x v="2"/>
    <n v="155"/>
    <n v="144"/>
    <n v="102"/>
    <n v="77.599999999999994"/>
    <n v="52.45"/>
    <n v="32"/>
    <n v="8"/>
    <s v="2026-02-01"/>
    <n v="177"/>
    <n v="1"/>
    <n v="16"/>
    <s v="Yes"/>
    <x v="0"/>
    <n v="42"/>
    <n v="0.92903225806451617"/>
    <x v="0"/>
    <s v="Monitor Sales"/>
  </r>
  <r>
    <n v="1000"/>
    <s v="Product_27"/>
    <x v="2"/>
    <x v="3"/>
    <n v="482"/>
    <n v="265"/>
    <n v="237"/>
    <n v="2463.85"/>
    <n v="1770.77"/>
    <n v="45"/>
    <n v="2"/>
    <s v="2026-03-26"/>
    <n v="205"/>
    <n v="2"/>
    <n v="10"/>
    <s v="Yes"/>
    <x v="2"/>
    <n v="28"/>
    <n v="0.549792531120332"/>
    <x v="0"/>
    <s v="Monitor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FEFBF-7106-4760-80E4-CCE0CEAC0126}"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1:F38" firstHeaderRow="1" firstDataRow="2" firstDataCol="1"/>
  <pivotFields count="21">
    <pivotField dataField="1" showAll="0"/>
    <pivotField showAll="0"/>
    <pivotField axis="axisRow" showAll="0">
      <items count="6">
        <item x="2"/>
        <item x="1"/>
        <item x="3"/>
        <item x="4"/>
        <item x="0"/>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axis="axisCol" showAll="0">
      <items count="4">
        <item x="2"/>
        <item x="1"/>
        <item x="0"/>
        <item t="default"/>
      </items>
    </pivotField>
    <pivotField showAll="0"/>
  </pivotFields>
  <rowFields count="1">
    <field x="2"/>
  </rowFields>
  <rowItems count="6">
    <i>
      <x/>
    </i>
    <i>
      <x v="1"/>
    </i>
    <i>
      <x v="2"/>
    </i>
    <i>
      <x v="3"/>
    </i>
    <i>
      <x v="4"/>
    </i>
    <i t="grand">
      <x/>
    </i>
  </rowItems>
  <colFields count="1">
    <field x="19"/>
  </colFields>
  <colItems count="4">
    <i>
      <x/>
    </i>
    <i>
      <x v="1"/>
    </i>
    <i>
      <x v="2"/>
    </i>
    <i t="grand">
      <x/>
    </i>
  </colItems>
  <dataFields count="1">
    <dataField name="Sum of Product_ID" fld="0" baseField="0" baseItem="0"/>
  </dataFields>
  <chartFormats count="6">
    <chartFormat chart="6" format="0" series="1">
      <pivotArea type="data" outline="0" fieldPosition="0">
        <references count="2">
          <reference field="4294967294" count="1" selected="0">
            <x v="0"/>
          </reference>
          <reference field="19" count="1" selected="0">
            <x v="0"/>
          </reference>
        </references>
      </pivotArea>
    </chartFormat>
    <chartFormat chart="6" format="1" series="1">
      <pivotArea type="data" outline="0" fieldPosition="0">
        <references count="2">
          <reference field="4294967294" count="1" selected="0">
            <x v="0"/>
          </reference>
          <reference field="19" count="1" selected="0">
            <x v="1"/>
          </reference>
        </references>
      </pivotArea>
    </chartFormat>
    <chartFormat chart="6" format="2" series="1">
      <pivotArea type="data" outline="0" fieldPosition="0">
        <references count="2">
          <reference field="4294967294" count="1" selected="0">
            <x v="0"/>
          </reference>
          <reference field="19" count="1" selected="0">
            <x v="2"/>
          </reference>
        </references>
      </pivotArea>
    </chartFormat>
    <chartFormat chart="12" format="6" series="1">
      <pivotArea type="data" outline="0" fieldPosition="0">
        <references count="2">
          <reference field="4294967294" count="1" selected="0">
            <x v="0"/>
          </reference>
          <reference field="19" count="1" selected="0">
            <x v="0"/>
          </reference>
        </references>
      </pivotArea>
    </chartFormat>
    <chartFormat chart="12" format="7" series="1">
      <pivotArea type="data" outline="0" fieldPosition="0">
        <references count="2">
          <reference field="4294967294" count="1" selected="0">
            <x v="0"/>
          </reference>
          <reference field="19" count="1" selected="0">
            <x v="1"/>
          </reference>
        </references>
      </pivotArea>
    </chartFormat>
    <chartFormat chart="12"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6A886-A89E-4D48-9716-5A4FB8ED8E9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3:O62" firstHeaderRow="1" firstDataRow="1" firstDataCol="1"/>
  <pivotFields count="21">
    <pivotField showAll="0"/>
    <pivotField axis="axisRow" showAll="0" sortType="ascending">
      <items count="101">
        <item x="45"/>
        <item x="90"/>
        <item x="77"/>
        <item x="36"/>
        <item x="99"/>
        <item x="37"/>
        <item x="62"/>
        <item x="0"/>
        <item x="89"/>
        <item x="26"/>
        <item x="41"/>
        <item x="92"/>
        <item x="10"/>
        <item x="91"/>
        <item x="34"/>
        <item x="39"/>
        <item x="97"/>
        <item x="30"/>
        <item x="3"/>
        <item x="68"/>
        <item x="76"/>
        <item x="44"/>
        <item x="85"/>
        <item x="1"/>
        <item x="55"/>
        <item x="79"/>
        <item x="9"/>
        <item x="73"/>
        <item x="65"/>
        <item x="70"/>
        <item x="4"/>
        <item x="16"/>
        <item x="64"/>
        <item x="23"/>
        <item x="20"/>
        <item x="15"/>
        <item x="29"/>
        <item x="35"/>
        <item x="8"/>
        <item x="67"/>
        <item x="19"/>
        <item x="6"/>
        <item x="46"/>
        <item x="42"/>
        <item x="54"/>
        <item x="58"/>
        <item x="43"/>
        <item x="52"/>
        <item x="60"/>
        <item x="56"/>
        <item x="71"/>
        <item x="84"/>
        <item x="82"/>
        <item x="33"/>
        <item x="17"/>
        <item x="40"/>
        <item x="69"/>
        <item x="47"/>
        <item x="48"/>
        <item x="25"/>
        <item x="96"/>
        <item x="12"/>
        <item x="72"/>
        <item x="88"/>
        <item x="59"/>
        <item x="49"/>
        <item x="5"/>
        <item x="94"/>
        <item x="93"/>
        <item x="14"/>
        <item x="18"/>
        <item x="81"/>
        <item x="31"/>
        <item x="63"/>
        <item x="50"/>
        <item x="98"/>
        <item x="7"/>
        <item x="22"/>
        <item x="78"/>
        <item x="11"/>
        <item x="80"/>
        <item x="66"/>
        <item x="74"/>
        <item x="57"/>
        <item x="32"/>
        <item x="28"/>
        <item x="2"/>
        <item x="51"/>
        <item x="38"/>
        <item x="75"/>
        <item x="83"/>
        <item x="86"/>
        <item x="13"/>
        <item x="53"/>
        <item x="61"/>
        <item x="95"/>
        <item x="87"/>
        <item x="21"/>
        <item x="27"/>
        <item x="24"/>
        <item t="default"/>
      </items>
      <autoSortScope>
        <pivotArea dataOnly="0" outline="0" fieldPosition="0">
          <references count="1">
            <reference field="4294967294" count="1" selected="0">
              <x v="0"/>
            </reference>
          </references>
        </pivotArea>
      </autoSortScope>
    </pivotField>
    <pivotField showAll="0" sortType="ascending">
      <items count="6">
        <item x="2"/>
        <item x="1"/>
        <item x="3"/>
        <item x="4"/>
        <item x="0"/>
        <item t="default"/>
      </items>
    </pivotField>
    <pivotField showAll="0">
      <items count="5">
        <item h="1" x="3"/>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dataField="1" showAll="0"/>
    <pivotField showAll="0"/>
    <pivotField showAll="0"/>
  </pivotFields>
  <rowFields count="1">
    <field x="1"/>
  </rowFields>
  <rowItems count="59">
    <i>
      <x v="33"/>
    </i>
    <i>
      <x v="48"/>
    </i>
    <i>
      <x v="54"/>
    </i>
    <i>
      <x v="10"/>
    </i>
    <i>
      <x v="82"/>
    </i>
    <i>
      <x/>
    </i>
    <i>
      <x v="44"/>
    </i>
    <i>
      <x v="43"/>
    </i>
    <i>
      <x v="71"/>
    </i>
    <i>
      <x v="70"/>
    </i>
    <i>
      <x v="96"/>
    </i>
    <i>
      <x v="4"/>
    </i>
    <i>
      <x v="62"/>
    </i>
    <i>
      <x v="92"/>
    </i>
    <i>
      <x v="84"/>
    </i>
    <i>
      <x v="35"/>
    </i>
    <i>
      <x v="85"/>
    </i>
    <i>
      <x v="41"/>
    </i>
    <i>
      <x v="94"/>
    </i>
    <i>
      <x v="34"/>
    </i>
    <i>
      <x v="57"/>
    </i>
    <i>
      <x v="3"/>
    </i>
    <i>
      <x v="49"/>
    </i>
    <i>
      <x v="80"/>
    </i>
    <i>
      <x v="86"/>
    </i>
    <i>
      <x v="23"/>
    </i>
    <i>
      <x v="32"/>
    </i>
    <i>
      <x v="59"/>
    </i>
    <i>
      <x v="89"/>
    </i>
    <i>
      <x v="58"/>
    </i>
    <i>
      <x v="98"/>
    </i>
    <i>
      <x v="36"/>
    </i>
    <i>
      <x v="56"/>
    </i>
    <i>
      <x v="27"/>
    </i>
    <i>
      <x v="66"/>
    </i>
    <i>
      <x v="50"/>
    </i>
    <i>
      <x v="38"/>
    </i>
    <i>
      <x v="5"/>
    </i>
    <i>
      <x v="26"/>
    </i>
    <i>
      <x v="61"/>
    </i>
    <i>
      <x v="55"/>
    </i>
    <i>
      <x v="65"/>
    </i>
    <i>
      <x v="88"/>
    </i>
    <i>
      <x v="45"/>
    </i>
    <i>
      <x v="81"/>
    </i>
    <i>
      <x v="22"/>
    </i>
    <i>
      <x v="77"/>
    </i>
    <i>
      <x v="30"/>
    </i>
    <i>
      <x v="12"/>
    </i>
    <i>
      <x v="46"/>
    </i>
    <i>
      <x v="21"/>
    </i>
    <i>
      <x v="99"/>
    </i>
    <i>
      <x v="31"/>
    </i>
    <i>
      <x v="68"/>
    </i>
    <i>
      <x v="73"/>
    </i>
    <i>
      <x v="76"/>
    </i>
    <i>
      <x v="72"/>
    </i>
    <i>
      <x v="40"/>
    </i>
    <i t="grand">
      <x/>
    </i>
  </rowItems>
  <colItems count="1">
    <i/>
  </colItems>
  <dataFields count="1">
    <dataField name="Sum of TURNOVER RATIO" fld="18" baseField="0" baseItem="0"/>
  </dataFields>
  <chartFormats count="2">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C4983-1D1F-4F71-B42D-0905126DB1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1">
    <pivotField dataField="1" showAll="0"/>
    <pivotField showAll="0"/>
    <pivotField showAll="0">
      <items count="6">
        <item x="2"/>
        <item x="1"/>
        <item x="3"/>
        <item x="4"/>
        <item x="0"/>
        <item t="default"/>
      </items>
    </pivotField>
    <pivotField axis="axisRow" showAll="0">
      <items count="5">
        <item h="1" x="3"/>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axis="axisRow" showAll="0">
      <items count="4">
        <item x="2"/>
        <item x="1"/>
        <item x="0"/>
        <item t="default"/>
      </items>
    </pivotField>
    <pivotField showAll="0"/>
  </pivotFields>
  <rowFields count="2">
    <field x="3"/>
    <field x="19"/>
  </rowFields>
  <rowItems count="5">
    <i>
      <x v="2"/>
    </i>
    <i r="1">
      <x/>
    </i>
    <i r="1">
      <x v="1"/>
    </i>
    <i r="1">
      <x v="2"/>
    </i>
    <i t="grand">
      <x/>
    </i>
  </rowItems>
  <colItems count="1">
    <i/>
  </colItems>
  <dataFields count="1">
    <dataField name="Count of Product_ID" fld="0" subtotal="count" baseField="0" baseItem="0"/>
  </dataFields>
  <chartFormats count="26">
    <chartFormat chart="6" format="0"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3">
          <reference field="4294967294" count="1" selected="0">
            <x v="0"/>
          </reference>
          <reference field="3" count="1" selected="0">
            <x v="0"/>
          </reference>
          <reference field="19" count="1" selected="0">
            <x v="0"/>
          </reference>
        </references>
      </pivotArea>
    </chartFormat>
    <chartFormat chart="11" format="16">
      <pivotArea type="data" outline="0" fieldPosition="0">
        <references count="3">
          <reference field="4294967294" count="1" selected="0">
            <x v="0"/>
          </reference>
          <reference field="3" count="1" selected="0">
            <x v="0"/>
          </reference>
          <reference field="19" count="1" selected="0">
            <x v="1"/>
          </reference>
        </references>
      </pivotArea>
    </chartFormat>
    <chartFormat chart="11" format="17">
      <pivotArea type="data" outline="0" fieldPosition="0">
        <references count="3">
          <reference field="4294967294" count="1" selected="0">
            <x v="0"/>
          </reference>
          <reference field="3" count="1" selected="0">
            <x v="0"/>
          </reference>
          <reference field="19" count="1" selected="0">
            <x v="2"/>
          </reference>
        </references>
      </pivotArea>
    </chartFormat>
    <chartFormat chart="11" format="18">
      <pivotArea type="data" outline="0" fieldPosition="0">
        <references count="3">
          <reference field="4294967294" count="1" selected="0">
            <x v="0"/>
          </reference>
          <reference field="3" count="1" selected="0">
            <x v="1"/>
          </reference>
          <reference field="19" count="1" selected="0">
            <x v="0"/>
          </reference>
        </references>
      </pivotArea>
    </chartFormat>
    <chartFormat chart="11" format="19">
      <pivotArea type="data" outline="0" fieldPosition="0">
        <references count="3">
          <reference field="4294967294" count="1" selected="0">
            <x v="0"/>
          </reference>
          <reference field="3" count="1" selected="0">
            <x v="1"/>
          </reference>
          <reference field="19" count="1" selected="0">
            <x v="1"/>
          </reference>
        </references>
      </pivotArea>
    </chartFormat>
    <chartFormat chart="11" format="20">
      <pivotArea type="data" outline="0" fieldPosition="0">
        <references count="3">
          <reference field="4294967294" count="1" selected="0">
            <x v="0"/>
          </reference>
          <reference field="3" count="1" selected="0">
            <x v="1"/>
          </reference>
          <reference field="19" count="1" selected="0">
            <x v="2"/>
          </reference>
        </references>
      </pivotArea>
    </chartFormat>
    <chartFormat chart="11" format="21">
      <pivotArea type="data" outline="0" fieldPosition="0">
        <references count="3">
          <reference field="4294967294" count="1" selected="0">
            <x v="0"/>
          </reference>
          <reference field="3" count="1" selected="0">
            <x v="2"/>
          </reference>
          <reference field="19" count="1" selected="0">
            <x v="0"/>
          </reference>
        </references>
      </pivotArea>
    </chartFormat>
    <chartFormat chart="11" format="22">
      <pivotArea type="data" outline="0" fieldPosition="0">
        <references count="3">
          <reference field="4294967294" count="1" selected="0">
            <x v="0"/>
          </reference>
          <reference field="3" count="1" selected="0">
            <x v="2"/>
          </reference>
          <reference field="19" count="1" selected="0">
            <x v="1"/>
          </reference>
        </references>
      </pivotArea>
    </chartFormat>
    <chartFormat chart="11" format="23">
      <pivotArea type="data" outline="0" fieldPosition="0">
        <references count="3">
          <reference field="4294967294" count="1" selected="0">
            <x v="0"/>
          </reference>
          <reference field="3" count="1" selected="0">
            <x v="2"/>
          </reference>
          <reference field="19" count="1" selected="0">
            <x v="2"/>
          </reference>
        </references>
      </pivotArea>
    </chartFormat>
    <chartFormat chart="11" format="24">
      <pivotArea type="data" outline="0" fieldPosition="0">
        <references count="3">
          <reference field="4294967294" count="1" selected="0">
            <x v="0"/>
          </reference>
          <reference field="3" count="1" selected="0">
            <x v="3"/>
          </reference>
          <reference field="19" count="1" selected="0">
            <x v="0"/>
          </reference>
        </references>
      </pivotArea>
    </chartFormat>
    <chartFormat chart="11" format="25">
      <pivotArea type="data" outline="0" fieldPosition="0">
        <references count="3">
          <reference field="4294967294" count="1" selected="0">
            <x v="0"/>
          </reference>
          <reference field="3" count="1" selected="0">
            <x v="3"/>
          </reference>
          <reference field="19" count="1" selected="0">
            <x v="1"/>
          </reference>
        </references>
      </pivotArea>
    </chartFormat>
    <chartFormat chart="11" format="26">
      <pivotArea type="data" outline="0" fieldPosition="0">
        <references count="3">
          <reference field="4294967294" count="1" selected="0">
            <x v="0"/>
          </reference>
          <reference field="3" count="1" selected="0">
            <x v="3"/>
          </reference>
          <reference field="19" count="1" selected="0">
            <x v="2"/>
          </reference>
        </references>
      </pivotArea>
    </chartFormat>
    <chartFormat chart="6" format="1">
      <pivotArea type="data" outline="0" fieldPosition="0">
        <references count="3">
          <reference field="4294967294" count="1" selected="0">
            <x v="0"/>
          </reference>
          <reference field="3" count="1" selected="0">
            <x v="0"/>
          </reference>
          <reference field="19" count="1" selected="0">
            <x v="0"/>
          </reference>
        </references>
      </pivotArea>
    </chartFormat>
    <chartFormat chart="6" format="2">
      <pivotArea type="data" outline="0" fieldPosition="0">
        <references count="3">
          <reference field="4294967294" count="1" selected="0">
            <x v="0"/>
          </reference>
          <reference field="3" count="1" selected="0">
            <x v="0"/>
          </reference>
          <reference field="19" count="1" selected="0">
            <x v="1"/>
          </reference>
        </references>
      </pivotArea>
    </chartFormat>
    <chartFormat chart="6" format="3">
      <pivotArea type="data" outline="0" fieldPosition="0">
        <references count="3">
          <reference field="4294967294" count="1" selected="0">
            <x v="0"/>
          </reference>
          <reference field="3" count="1" selected="0">
            <x v="0"/>
          </reference>
          <reference field="19" count="1" selected="0">
            <x v="2"/>
          </reference>
        </references>
      </pivotArea>
    </chartFormat>
    <chartFormat chart="6" format="4">
      <pivotArea type="data" outline="0" fieldPosition="0">
        <references count="3">
          <reference field="4294967294" count="1" selected="0">
            <x v="0"/>
          </reference>
          <reference field="3" count="1" selected="0">
            <x v="1"/>
          </reference>
          <reference field="19" count="1" selected="0">
            <x v="0"/>
          </reference>
        </references>
      </pivotArea>
    </chartFormat>
    <chartFormat chart="6" format="5">
      <pivotArea type="data" outline="0" fieldPosition="0">
        <references count="3">
          <reference field="4294967294" count="1" selected="0">
            <x v="0"/>
          </reference>
          <reference field="3" count="1" selected="0">
            <x v="1"/>
          </reference>
          <reference field="19" count="1" selected="0">
            <x v="1"/>
          </reference>
        </references>
      </pivotArea>
    </chartFormat>
    <chartFormat chart="6" format="6">
      <pivotArea type="data" outline="0" fieldPosition="0">
        <references count="3">
          <reference field="4294967294" count="1" selected="0">
            <x v="0"/>
          </reference>
          <reference field="3" count="1" selected="0">
            <x v="1"/>
          </reference>
          <reference field="19" count="1" selected="0">
            <x v="2"/>
          </reference>
        </references>
      </pivotArea>
    </chartFormat>
    <chartFormat chart="6" format="7">
      <pivotArea type="data" outline="0" fieldPosition="0">
        <references count="3">
          <reference field="4294967294" count="1" selected="0">
            <x v="0"/>
          </reference>
          <reference field="3" count="1" selected="0">
            <x v="2"/>
          </reference>
          <reference field="19" count="1" selected="0">
            <x v="0"/>
          </reference>
        </references>
      </pivotArea>
    </chartFormat>
    <chartFormat chart="6" format="8">
      <pivotArea type="data" outline="0" fieldPosition="0">
        <references count="3">
          <reference field="4294967294" count="1" selected="0">
            <x v="0"/>
          </reference>
          <reference field="3" count="1" selected="0">
            <x v="2"/>
          </reference>
          <reference field="19" count="1" selected="0">
            <x v="1"/>
          </reference>
        </references>
      </pivotArea>
    </chartFormat>
    <chartFormat chart="6" format="9">
      <pivotArea type="data" outline="0" fieldPosition="0">
        <references count="3">
          <reference field="4294967294" count="1" selected="0">
            <x v="0"/>
          </reference>
          <reference field="3" count="1" selected="0">
            <x v="2"/>
          </reference>
          <reference field="19" count="1" selected="0">
            <x v="2"/>
          </reference>
        </references>
      </pivotArea>
    </chartFormat>
    <chartFormat chart="6" format="10">
      <pivotArea type="data" outline="0" fieldPosition="0">
        <references count="3">
          <reference field="4294967294" count="1" selected="0">
            <x v="0"/>
          </reference>
          <reference field="3" count="1" selected="0">
            <x v="3"/>
          </reference>
          <reference field="19" count="1" selected="0">
            <x v="0"/>
          </reference>
        </references>
      </pivotArea>
    </chartFormat>
    <chartFormat chart="6" format="11">
      <pivotArea type="data" outline="0" fieldPosition="0">
        <references count="3">
          <reference field="4294967294" count="1" selected="0">
            <x v="0"/>
          </reference>
          <reference field="3" count="1" selected="0">
            <x v="3"/>
          </reference>
          <reference field="19" count="1" selected="0">
            <x v="1"/>
          </reference>
        </references>
      </pivotArea>
    </chartFormat>
    <chartFormat chart="6" format="12">
      <pivotArea type="data" outline="0" fieldPosition="0">
        <references count="3">
          <reference field="4294967294" count="1" selected="0">
            <x v="0"/>
          </reference>
          <reference field="3" count="1" selected="0">
            <x v="3"/>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8450D3-A96E-443F-9A55-9F0872CFF9CD}" sourceName="Category">
  <pivotTables>
    <pivotTable tabId="3" name="PivotTable11"/>
  </pivotTables>
  <data>
    <tabular pivotCacheId="1704034447">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A080AEE0-766A-4FFA-A75B-3C8A76879B0B}" sourceName="Supplier">
  <pivotTables>
    <pivotTable tabId="3" name="PivotTable11"/>
  </pivotTables>
  <data>
    <tabular pivotCacheId="170403444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Location" xr10:uid="{E2231EEA-DD92-4A5D-B43D-696A426D7D9A}" sourceName="Storage_Location">
  <pivotTables>
    <pivotTable tabId="3" name="PivotTable11"/>
  </pivotTables>
  <data>
    <tabular pivotCacheId="1704034447">
      <items count="3">
        <i x="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5554CF0-36AD-427B-9142-E6792BEAE5DB}" sourceName="Category">
  <pivotTables>
    <pivotTable tabId="3" name="PivotTable8"/>
  </pivotTables>
  <data>
    <tabular pivotCacheId="296462933">
      <items count="5">
        <i x="2" s="1"/>
        <i x="1"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678D971A-5ACB-45A7-85A4-43584CF2FD20}" sourceName="Supplier">
  <pivotTables>
    <pivotTable tabId="3" name="PivotTable8"/>
  </pivotTables>
  <data>
    <tabular pivotCacheId="296462933">
      <items count="4">
        <i x="3"/>
        <i x="1"/>
        <i x="0"/>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Location1" xr10:uid="{558C3D97-C2F7-40C1-A6FC-A36B9696A80E}" sourceName="Storage_Location">
  <pivotTables>
    <pivotTable tabId="3" name="PivotTable8"/>
  </pivotTables>
  <data>
    <tabular pivotCacheId="296462933">
      <items count="3">
        <i x="2" s="1"/>
        <i x="0"/>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82CE9B2-DC75-42C3-B98E-B7896DF0377F}" sourceName="Category">
  <pivotTables>
    <pivotTable tabId="3" name="PivotTable4"/>
  </pivotTables>
  <data>
    <tabular pivotCacheId="2062767874">
      <items count="5">
        <i x="2" s="1"/>
        <i x="1" s="1"/>
        <i x="3" s="1"/>
        <i x="4"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2" xr10:uid="{3CD98F9E-7AE8-4271-8E19-6B9B9C045589}" sourceName="Supplier">
  <pivotTables>
    <pivotTable tabId="3" name="PivotTable4"/>
  </pivotTables>
  <data>
    <tabular pivotCacheId="2062767874">
      <items count="4">
        <i x="3"/>
        <i x="1"/>
        <i x="0" s="1"/>
        <i x="2"/>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Location2" xr10:uid="{09C414F3-3E2E-41A2-BC8A-E5B5472C3715}" sourceName="Storage_Location">
  <pivotTables>
    <pivotTable tabId="3" name="PivotTable4"/>
  </pivotTables>
  <data>
    <tabular pivotCacheId="2062767874">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7903BA-7535-4CCB-AD3F-CB2ACF4F73A4}" cache="Slicer_Category" caption="Category" rowHeight="241300"/>
  <slicer name="Supplier" xr10:uid="{2585AFF8-EBF3-4B09-99A0-D08665B22F4E}" cache="Slicer_Supplier" caption="Supplier" rowHeight="241300"/>
  <slicer name="Storage_Location" xr10:uid="{7E7566E3-2214-447B-BFDE-448143274798}" cache="Slicer_Storage_Location" caption="Storage_Location" rowHeight="241300"/>
  <slicer name="Category 1" xr10:uid="{DDABCC24-ECE5-4D90-B20E-BFABB1444B4C}" cache="Slicer_Category1" caption="Category" rowHeight="241300"/>
  <slicer name="Supplier 1" xr10:uid="{A0BEBCA7-5A3C-49CD-AC68-10C9461959F0}" cache="Slicer_Supplier1" caption="Supplier" rowHeight="241300"/>
  <slicer name="Storage_Location 1" xr10:uid="{801B0FCC-F99B-4E91-B216-ED5C20FDA84F}" cache="Slicer_Storage_Location1" caption="Storage_Location" rowHeight="241300"/>
  <slicer name="Category 2" xr10:uid="{E7DA26AB-343D-41E1-BF6D-22BB20FFC4A2}" cache="Slicer_Category2" caption="Category" rowHeight="241300"/>
  <slicer name="Supplier 2" xr10:uid="{5F397089-E0F9-44D2-AA3D-8F6ACDDA1784}" cache="Slicer_Supplier2" caption="Supplier" rowHeight="241300"/>
  <slicer name="Storage_Location 2" xr10:uid="{DA260CF6-9C24-4E83-8B78-C1540661F003}" cache="Slicer_Storage_Location2" caption="Storage_Locat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2827-4622-49EE-8BAF-EBE07537B252}">
  <dimension ref="A2:O62"/>
  <sheetViews>
    <sheetView topLeftCell="A13" workbookViewId="0">
      <selection activeCell="J31" sqref="J31"/>
    </sheetView>
  </sheetViews>
  <sheetFormatPr defaultRowHeight="15" x14ac:dyDescent="0.25"/>
  <cols>
    <col min="1" max="1" width="16.28515625" bestFit="1" customWidth="1"/>
    <col min="2" max="2" width="19" bestFit="1" customWidth="1"/>
    <col min="3" max="3" width="16.28515625" bestFit="1" customWidth="1"/>
    <col min="4" max="4" width="8.5703125" bestFit="1" customWidth="1"/>
    <col min="5" max="5" width="12.5703125" bestFit="1" customWidth="1"/>
    <col min="6" max="6" width="11.28515625" bestFit="1" customWidth="1"/>
    <col min="14" max="14" width="13.140625" bestFit="1" customWidth="1"/>
    <col min="15" max="15" width="23.7109375" bestFit="1" customWidth="1"/>
  </cols>
  <sheetData>
    <row r="2" spans="1:15" x14ac:dyDescent="0.25">
      <c r="O2">
        <v>1</v>
      </c>
    </row>
    <row r="3" spans="1:15" x14ac:dyDescent="0.25">
      <c r="A3" s="3" t="s">
        <v>224</v>
      </c>
      <c r="B3" t="s">
        <v>226</v>
      </c>
      <c r="N3" s="3" t="s">
        <v>224</v>
      </c>
      <c r="O3" t="s">
        <v>229</v>
      </c>
    </row>
    <row r="4" spans="1:15" x14ac:dyDescent="0.25">
      <c r="A4" s="4" t="s">
        <v>121</v>
      </c>
      <c r="B4">
        <v>74</v>
      </c>
      <c r="N4" s="4" t="s">
        <v>39</v>
      </c>
      <c r="O4">
        <v>5.1643192488262914E-2</v>
      </c>
    </row>
    <row r="5" spans="1:15" x14ac:dyDescent="0.25">
      <c r="A5" s="6" t="s">
        <v>230</v>
      </c>
      <c r="B5">
        <v>25</v>
      </c>
      <c r="N5" s="4" t="s">
        <v>76</v>
      </c>
      <c r="O5">
        <v>0.14000000000000001</v>
      </c>
    </row>
    <row r="6" spans="1:15" x14ac:dyDescent="0.25">
      <c r="A6" s="6" t="s">
        <v>231</v>
      </c>
      <c r="B6">
        <v>26</v>
      </c>
      <c r="N6" s="4" t="s">
        <v>33</v>
      </c>
      <c r="O6">
        <v>0.17486338797814208</v>
      </c>
    </row>
    <row r="7" spans="1:15" x14ac:dyDescent="0.25">
      <c r="A7" s="6" t="s">
        <v>232</v>
      </c>
      <c r="B7">
        <v>23</v>
      </c>
      <c r="N7" s="4" t="s">
        <v>57</v>
      </c>
      <c r="O7">
        <v>0.28773584905660377</v>
      </c>
    </row>
    <row r="8" spans="1:15" x14ac:dyDescent="0.25">
      <c r="A8" s="4" t="s">
        <v>225</v>
      </c>
      <c r="B8">
        <v>74</v>
      </c>
      <c r="N8" s="4" t="s">
        <v>90</v>
      </c>
      <c r="O8">
        <v>0.38048780487804879</v>
      </c>
    </row>
    <row r="9" spans="1:15" x14ac:dyDescent="0.25">
      <c r="N9" s="4" t="s">
        <v>61</v>
      </c>
      <c r="O9">
        <v>0.41987179487179488</v>
      </c>
    </row>
    <row r="10" spans="1:15" x14ac:dyDescent="0.25">
      <c r="N10" s="4" t="s">
        <v>70</v>
      </c>
      <c r="O10">
        <v>0.47695852534562211</v>
      </c>
    </row>
    <row r="11" spans="1:15" x14ac:dyDescent="0.25">
      <c r="N11" s="4" t="s">
        <v>58</v>
      </c>
      <c r="O11">
        <v>0.50134048257372654</v>
      </c>
    </row>
    <row r="12" spans="1:15" x14ac:dyDescent="0.25">
      <c r="N12" s="4" t="s">
        <v>97</v>
      </c>
      <c r="O12">
        <v>0.52012383900928794</v>
      </c>
    </row>
    <row r="13" spans="1:15" x14ac:dyDescent="0.25">
      <c r="N13" s="4" t="s">
        <v>34</v>
      </c>
      <c r="O13">
        <v>0.52136569117297171</v>
      </c>
    </row>
    <row r="14" spans="1:15" x14ac:dyDescent="0.25">
      <c r="N14" s="4" t="s">
        <v>103</v>
      </c>
      <c r="O14">
        <v>0.59437751004016059</v>
      </c>
    </row>
    <row r="15" spans="1:15" x14ac:dyDescent="0.25">
      <c r="N15" s="4" t="s">
        <v>115</v>
      </c>
      <c r="O15">
        <v>0.60550458715596334</v>
      </c>
    </row>
    <row r="16" spans="1:15" x14ac:dyDescent="0.25">
      <c r="N16" s="4" t="s">
        <v>88</v>
      </c>
      <c r="O16">
        <v>0.65978703655958326</v>
      </c>
    </row>
    <row r="17" spans="2:15" x14ac:dyDescent="0.25">
      <c r="N17" s="4" t="s">
        <v>29</v>
      </c>
      <c r="O17">
        <v>0.67374005305039786</v>
      </c>
    </row>
    <row r="18" spans="2:15" x14ac:dyDescent="0.25">
      <c r="N18" s="4" t="s">
        <v>48</v>
      </c>
      <c r="O18">
        <v>0.78128313891834567</v>
      </c>
    </row>
    <row r="19" spans="2:15" x14ac:dyDescent="0.25">
      <c r="N19" s="4" t="s">
        <v>31</v>
      </c>
      <c r="O19">
        <v>0.82926829268292679</v>
      </c>
    </row>
    <row r="20" spans="2:15" x14ac:dyDescent="0.25">
      <c r="N20" s="4" t="s">
        <v>44</v>
      </c>
      <c r="O20">
        <v>0.83177570093457942</v>
      </c>
    </row>
    <row r="21" spans="2:15" x14ac:dyDescent="0.25">
      <c r="N21" s="4" t="s">
        <v>22</v>
      </c>
      <c r="O21">
        <v>0.90776699029126218</v>
      </c>
    </row>
    <row r="22" spans="2:15" x14ac:dyDescent="0.25">
      <c r="N22" s="4" t="s">
        <v>77</v>
      </c>
      <c r="O22">
        <v>0.9178082191780822</v>
      </c>
    </row>
    <row r="23" spans="2:15" x14ac:dyDescent="0.25">
      <c r="N23" s="4" t="s">
        <v>36</v>
      </c>
      <c r="O23">
        <v>0.96457969078443317</v>
      </c>
    </row>
    <row r="24" spans="2:15" x14ac:dyDescent="0.25">
      <c r="N24" s="4" t="s">
        <v>63</v>
      </c>
      <c r="O24">
        <v>0.98193223443223454</v>
      </c>
    </row>
    <row r="25" spans="2:15" x14ac:dyDescent="0.25">
      <c r="N25" s="4" t="s">
        <v>52</v>
      </c>
      <c r="O25">
        <v>1.080536912751678</v>
      </c>
    </row>
    <row r="26" spans="2:15" x14ac:dyDescent="0.25">
      <c r="N26" s="4" t="s">
        <v>72</v>
      </c>
      <c r="O26">
        <v>1.1114245014245014</v>
      </c>
    </row>
    <row r="27" spans="2:15" x14ac:dyDescent="0.25">
      <c r="N27" s="4" t="s">
        <v>96</v>
      </c>
      <c r="O27">
        <v>1.1140478286384976</v>
      </c>
    </row>
    <row r="28" spans="2:15" x14ac:dyDescent="0.25">
      <c r="N28" s="4" t="s">
        <v>18</v>
      </c>
      <c r="O28">
        <v>1.14525250030868</v>
      </c>
    </row>
    <row r="29" spans="2:15" x14ac:dyDescent="0.25">
      <c r="N29" s="4" t="s">
        <v>17</v>
      </c>
      <c r="O29">
        <v>1.1666666666666667</v>
      </c>
    </row>
    <row r="30" spans="2:15" x14ac:dyDescent="0.25">
      <c r="N30" s="4" t="s">
        <v>80</v>
      </c>
      <c r="O30">
        <v>1.1990950226244343</v>
      </c>
    </row>
    <row r="31" spans="2:15" x14ac:dyDescent="0.25">
      <c r="B31" s="3" t="s">
        <v>233</v>
      </c>
      <c r="C31" s="3" t="s">
        <v>227</v>
      </c>
      <c r="N31" s="4" t="s">
        <v>41</v>
      </c>
      <c r="O31">
        <v>1.2688679245283019</v>
      </c>
    </row>
    <row r="32" spans="2:15" x14ac:dyDescent="0.25">
      <c r="B32" s="3" t="s">
        <v>224</v>
      </c>
      <c r="C32" t="s">
        <v>230</v>
      </c>
      <c r="D32" t="s">
        <v>231</v>
      </c>
      <c r="E32" t="s">
        <v>232</v>
      </c>
      <c r="F32" t="s">
        <v>225</v>
      </c>
      <c r="N32" s="4" t="s">
        <v>91</v>
      </c>
      <c r="O32">
        <v>1.3</v>
      </c>
    </row>
    <row r="33" spans="2:15" x14ac:dyDescent="0.25">
      <c r="B33" s="4" t="s">
        <v>118</v>
      </c>
      <c r="C33">
        <v>12778</v>
      </c>
      <c r="D33">
        <v>11571</v>
      </c>
      <c r="E33">
        <v>6489</v>
      </c>
      <c r="F33">
        <v>30838</v>
      </c>
      <c r="N33" s="4" t="s">
        <v>64</v>
      </c>
      <c r="O33">
        <v>1.3260869565217392</v>
      </c>
    </row>
    <row r="34" spans="2:15" x14ac:dyDescent="0.25">
      <c r="B34" s="4" t="s">
        <v>117</v>
      </c>
      <c r="C34">
        <v>13355</v>
      </c>
      <c r="D34">
        <v>12764</v>
      </c>
      <c r="E34">
        <v>12826</v>
      </c>
      <c r="F34">
        <v>38945</v>
      </c>
      <c r="N34" s="4" t="s">
        <v>43</v>
      </c>
      <c r="O34">
        <v>1.3638888888888889</v>
      </c>
    </row>
    <row r="35" spans="2:15" x14ac:dyDescent="0.25">
      <c r="B35" s="4" t="s">
        <v>119</v>
      </c>
      <c r="C35">
        <v>10585</v>
      </c>
      <c r="D35">
        <v>14822</v>
      </c>
      <c r="E35">
        <v>15058</v>
      </c>
      <c r="F35">
        <v>40465</v>
      </c>
      <c r="N35" s="4" t="s">
        <v>45</v>
      </c>
      <c r="O35">
        <v>1.4081632653061225</v>
      </c>
    </row>
    <row r="36" spans="2:15" x14ac:dyDescent="0.25">
      <c r="B36" s="4" t="s">
        <v>120</v>
      </c>
      <c r="C36">
        <v>8728</v>
      </c>
      <c r="D36">
        <v>11740</v>
      </c>
      <c r="E36">
        <v>9269</v>
      </c>
      <c r="F36">
        <v>29737</v>
      </c>
      <c r="N36" s="4" t="s">
        <v>85</v>
      </c>
      <c r="O36">
        <v>1.4148067737733392</v>
      </c>
    </row>
    <row r="37" spans="2:15" x14ac:dyDescent="0.25">
      <c r="B37" s="4" t="s">
        <v>116</v>
      </c>
      <c r="C37">
        <v>6367</v>
      </c>
      <c r="D37">
        <v>10226</v>
      </c>
      <c r="E37">
        <v>17039</v>
      </c>
      <c r="F37">
        <v>33632</v>
      </c>
      <c r="N37" s="4" t="s">
        <v>89</v>
      </c>
      <c r="O37">
        <v>1.4645669291338583</v>
      </c>
    </row>
    <row r="38" spans="2:15" x14ac:dyDescent="0.25">
      <c r="B38" s="4" t="s">
        <v>225</v>
      </c>
      <c r="C38">
        <v>51813</v>
      </c>
      <c r="D38">
        <v>61123</v>
      </c>
      <c r="E38">
        <v>60681</v>
      </c>
      <c r="F38">
        <v>173617</v>
      </c>
      <c r="N38" s="4" t="s">
        <v>21</v>
      </c>
      <c r="O38">
        <v>1.5043478260869565</v>
      </c>
    </row>
    <row r="39" spans="2:15" x14ac:dyDescent="0.25">
      <c r="N39" s="4" t="s">
        <v>87</v>
      </c>
      <c r="O39">
        <v>1.8611677753141169</v>
      </c>
    </row>
    <row r="40" spans="2:15" x14ac:dyDescent="0.25">
      <c r="N40" s="4" t="s">
        <v>24</v>
      </c>
      <c r="O40">
        <v>1.8719211822660098</v>
      </c>
    </row>
    <row r="41" spans="2:15" x14ac:dyDescent="0.25">
      <c r="N41" s="4" t="s">
        <v>53</v>
      </c>
      <c r="O41">
        <v>1.9949238578680204</v>
      </c>
    </row>
    <row r="42" spans="2:15" x14ac:dyDescent="0.25">
      <c r="N42" s="4" t="s">
        <v>25</v>
      </c>
      <c r="O42">
        <v>2.1659970822578836</v>
      </c>
    </row>
    <row r="43" spans="2:15" x14ac:dyDescent="0.25">
      <c r="N43" s="4" t="s">
        <v>28</v>
      </c>
      <c r="O43">
        <v>2.2119244008573102</v>
      </c>
    </row>
    <row r="44" spans="2:15" x14ac:dyDescent="0.25">
      <c r="N44" s="4" t="s">
        <v>56</v>
      </c>
      <c r="O44">
        <v>2.2706087151841867</v>
      </c>
    </row>
    <row r="45" spans="2:15" x14ac:dyDescent="0.25">
      <c r="N45" s="4" t="s">
        <v>65</v>
      </c>
      <c r="O45">
        <v>2.4341004538372957</v>
      </c>
    </row>
    <row r="46" spans="2:15" x14ac:dyDescent="0.25">
      <c r="N46" s="4" t="s">
        <v>54</v>
      </c>
      <c r="O46">
        <v>2.5101694915254238</v>
      </c>
    </row>
    <row r="47" spans="2:15" x14ac:dyDescent="0.25">
      <c r="N47" s="4" t="s">
        <v>74</v>
      </c>
      <c r="O47">
        <v>2.5423416432243671</v>
      </c>
    </row>
    <row r="48" spans="2:15" x14ac:dyDescent="0.25">
      <c r="N48" s="4" t="s">
        <v>82</v>
      </c>
      <c r="O48">
        <v>2.5849056603773586</v>
      </c>
    </row>
    <row r="49" spans="14:15" x14ac:dyDescent="0.25">
      <c r="N49" s="4" t="s">
        <v>101</v>
      </c>
      <c r="O49">
        <v>2.626947349838916</v>
      </c>
    </row>
    <row r="50" spans="14:15" x14ac:dyDescent="0.25">
      <c r="N50" s="4" t="s">
        <v>38</v>
      </c>
      <c r="O50">
        <v>2.7125498891352553</v>
      </c>
    </row>
    <row r="51" spans="14:15" x14ac:dyDescent="0.25">
      <c r="N51" s="4" t="s">
        <v>20</v>
      </c>
      <c r="O51">
        <v>3.0098583615000805</v>
      </c>
    </row>
    <row r="52" spans="14:15" x14ac:dyDescent="0.25">
      <c r="N52" s="4" t="s">
        <v>26</v>
      </c>
      <c r="O52">
        <v>3.1010101010101012</v>
      </c>
    </row>
    <row r="53" spans="14:15" x14ac:dyDescent="0.25">
      <c r="N53" s="4" t="s">
        <v>59</v>
      </c>
      <c r="O53">
        <v>3.248946653191326</v>
      </c>
    </row>
    <row r="54" spans="14:15" x14ac:dyDescent="0.25">
      <c r="N54" s="4" t="s">
        <v>60</v>
      </c>
      <c r="O54">
        <v>3.4574165293686541</v>
      </c>
    </row>
    <row r="55" spans="14:15" x14ac:dyDescent="0.25">
      <c r="N55" s="4" t="s">
        <v>40</v>
      </c>
      <c r="O55">
        <v>3.4871794871794872</v>
      </c>
    </row>
    <row r="56" spans="14:15" x14ac:dyDescent="0.25">
      <c r="N56" s="4" t="s">
        <v>32</v>
      </c>
      <c r="O56">
        <v>4.3641147725848892</v>
      </c>
    </row>
    <row r="57" spans="14:15" x14ac:dyDescent="0.25">
      <c r="N57" s="4" t="s">
        <v>109</v>
      </c>
      <c r="O57">
        <v>4.3979591836734695</v>
      </c>
    </row>
    <row r="58" spans="14:15" x14ac:dyDescent="0.25">
      <c r="N58" s="4" t="s">
        <v>79</v>
      </c>
      <c r="O58">
        <v>4.4705882352941178</v>
      </c>
    </row>
    <row r="59" spans="14:15" x14ac:dyDescent="0.25">
      <c r="N59" s="4" t="s">
        <v>23</v>
      </c>
      <c r="O59">
        <v>7.245580808080808</v>
      </c>
    </row>
    <row r="60" spans="14:15" x14ac:dyDescent="0.25">
      <c r="N60" s="4" t="s">
        <v>47</v>
      </c>
      <c r="O60">
        <v>11.828874119310244</v>
      </c>
    </row>
    <row r="61" spans="14:15" x14ac:dyDescent="0.25">
      <c r="N61" s="4" t="s">
        <v>35</v>
      </c>
      <c r="O61">
        <v>12.5625</v>
      </c>
    </row>
    <row r="62" spans="14:15" x14ac:dyDescent="0.25">
      <c r="N62" s="4" t="s">
        <v>225</v>
      </c>
      <c r="O62">
        <v>119.05155177093539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F1" workbookViewId="0">
      <selection activeCell="J998" sqref="J998"/>
    </sheetView>
  </sheetViews>
  <sheetFormatPr defaultRowHeight="15" x14ac:dyDescent="0.25"/>
  <cols>
    <col min="1" max="1" width="10.7109375" bestFit="1" customWidth="1"/>
    <col min="2" max="2" width="14.28515625" bestFit="1" customWidth="1"/>
    <col min="3" max="3" width="10.5703125" bestFit="1" customWidth="1"/>
    <col min="4" max="4" width="10.7109375" bestFit="1" customWidth="1"/>
    <col min="5" max="5" width="14.5703125" bestFit="1" customWidth="1"/>
    <col min="6" max="7" width="23.5703125" bestFit="1" customWidth="1"/>
    <col min="9" max="9" width="11.5703125" bestFit="1" customWidth="1"/>
    <col min="10" max="10" width="14" bestFit="1" customWidth="1"/>
    <col min="11" max="11" width="15.85546875" bestFit="1" customWidth="1"/>
    <col min="12" max="12" width="17.7109375" bestFit="1" customWidth="1"/>
    <col min="13" max="13" width="11.5703125" bestFit="1" customWidth="1"/>
    <col min="14" max="14" width="16.28515625" bestFit="1" customWidth="1"/>
    <col min="15" max="15" width="15.85546875" bestFit="1" customWidth="1"/>
    <col min="16" max="16" width="16.85546875" bestFit="1" customWidth="1"/>
    <col min="17" max="17" width="16.28515625" bestFit="1" customWidth="1"/>
    <col min="18" max="19" width="16.85546875" bestFit="1" customWidth="1"/>
    <col min="20" max="21" width="23.5703125" bestFit="1" customWidth="1"/>
  </cols>
  <sheetData>
    <row r="1" spans="1:21" x14ac:dyDescent="0.25">
      <c r="A1" s="1" t="s">
        <v>0</v>
      </c>
      <c r="B1" s="1" t="s">
        <v>1</v>
      </c>
      <c r="C1" s="1" t="s">
        <v>2</v>
      </c>
      <c r="D1" s="1" t="s">
        <v>3</v>
      </c>
      <c r="E1" s="1" t="s">
        <v>4</v>
      </c>
      <c r="F1" s="1" t="s">
        <v>5</v>
      </c>
      <c r="G1" s="1" t="s">
        <v>6</v>
      </c>
      <c r="H1" s="1" t="s">
        <v>7</v>
      </c>
      <c r="I1" s="1" t="s">
        <v>228</v>
      </c>
      <c r="J1" s="1" t="s">
        <v>8</v>
      </c>
      <c r="K1" s="1" t="s">
        <v>9</v>
      </c>
      <c r="L1" s="1" t="s">
        <v>10</v>
      </c>
      <c r="M1" s="1" t="s">
        <v>11</v>
      </c>
      <c r="N1" s="1" t="s">
        <v>12</v>
      </c>
      <c r="O1" s="1" t="s">
        <v>13</v>
      </c>
      <c r="P1" s="1" t="s">
        <v>14</v>
      </c>
      <c r="Q1" s="1" t="s">
        <v>15</v>
      </c>
      <c r="R1" s="5" t="s">
        <v>220</v>
      </c>
      <c r="S1" s="2" t="s">
        <v>221</v>
      </c>
      <c r="T1" s="2" t="s">
        <v>222</v>
      </c>
      <c r="U1" s="2" t="s">
        <v>223</v>
      </c>
    </row>
    <row r="2" spans="1:21" x14ac:dyDescent="0.25">
      <c r="A2">
        <v>1</v>
      </c>
      <c r="B2" t="s">
        <v>16</v>
      </c>
      <c r="C2" t="s">
        <v>116</v>
      </c>
      <c r="D2" t="s">
        <v>121</v>
      </c>
      <c r="E2">
        <v>193</v>
      </c>
      <c r="F2">
        <v>109</v>
      </c>
      <c r="G2">
        <v>146</v>
      </c>
      <c r="H2">
        <v>4516.84</v>
      </c>
      <c r="I2">
        <v>3046.2</v>
      </c>
      <c r="J2">
        <v>147</v>
      </c>
      <c r="K2">
        <v>5</v>
      </c>
      <c r="L2" t="s">
        <v>125</v>
      </c>
      <c r="M2">
        <v>301</v>
      </c>
      <c r="N2">
        <v>2</v>
      </c>
      <c r="O2">
        <v>31</v>
      </c>
      <c r="P2" t="s">
        <v>215</v>
      </c>
      <c r="Q2" t="s">
        <v>217</v>
      </c>
      <c r="R2">
        <f>F2-G2</f>
        <v>-37</v>
      </c>
      <c r="S2">
        <f t="shared" ref="S2:S65" si="0">F2/E2</f>
        <v>0.56476683937823835</v>
      </c>
      <c r="T2" t="str">
        <f>IF(S2&lt;0.5,"High Risk",IF(S2&lt;1,"Medium Risk","Low Risk"))</f>
        <v>Medium Risk</v>
      </c>
      <c r="U2" t="str">
        <f>IF(T2="High Risk","Apply Discount / Promotion",
IF(T2="Medium Risk","Monitor Sales",
"Maintain Stock"))</f>
        <v>Monitor Sales</v>
      </c>
    </row>
    <row r="3" spans="1:21" x14ac:dyDescent="0.25">
      <c r="A3">
        <v>2</v>
      </c>
      <c r="B3" t="s">
        <v>17</v>
      </c>
      <c r="C3" t="s">
        <v>117</v>
      </c>
      <c r="D3" t="s">
        <v>122</v>
      </c>
      <c r="E3">
        <v>196</v>
      </c>
      <c r="F3">
        <v>334</v>
      </c>
      <c r="G3">
        <v>311</v>
      </c>
      <c r="H3">
        <v>1362.99</v>
      </c>
      <c r="I3">
        <v>805.68</v>
      </c>
      <c r="J3">
        <v>87</v>
      </c>
      <c r="K3">
        <v>13</v>
      </c>
      <c r="L3" t="s">
        <v>126</v>
      </c>
      <c r="M3">
        <v>53</v>
      </c>
      <c r="N3">
        <v>1</v>
      </c>
      <c r="O3">
        <v>38</v>
      </c>
      <c r="P3" t="s">
        <v>215</v>
      </c>
      <c r="Q3" t="s">
        <v>217</v>
      </c>
      <c r="R3">
        <f t="shared" ref="R3:R10" si="1">F3-G3</f>
        <v>23</v>
      </c>
      <c r="S3">
        <f t="shared" si="0"/>
        <v>1.7040816326530612</v>
      </c>
      <c r="T3" t="str">
        <f t="shared" ref="T3:T66" si="2">IF(S3&lt;0.5,"High Risk",IF(S3&lt;1,"Medium Risk","Low Risk"))</f>
        <v>Low Risk</v>
      </c>
      <c r="U3" t="str">
        <f t="shared" ref="U3:U66" si="3">IF(T3="High Risk","Apply Discount / Promotion",
IF(T3="Medium Risk","Monitor Sales",
"Maintain Stock"))</f>
        <v>Maintain Stock</v>
      </c>
    </row>
    <row r="4" spans="1:21" x14ac:dyDescent="0.25">
      <c r="A4">
        <v>3</v>
      </c>
      <c r="B4" t="s">
        <v>18</v>
      </c>
      <c r="C4" t="s">
        <v>118</v>
      </c>
      <c r="D4" t="s">
        <v>121</v>
      </c>
      <c r="E4">
        <v>287</v>
      </c>
      <c r="F4">
        <v>220</v>
      </c>
      <c r="G4">
        <v>182</v>
      </c>
      <c r="H4">
        <v>2544.1999999999998</v>
      </c>
      <c r="I4">
        <v>2002.09</v>
      </c>
      <c r="J4">
        <v>148</v>
      </c>
      <c r="K4">
        <v>13</v>
      </c>
      <c r="L4" t="s">
        <v>127</v>
      </c>
      <c r="M4">
        <v>332</v>
      </c>
      <c r="N4">
        <v>4</v>
      </c>
      <c r="O4">
        <v>2</v>
      </c>
      <c r="P4" t="s">
        <v>215</v>
      </c>
      <c r="Q4" t="s">
        <v>217</v>
      </c>
      <c r="R4">
        <f t="shared" si="1"/>
        <v>38</v>
      </c>
      <c r="S4">
        <f t="shared" si="0"/>
        <v>0.76655052264808365</v>
      </c>
      <c r="T4" t="str">
        <f t="shared" si="2"/>
        <v>Medium Risk</v>
      </c>
      <c r="U4" t="str">
        <f t="shared" si="3"/>
        <v>Monitor Sales</v>
      </c>
    </row>
    <row r="5" spans="1:21" x14ac:dyDescent="0.25">
      <c r="A5">
        <v>4</v>
      </c>
      <c r="B5" t="s">
        <v>19</v>
      </c>
      <c r="C5" t="s">
        <v>117</v>
      </c>
      <c r="D5" t="s">
        <v>123</v>
      </c>
      <c r="E5">
        <v>387</v>
      </c>
      <c r="F5">
        <v>348</v>
      </c>
      <c r="G5">
        <v>334</v>
      </c>
      <c r="H5">
        <v>1010.31</v>
      </c>
      <c r="I5">
        <v>603.15</v>
      </c>
      <c r="J5">
        <v>130</v>
      </c>
      <c r="K5">
        <v>3</v>
      </c>
      <c r="L5" t="s">
        <v>128</v>
      </c>
      <c r="M5">
        <v>170</v>
      </c>
      <c r="N5">
        <v>2</v>
      </c>
      <c r="O5">
        <v>14</v>
      </c>
      <c r="P5" t="s">
        <v>216</v>
      </c>
      <c r="Q5" t="s">
        <v>218</v>
      </c>
      <c r="R5">
        <f t="shared" si="1"/>
        <v>14</v>
      </c>
      <c r="S5">
        <f t="shared" si="0"/>
        <v>0.89922480620155043</v>
      </c>
      <c r="T5" t="str">
        <f t="shared" si="2"/>
        <v>Medium Risk</v>
      </c>
      <c r="U5" t="str">
        <f t="shared" si="3"/>
        <v>Monitor Sales</v>
      </c>
    </row>
    <row r="6" spans="1:21" x14ac:dyDescent="0.25">
      <c r="A6">
        <v>5</v>
      </c>
      <c r="B6" t="s">
        <v>20</v>
      </c>
      <c r="C6" t="s">
        <v>119</v>
      </c>
      <c r="D6" t="s">
        <v>123</v>
      </c>
      <c r="E6">
        <v>152</v>
      </c>
      <c r="F6">
        <v>398</v>
      </c>
      <c r="G6">
        <v>394</v>
      </c>
      <c r="H6">
        <v>275.68</v>
      </c>
      <c r="I6">
        <v>150.33000000000001</v>
      </c>
      <c r="J6">
        <v>117</v>
      </c>
      <c r="K6">
        <v>5</v>
      </c>
      <c r="L6" t="s">
        <v>129</v>
      </c>
      <c r="M6">
        <v>63</v>
      </c>
      <c r="N6">
        <v>4</v>
      </c>
      <c r="O6">
        <v>38</v>
      </c>
      <c r="P6" t="s">
        <v>215</v>
      </c>
      <c r="Q6" t="s">
        <v>219</v>
      </c>
      <c r="R6">
        <f t="shared" si="1"/>
        <v>4</v>
      </c>
      <c r="S6">
        <f t="shared" si="0"/>
        <v>2.6184210526315788</v>
      </c>
      <c r="T6" t="str">
        <f t="shared" si="2"/>
        <v>Low Risk</v>
      </c>
      <c r="U6" t="str">
        <f t="shared" si="3"/>
        <v>Maintain Stock</v>
      </c>
    </row>
    <row r="7" spans="1:21" x14ac:dyDescent="0.25">
      <c r="A7">
        <v>6</v>
      </c>
      <c r="B7" t="s">
        <v>21</v>
      </c>
      <c r="C7" t="s">
        <v>119</v>
      </c>
      <c r="D7" t="s">
        <v>121</v>
      </c>
      <c r="E7">
        <v>32</v>
      </c>
      <c r="F7">
        <v>269</v>
      </c>
      <c r="G7">
        <v>318</v>
      </c>
      <c r="H7">
        <v>2532.19</v>
      </c>
      <c r="I7">
        <v>1322.13</v>
      </c>
      <c r="J7">
        <v>133</v>
      </c>
      <c r="K7">
        <v>11</v>
      </c>
      <c r="L7" t="s">
        <v>130</v>
      </c>
      <c r="M7">
        <v>312</v>
      </c>
      <c r="N7">
        <v>3</v>
      </c>
      <c r="O7">
        <v>17</v>
      </c>
      <c r="P7" t="s">
        <v>215</v>
      </c>
      <c r="Q7" t="s">
        <v>218</v>
      </c>
      <c r="R7">
        <f t="shared" si="1"/>
        <v>-49</v>
      </c>
      <c r="S7">
        <f t="shared" si="0"/>
        <v>8.40625</v>
      </c>
      <c r="T7" t="str">
        <f t="shared" si="2"/>
        <v>Low Risk</v>
      </c>
      <c r="U7" t="str">
        <f t="shared" si="3"/>
        <v>Maintain Stock</v>
      </c>
    </row>
    <row r="8" spans="1:21" x14ac:dyDescent="0.25">
      <c r="A8">
        <v>7</v>
      </c>
      <c r="B8" t="s">
        <v>22</v>
      </c>
      <c r="C8" t="s">
        <v>116</v>
      </c>
      <c r="D8" t="s">
        <v>123</v>
      </c>
      <c r="E8">
        <v>206</v>
      </c>
      <c r="F8">
        <v>187</v>
      </c>
      <c r="G8">
        <v>183</v>
      </c>
      <c r="H8">
        <v>1470.79</v>
      </c>
      <c r="I8">
        <v>922.65</v>
      </c>
      <c r="J8">
        <v>122</v>
      </c>
      <c r="K8">
        <v>9</v>
      </c>
      <c r="L8" t="s">
        <v>131</v>
      </c>
      <c r="M8">
        <v>343</v>
      </c>
      <c r="N8">
        <v>1</v>
      </c>
      <c r="O8">
        <v>8</v>
      </c>
      <c r="P8" t="s">
        <v>216</v>
      </c>
      <c r="Q8" t="s">
        <v>219</v>
      </c>
      <c r="R8">
        <f t="shared" si="1"/>
        <v>4</v>
      </c>
      <c r="S8">
        <f t="shared" si="0"/>
        <v>0.90776699029126218</v>
      </c>
      <c r="T8" t="str">
        <f t="shared" si="2"/>
        <v>Medium Risk</v>
      </c>
      <c r="U8" t="str">
        <f t="shared" si="3"/>
        <v>Monitor Sales</v>
      </c>
    </row>
    <row r="9" spans="1:21" x14ac:dyDescent="0.25">
      <c r="A9">
        <v>8</v>
      </c>
      <c r="B9" t="s">
        <v>23</v>
      </c>
      <c r="C9" t="s">
        <v>119</v>
      </c>
      <c r="D9" t="s">
        <v>123</v>
      </c>
      <c r="E9">
        <v>238</v>
      </c>
      <c r="F9">
        <v>143</v>
      </c>
      <c r="G9">
        <v>169</v>
      </c>
      <c r="H9">
        <v>2492.6799999999998</v>
      </c>
      <c r="I9">
        <v>1375.04</v>
      </c>
      <c r="J9">
        <v>141</v>
      </c>
      <c r="K9">
        <v>6</v>
      </c>
      <c r="L9" t="s">
        <v>132</v>
      </c>
      <c r="M9">
        <v>362</v>
      </c>
      <c r="N9">
        <v>3</v>
      </c>
      <c r="O9">
        <v>25</v>
      </c>
      <c r="P9" t="s">
        <v>216</v>
      </c>
      <c r="Q9" t="s">
        <v>217</v>
      </c>
      <c r="R9">
        <f t="shared" si="1"/>
        <v>-26</v>
      </c>
      <c r="S9">
        <f t="shared" si="0"/>
        <v>0.60084033613445376</v>
      </c>
      <c r="T9" t="str">
        <f t="shared" si="2"/>
        <v>Medium Risk</v>
      </c>
      <c r="U9" t="str">
        <f t="shared" si="3"/>
        <v>Monitor Sales</v>
      </c>
    </row>
    <row r="10" spans="1:21" x14ac:dyDescent="0.25">
      <c r="A10">
        <v>9</v>
      </c>
      <c r="B10" t="s">
        <v>22</v>
      </c>
      <c r="C10" t="s">
        <v>116</v>
      </c>
      <c r="D10" t="s">
        <v>121</v>
      </c>
      <c r="E10">
        <v>319</v>
      </c>
      <c r="F10">
        <v>270</v>
      </c>
      <c r="G10">
        <v>242</v>
      </c>
      <c r="H10">
        <v>1877.22</v>
      </c>
      <c r="I10">
        <v>1231.45</v>
      </c>
      <c r="J10">
        <v>140</v>
      </c>
      <c r="K10">
        <v>9</v>
      </c>
      <c r="L10" t="s">
        <v>133</v>
      </c>
      <c r="M10">
        <v>333</v>
      </c>
      <c r="N10">
        <v>3</v>
      </c>
      <c r="O10">
        <v>17</v>
      </c>
      <c r="P10" t="s">
        <v>216</v>
      </c>
      <c r="Q10" t="s">
        <v>219</v>
      </c>
      <c r="R10">
        <f t="shared" si="1"/>
        <v>28</v>
      </c>
      <c r="S10">
        <f t="shared" si="0"/>
        <v>0.84639498432601878</v>
      </c>
      <c r="T10" t="str">
        <f t="shared" si="2"/>
        <v>Medium Risk</v>
      </c>
      <c r="U10" t="str">
        <f t="shared" si="3"/>
        <v>Monitor Sales</v>
      </c>
    </row>
    <row r="11" spans="1:21" x14ac:dyDescent="0.25">
      <c r="A11">
        <v>10</v>
      </c>
      <c r="B11" t="s">
        <v>16</v>
      </c>
      <c r="C11" t="s">
        <v>119</v>
      </c>
      <c r="D11" t="s">
        <v>124</v>
      </c>
      <c r="E11">
        <v>30</v>
      </c>
      <c r="F11">
        <v>204</v>
      </c>
      <c r="G11">
        <v>190</v>
      </c>
      <c r="H11">
        <v>4132.04</v>
      </c>
      <c r="I11">
        <v>2901.16</v>
      </c>
      <c r="J11">
        <v>150</v>
      </c>
      <c r="K11">
        <v>4</v>
      </c>
      <c r="L11" t="s">
        <v>134</v>
      </c>
      <c r="M11">
        <v>207</v>
      </c>
      <c r="N11">
        <v>3</v>
      </c>
      <c r="O11">
        <v>22</v>
      </c>
      <c r="P11" t="s">
        <v>216</v>
      </c>
      <c r="Q11" t="s">
        <v>219</v>
      </c>
      <c r="R11">
        <f t="shared" ref="R11:R74" si="4">F11-G11</f>
        <v>14</v>
      </c>
      <c r="S11">
        <f t="shared" si="0"/>
        <v>6.8</v>
      </c>
      <c r="T11" t="str">
        <f t="shared" si="2"/>
        <v>Low Risk</v>
      </c>
      <c r="U11" t="str">
        <f t="shared" si="3"/>
        <v>Maintain Stock</v>
      </c>
    </row>
    <row r="12" spans="1:21" x14ac:dyDescent="0.25">
      <c r="A12">
        <v>11</v>
      </c>
      <c r="B12" t="s">
        <v>24</v>
      </c>
      <c r="C12" t="s">
        <v>117</v>
      </c>
      <c r="D12" t="s">
        <v>121</v>
      </c>
      <c r="E12">
        <v>42</v>
      </c>
      <c r="F12">
        <v>324</v>
      </c>
      <c r="G12">
        <v>352</v>
      </c>
      <c r="H12">
        <v>3815.73</v>
      </c>
      <c r="I12">
        <v>2115.61</v>
      </c>
      <c r="J12">
        <v>109</v>
      </c>
      <c r="K12">
        <v>12</v>
      </c>
      <c r="L12" t="s">
        <v>135</v>
      </c>
      <c r="M12">
        <v>260</v>
      </c>
      <c r="N12">
        <v>3</v>
      </c>
      <c r="O12">
        <v>25</v>
      </c>
      <c r="P12" t="s">
        <v>216</v>
      </c>
      <c r="Q12" t="s">
        <v>217</v>
      </c>
      <c r="R12">
        <f t="shared" si="4"/>
        <v>-28</v>
      </c>
      <c r="S12">
        <f t="shared" si="0"/>
        <v>7.7142857142857144</v>
      </c>
      <c r="T12" t="str">
        <f t="shared" si="2"/>
        <v>Low Risk</v>
      </c>
      <c r="U12" t="str">
        <f t="shared" si="3"/>
        <v>Maintain Stock</v>
      </c>
    </row>
    <row r="13" spans="1:21" x14ac:dyDescent="0.25">
      <c r="A13">
        <v>12</v>
      </c>
      <c r="B13" t="s">
        <v>25</v>
      </c>
      <c r="C13" t="s">
        <v>119</v>
      </c>
      <c r="D13" t="s">
        <v>123</v>
      </c>
      <c r="E13">
        <v>112</v>
      </c>
      <c r="F13">
        <v>214</v>
      </c>
      <c r="G13">
        <v>173</v>
      </c>
      <c r="H13">
        <v>2948.09</v>
      </c>
      <c r="I13">
        <v>2321.9</v>
      </c>
      <c r="J13">
        <v>94</v>
      </c>
      <c r="K13">
        <v>9</v>
      </c>
      <c r="L13" t="s">
        <v>136</v>
      </c>
      <c r="M13">
        <v>361</v>
      </c>
      <c r="N13">
        <v>1</v>
      </c>
      <c r="O13">
        <v>8</v>
      </c>
      <c r="P13" t="s">
        <v>216</v>
      </c>
      <c r="Q13" t="s">
        <v>217</v>
      </c>
      <c r="R13">
        <f t="shared" si="4"/>
        <v>41</v>
      </c>
      <c r="S13">
        <f t="shared" si="0"/>
        <v>1.9107142857142858</v>
      </c>
      <c r="T13" t="str">
        <f t="shared" si="2"/>
        <v>Low Risk</v>
      </c>
      <c r="U13" t="str">
        <f t="shared" si="3"/>
        <v>Maintain Stock</v>
      </c>
    </row>
    <row r="14" spans="1:21" x14ac:dyDescent="0.25">
      <c r="A14">
        <v>13</v>
      </c>
      <c r="B14" t="s">
        <v>26</v>
      </c>
      <c r="C14" t="s">
        <v>120</v>
      </c>
      <c r="D14" t="s">
        <v>124</v>
      </c>
      <c r="E14">
        <v>35</v>
      </c>
      <c r="F14">
        <v>274</v>
      </c>
      <c r="G14">
        <v>287</v>
      </c>
      <c r="H14">
        <v>3478.3</v>
      </c>
      <c r="I14">
        <v>1920.13</v>
      </c>
      <c r="J14">
        <v>144</v>
      </c>
      <c r="K14">
        <v>9</v>
      </c>
      <c r="L14" t="s">
        <v>137</v>
      </c>
      <c r="M14">
        <v>285</v>
      </c>
      <c r="N14">
        <v>3</v>
      </c>
      <c r="O14">
        <v>19</v>
      </c>
      <c r="P14" t="s">
        <v>216</v>
      </c>
      <c r="Q14" t="s">
        <v>219</v>
      </c>
      <c r="R14">
        <f t="shared" si="4"/>
        <v>-13</v>
      </c>
      <c r="S14">
        <f t="shared" si="0"/>
        <v>7.8285714285714283</v>
      </c>
      <c r="T14" t="str">
        <f t="shared" si="2"/>
        <v>Low Risk</v>
      </c>
      <c r="U14" t="str">
        <f t="shared" si="3"/>
        <v>Maintain Stock</v>
      </c>
    </row>
    <row r="15" spans="1:21" x14ac:dyDescent="0.25">
      <c r="A15">
        <v>14</v>
      </c>
      <c r="B15" t="s">
        <v>27</v>
      </c>
      <c r="C15" t="s">
        <v>119</v>
      </c>
      <c r="D15" t="s">
        <v>123</v>
      </c>
      <c r="E15">
        <v>341</v>
      </c>
      <c r="F15">
        <v>308</v>
      </c>
      <c r="G15">
        <v>338</v>
      </c>
      <c r="H15">
        <v>2683.77</v>
      </c>
      <c r="I15">
        <v>1961.91</v>
      </c>
      <c r="J15">
        <v>127</v>
      </c>
      <c r="K15">
        <v>4</v>
      </c>
      <c r="L15" t="s">
        <v>138</v>
      </c>
      <c r="M15">
        <v>99</v>
      </c>
      <c r="N15">
        <v>1</v>
      </c>
      <c r="O15">
        <v>44</v>
      </c>
      <c r="P15" t="s">
        <v>215</v>
      </c>
      <c r="Q15" t="s">
        <v>218</v>
      </c>
      <c r="R15">
        <f t="shared" si="4"/>
        <v>-30</v>
      </c>
      <c r="S15">
        <f t="shared" si="0"/>
        <v>0.90322580645161288</v>
      </c>
      <c r="T15" t="str">
        <f t="shared" si="2"/>
        <v>Medium Risk</v>
      </c>
      <c r="U15" t="str">
        <f t="shared" si="3"/>
        <v>Monitor Sales</v>
      </c>
    </row>
    <row r="16" spans="1:21" x14ac:dyDescent="0.25">
      <c r="A16">
        <v>15</v>
      </c>
      <c r="B16" t="s">
        <v>28</v>
      </c>
      <c r="C16" t="s">
        <v>118</v>
      </c>
      <c r="D16" t="s">
        <v>124</v>
      </c>
      <c r="E16">
        <v>254</v>
      </c>
      <c r="F16">
        <v>237</v>
      </c>
      <c r="G16">
        <v>233</v>
      </c>
      <c r="H16">
        <v>4115.3599999999997</v>
      </c>
      <c r="I16">
        <v>2376.15</v>
      </c>
      <c r="J16">
        <v>80</v>
      </c>
      <c r="K16">
        <v>4</v>
      </c>
      <c r="L16" t="s">
        <v>139</v>
      </c>
      <c r="M16">
        <v>363</v>
      </c>
      <c r="N16">
        <v>2</v>
      </c>
      <c r="O16">
        <v>19</v>
      </c>
      <c r="P16" t="s">
        <v>216</v>
      </c>
      <c r="Q16" t="s">
        <v>217</v>
      </c>
      <c r="R16">
        <f t="shared" si="4"/>
        <v>4</v>
      </c>
      <c r="S16">
        <f t="shared" si="0"/>
        <v>0.93307086614173229</v>
      </c>
      <c r="T16" t="str">
        <f t="shared" si="2"/>
        <v>Medium Risk</v>
      </c>
      <c r="U16" t="str">
        <f t="shared" si="3"/>
        <v>Monitor Sales</v>
      </c>
    </row>
    <row r="17" spans="1:21" x14ac:dyDescent="0.25">
      <c r="A17">
        <v>16</v>
      </c>
      <c r="B17" t="s">
        <v>29</v>
      </c>
      <c r="C17" t="s">
        <v>119</v>
      </c>
      <c r="D17" t="s">
        <v>122</v>
      </c>
      <c r="E17">
        <v>237</v>
      </c>
      <c r="F17">
        <v>103</v>
      </c>
      <c r="G17">
        <v>105</v>
      </c>
      <c r="H17">
        <v>4782.57</v>
      </c>
      <c r="I17">
        <v>3535.3</v>
      </c>
      <c r="J17">
        <v>52</v>
      </c>
      <c r="K17">
        <v>13</v>
      </c>
      <c r="L17" t="s">
        <v>140</v>
      </c>
      <c r="M17">
        <v>124</v>
      </c>
      <c r="N17">
        <v>2</v>
      </c>
      <c r="O17">
        <v>1</v>
      </c>
      <c r="P17" t="s">
        <v>215</v>
      </c>
      <c r="Q17" t="s">
        <v>218</v>
      </c>
      <c r="R17">
        <f t="shared" si="4"/>
        <v>-2</v>
      </c>
      <c r="S17">
        <f t="shared" si="0"/>
        <v>0.43459915611814348</v>
      </c>
      <c r="T17" t="str">
        <f t="shared" si="2"/>
        <v>High Risk</v>
      </c>
      <c r="U17" t="str">
        <f t="shared" si="3"/>
        <v>Apply Discount / Promotion</v>
      </c>
    </row>
    <row r="18" spans="1:21" x14ac:dyDescent="0.25">
      <c r="A18">
        <v>17</v>
      </c>
      <c r="B18" t="s">
        <v>30</v>
      </c>
      <c r="C18" t="s">
        <v>118</v>
      </c>
      <c r="D18" t="s">
        <v>124</v>
      </c>
      <c r="E18">
        <v>242</v>
      </c>
      <c r="F18">
        <v>192</v>
      </c>
      <c r="G18">
        <v>241</v>
      </c>
      <c r="H18">
        <v>1205.6300000000001</v>
      </c>
      <c r="I18">
        <v>643.17999999999995</v>
      </c>
      <c r="J18">
        <v>118</v>
      </c>
      <c r="K18">
        <v>10</v>
      </c>
      <c r="L18" t="s">
        <v>132</v>
      </c>
      <c r="M18">
        <v>273</v>
      </c>
      <c r="N18">
        <v>2</v>
      </c>
      <c r="O18">
        <v>6</v>
      </c>
      <c r="P18" t="s">
        <v>216</v>
      </c>
      <c r="Q18" t="s">
        <v>218</v>
      </c>
      <c r="R18">
        <f t="shared" si="4"/>
        <v>-49</v>
      </c>
      <c r="S18">
        <f t="shared" si="0"/>
        <v>0.79338842975206614</v>
      </c>
      <c r="T18" t="str">
        <f t="shared" si="2"/>
        <v>Medium Risk</v>
      </c>
      <c r="U18" t="str">
        <f t="shared" si="3"/>
        <v>Monitor Sales</v>
      </c>
    </row>
    <row r="19" spans="1:21" x14ac:dyDescent="0.25">
      <c r="A19">
        <v>18</v>
      </c>
      <c r="B19" t="s">
        <v>31</v>
      </c>
      <c r="C19" t="s">
        <v>119</v>
      </c>
      <c r="D19" t="s">
        <v>124</v>
      </c>
      <c r="E19">
        <v>271</v>
      </c>
      <c r="F19">
        <v>355</v>
      </c>
      <c r="G19">
        <v>311</v>
      </c>
      <c r="H19">
        <v>3321.74</v>
      </c>
      <c r="I19">
        <v>2188.36</v>
      </c>
      <c r="J19">
        <v>73</v>
      </c>
      <c r="K19">
        <v>3</v>
      </c>
      <c r="L19" t="s">
        <v>141</v>
      </c>
      <c r="M19">
        <v>198</v>
      </c>
      <c r="N19">
        <v>5</v>
      </c>
      <c r="O19">
        <v>23</v>
      </c>
      <c r="P19" t="s">
        <v>216</v>
      </c>
      <c r="Q19" t="s">
        <v>219</v>
      </c>
      <c r="R19">
        <f t="shared" si="4"/>
        <v>44</v>
      </c>
      <c r="S19">
        <f t="shared" si="0"/>
        <v>1.3099630996309963</v>
      </c>
      <c r="T19" t="str">
        <f t="shared" si="2"/>
        <v>Low Risk</v>
      </c>
      <c r="U19" t="str">
        <f t="shared" si="3"/>
        <v>Maintain Stock</v>
      </c>
    </row>
    <row r="20" spans="1:21" x14ac:dyDescent="0.25">
      <c r="A20">
        <v>19</v>
      </c>
      <c r="B20" t="s">
        <v>32</v>
      </c>
      <c r="C20" t="s">
        <v>117</v>
      </c>
      <c r="D20" t="s">
        <v>122</v>
      </c>
      <c r="E20">
        <v>478</v>
      </c>
      <c r="F20">
        <v>187</v>
      </c>
      <c r="G20">
        <v>200</v>
      </c>
      <c r="H20">
        <v>4720.1400000000003</v>
      </c>
      <c r="I20">
        <v>2952.72</v>
      </c>
      <c r="J20">
        <v>97</v>
      </c>
      <c r="K20">
        <v>4</v>
      </c>
      <c r="L20" t="s">
        <v>142</v>
      </c>
      <c r="M20">
        <v>328</v>
      </c>
      <c r="N20">
        <v>1</v>
      </c>
      <c r="O20">
        <v>5</v>
      </c>
      <c r="P20" t="s">
        <v>216</v>
      </c>
      <c r="Q20" t="s">
        <v>217</v>
      </c>
      <c r="R20">
        <f t="shared" si="4"/>
        <v>-13</v>
      </c>
      <c r="S20">
        <f t="shared" si="0"/>
        <v>0.39121338912133891</v>
      </c>
      <c r="T20" t="str">
        <f t="shared" si="2"/>
        <v>High Risk</v>
      </c>
      <c r="U20" t="str">
        <f t="shared" si="3"/>
        <v>Apply Discount / Promotion</v>
      </c>
    </row>
    <row r="21" spans="1:21" x14ac:dyDescent="0.25">
      <c r="A21">
        <v>20</v>
      </c>
      <c r="B21" t="s">
        <v>33</v>
      </c>
      <c r="C21" t="s">
        <v>117</v>
      </c>
      <c r="D21" t="s">
        <v>122</v>
      </c>
      <c r="E21">
        <v>364</v>
      </c>
      <c r="F21">
        <v>273</v>
      </c>
      <c r="G21">
        <v>226</v>
      </c>
      <c r="H21">
        <v>1528.49</v>
      </c>
      <c r="I21">
        <v>1099.73</v>
      </c>
      <c r="J21">
        <v>115</v>
      </c>
      <c r="K21">
        <v>9</v>
      </c>
      <c r="L21" t="s">
        <v>143</v>
      </c>
      <c r="M21">
        <v>291</v>
      </c>
      <c r="N21">
        <v>5</v>
      </c>
      <c r="O21">
        <v>5</v>
      </c>
      <c r="P21" t="s">
        <v>215</v>
      </c>
      <c r="Q21" t="s">
        <v>218</v>
      </c>
      <c r="R21">
        <f t="shared" si="4"/>
        <v>47</v>
      </c>
      <c r="S21">
        <f t="shared" si="0"/>
        <v>0.75</v>
      </c>
      <c r="T21" t="str">
        <f t="shared" si="2"/>
        <v>Medium Risk</v>
      </c>
      <c r="U21" t="str">
        <f t="shared" si="3"/>
        <v>Monitor Sales</v>
      </c>
    </row>
    <row r="22" spans="1:21" x14ac:dyDescent="0.25">
      <c r="A22">
        <v>21</v>
      </c>
      <c r="B22" t="s">
        <v>34</v>
      </c>
      <c r="C22" t="s">
        <v>117</v>
      </c>
      <c r="D22" t="s">
        <v>122</v>
      </c>
      <c r="E22">
        <v>84</v>
      </c>
      <c r="F22">
        <v>292</v>
      </c>
      <c r="G22">
        <v>308</v>
      </c>
      <c r="H22">
        <v>805.32</v>
      </c>
      <c r="I22">
        <v>564.86</v>
      </c>
      <c r="J22">
        <v>127</v>
      </c>
      <c r="K22">
        <v>11</v>
      </c>
      <c r="L22" t="s">
        <v>144</v>
      </c>
      <c r="M22">
        <v>365</v>
      </c>
      <c r="N22">
        <v>4</v>
      </c>
      <c r="O22">
        <v>12</v>
      </c>
      <c r="P22" t="s">
        <v>215</v>
      </c>
      <c r="Q22" t="s">
        <v>217</v>
      </c>
      <c r="R22">
        <f t="shared" si="4"/>
        <v>-16</v>
      </c>
      <c r="S22">
        <f t="shared" si="0"/>
        <v>3.4761904761904763</v>
      </c>
      <c r="T22" t="str">
        <f t="shared" si="2"/>
        <v>Low Risk</v>
      </c>
      <c r="U22" t="str">
        <f t="shared" si="3"/>
        <v>Maintain Stock</v>
      </c>
    </row>
    <row r="23" spans="1:21" x14ac:dyDescent="0.25">
      <c r="A23">
        <v>22</v>
      </c>
      <c r="B23" t="s">
        <v>35</v>
      </c>
      <c r="C23" t="s">
        <v>116</v>
      </c>
      <c r="D23" t="s">
        <v>123</v>
      </c>
      <c r="E23">
        <v>32</v>
      </c>
      <c r="F23">
        <v>402</v>
      </c>
      <c r="G23">
        <v>355</v>
      </c>
      <c r="H23">
        <v>1700.54</v>
      </c>
      <c r="I23">
        <v>1244.5999999999999</v>
      </c>
      <c r="J23">
        <v>79</v>
      </c>
      <c r="K23">
        <v>12</v>
      </c>
      <c r="L23" t="s">
        <v>145</v>
      </c>
      <c r="M23">
        <v>176</v>
      </c>
      <c r="N23">
        <v>5</v>
      </c>
      <c r="O23">
        <v>2</v>
      </c>
      <c r="P23" t="s">
        <v>215</v>
      </c>
      <c r="Q23" t="s">
        <v>219</v>
      </c>
      <c r="R23">
        <f t="shared" si="4"/>
        <v>47</v>
      </c>
      <c r="S23">
        <f t="shared" si="0"/>
        <v>12.5625</v>
      </c>
      <c r="T23" t="str">
        <f t="shared" si="2"/>
        <v>Low Risk</v>
      </c>
      <c r="U23" t="str">
        <f t="shared" si="3"/>
        <v>Maintain Stock</v>
      </c>
    </row>
    <row r="24" spans="1:21" x14ac:dyDescent="0.25">
      <c r="A24">
        <v>23</v>
      </c>
      <c r="B24" t="s">
        <v>36</v>
      </c>
      <c r="C24" t="s">
        <v>120</v>
      </c>
      <c r="D24" t="s">
        <v>122</v>
      </c>
      <c r="E24">
        <v>295</v>
      </c>
      <c r="F24">
        <v>31</v>
      </c>
      <c r="G24">
        <v>19</v>
      </c>
      <c r="H24">
        <v>731.03</v>
      </c>
      <c r="I24">
        <v>574.9</v>
      </c>
      <c r="J24">
        <v>51</v>
      </c>
      <c r="K24">
        <v>9</v>
      </c>
      <c r="L24" t="s">
        <v>146</v>
      </c>
      <c r="M24">
        <v>151</v>
      </c>
      <c r="N24">
        <v>5</v>
      </c>
      <c r="O24">
        <v>41</v>
      </c>
      <c r="P24" t="s">
        <v>215</v>
      </c>
      <c r="Q24" t="s">
        <v>219</v>
      </c>
      <c r="R24">
        <f t="shared" si="4"/>
        <v>12</v>
      </c>
      <c r="S24">
        <f t="shared" si="0"/>
        <v>0.10508474576271186</v>
      </c>
      <c r="T24" t="str">
        <f t="shared" si="2"/>
        <v>High Risk</v>
      </c>
      <c r="U24" t="str">
        <f t="shared" si="3"/>
        <v>Apply Discount / Promotion</v>
      </c>
    </row>
    <row r="25" spans="1:21" x14ac:dyDescent="0.25">
      <c r="A25">
        <v>24</v>
      </c>
      <c r="B25" t="s">
        <v>37</v>
      </c>
      <c r="C25" t="s">
        <v>116</v>
      </c>
      <c r="D25" t="s">
        <v>123</v>
      </c>
      <c r="E25">
        <v>72</v>
      </c>
      <c r="F25">
        <v>131</v>
      </c>
      <c r="G25">
        <v>139</v>
      </c>
      <c r="H25">
        <v>3406.31</v>
      </c>
      <c r="I25">
        <v>2265.98</v>
      </c>
      <c r="J25">
        <v>74</v>
      </c>
      <c r="K25">
        <v>13</v>
      </c>
      <c r="L25" t="s">
        <v>142</v>
      </c>
      <c r="M25">
        <v>69</v>
      </c>
      <c r="N25">
        <v>1</v>
      </c>
      <c r="O25">
        <v>27</v>
      </c>
      <c r="P25" t="s">
        <v>215</v>
      </c>
      <c r="Q25" t="s">
        <v>217</v>
      </c>
      <c r="R25">
        <f t="shared" si="4"/>
        <v>-8</v>
      </c>
      <c r="S25">
        <f t="shared" si="0"/>
        <v>1.8194444444444444</v>
      </c>
      <c r="T25" t="str">
        <f t="shared" si="2"/>
        <v>Low Risk</v>
      </c>
      <c r="U25" t="str">
        <f t="shared" si="3"/>
        <v>Maintain Stock</v>
      </c>
    </row>
    <row r="26" spans="1:21" x14ac:dyDescent="0.25">
      <c r="A26">
        <v>25</v>
      </c>
      <c r="B26" t="s">
        <v>38</v>
      </c>
      <c r="C26" t="s">
        <v>118</v>
      </c>
      <c r="D26" t="s">
        <v>121</v>
      </c>
      <c r="E26">
        <v>129</v>
      </c>
      <c r="F26">
        <v>219</v>
      </c>
      <c r="G26">
        <v>196</v>
      </c>
      <c r="H26">
        <v>3071.46</v>
      </c>
      <c r="I26">
        <v>2413.02</v>
      </c>
      <c r="J26">
        <v>63</v>
      </c>
      <c r="K26">
        <v>12</v>
      </c>
      <c r="L26" t="s">
        <v>147</v>
      </c>
      <c r="M26">
        <v>64</v>
      </c>
      <c r="N26">
        <v>1</v>
      </c>
      <c r="O26">
        <v>9</v>
      </c>
      <c r="P26" t="s">
        <v>216</v>
      </c>
      <c r="Q26" t="s">
        <v>219</v>
      </c>
      <c r="R26">
        <f t="shared" si="4"/>
        <v>23</v>
      </c>
      <c r="S26">
        <f t="shared" si="0"/>
        <v>1.6976744186046511</v>
      </c>
      <c r="T26" t="str">
        <f t="shared" si="2"/>
        <v>Low Risk</v>
      </c>
      <c r="U26" t="str">
        <f t="shared" si="3"/>
        <v>Maintain Stock</v>
      </c>
    </row>
    <row r="27" spans="1:21" x14ac:dyDescent="0.25">
      <c r="A27">
        <v>26</v>
      </c>
      <c r="B27" t="s">
        <v>39</v>
      </c>
      <c r="C27" t="s">
        <v>117</v>
      </c>
      <c r="D27" t="s">
        <v>122</v>
      </c>
      <c r="E27">
        <v>416</v>
      </c>
      <c r="F27">
        <v>306</v>
      </c>
      <c r="G27">
        <v>302</v>
      </c>
      <c r="H27">
        <v>4112.3900000000003</v>
      </c>
      <c r="I27">
        <v>2653.92</v>
      </c>
      <c r="J27">
        <v>96</v>
      </c>
      <c r="K27">
        <v>5</v>
      </c>
      <c r="L27" t="s">
        <v>148</v>
      </c>
      <c r="M27">
        <v>280</v>
      </c>
      <c r="N27">
        <v>2</v>
      </c>
      <c r="O27">
        <v>31</v>
      </c>
      <c r="P27" t="s">
        <v>215</v>
      </c>
      <c r="Q27" t="s">
        <v>218</v>
      </c>
      <c r="R27">
        <f t="shared" si="4"/>
        <v>4</v>
      </c>
      <c r="S27">
        <f t="shared" si="0"/>
        <v>0.73557692307692313</v>
      </c>
      <c r="T27" t="str">
        <f t="shared" si="2"/>
        <v>Medium Risk</v>
      </c>
      <c r="U27" t="str">
        <f t="shared" si="3"/>
        <v>Monitor Sales</v>
      </c>
    </row>
    <row r="28" spans="1:21" x14ac:dyDescent="0.25">
      <c r="A28">
        <v>27</v>
      </c>
      <c r="B28" t="s">
        <v>40</v>
      </c>
      <c r="C28" t="s">
        <v>116</v>
      </c>
      <c r="D28" t="s">
        <v>121</v>
      </c>
      <c r="E28">
        <v>49</v>
      </c>
      <c r="F28">
        <v>369</v>
      </c>
      <c r="G28">
        <v>350</v>
      </c>
      <c r="H28">
        <v>4343.22</v>
      </c>
      <c r="I28">
        <v>2506.58</v>
      </c>
      <c r="J28">
        <v>148</v>
      </c>
      <c r="K28">
        <v>2</v>
      </c>
      <c r="L28" t="s">
        <v>149</v>
      </c>
      <c r="M28">
        <v>101</v>
      </c>
      <c r="N28">
        <v>4</v>
      </c>
      <c r="O28">
        <v>42</v>
      </c>
      <c r="P28" t="s">
        <v>215</v>
      </c>
      <c r="Q28" t="s">
        <v>219</v>
      </c>
      <c r="R28">
        <f t="shared" si="4"/>
        <v>19</v>
      </c>
      <c r="S28">
        <f t="shared" si="0"/>
        <v>7.5306122448979593</v>
      </c>
      <c r="T28" t="str">
        <f t="shared" si="2"/>
        <v>Low Risk</v>
      </c>
      <c r="U28" t="str">
        <f t="shared" si="3"/>
        <v>Maintain Stock</v>
      </c>
    </row>
    <row r="29" spans="1:21" x14ac:dyDescent="0.25">
      <c r="A29">
        <v>28</v>
      </c>
      <c r="B29" t="s">
        <v>41</v>
      </c>
      <c r="C29" t="s">
        <v>120</v>
      </c>
      <c r="D29" t="s">
        <v>124</v>
      </c>
      <c r="E29">
        <v>53</v>
      </c>
      <c r="F29">
        <v>429</v>
      </c>
      <c r="G29">
        <v>395</v>
      </c>
      <c r="H29">
        <v>767.03</v>
      </c>
      <c r="I29">
        <v>504.18</v>
      </c>
      <c r="J29">
        <v>60</v>
      </c>
      <c r="K29">
        <v>7</v>
      </c>
      <c r="L29" t="s">
        <v>125</v>
      </c>
      <c r="M29">
        <v>170</v>
      </c>
      <c r="N29">
        <v>1</v>
      </c>
      <c r="O29">
        <v>20</v>
      </c>
      <c r="P29" t="s">
        <v>216</v>
      </c>
      <c r="Q29" t="s">
        <v>217</v>
      </c>
      <c r="R29">
        <f t="shared" si="4"/>
        <v>34</v>
      </c>
      <c r="S29">
        <f t="shared" si="0"/>
        <v>8.0943396226415096</v>
      </c>
      <c r="T29" t="str">
        <f t="shared" si="2"/>
        <v>Low Risk</v>
      </c>
      <c r="U29" t="str">
        <f t="shared" si="3"/>
        <v>Maintain Stock</v>
      </c>
    </row>
    <row r="30" spans="1:21" x14ac:dyDescent="0.25">
      <c r="A30">
        <v>29</v>
      </c>
      <c r="B30" t="s">
        <v>42</v>
      </c>
      <c r="C30" t="s">
        <v>116</v>
      </c>
      <c r="D30" t="s">
        <v>124</v>
      </c>
      <c r="E30">
        <v>321</v>
      </c>
      <c r="F30">
        <v>145</v>
      </c>
      <c r="G30">
        <v>172</v>
      </c>
      <c r="H30">
        <v>2148.37</v>
      </c>
      <c r="I30">
        <v>1442.55</v>
      </c>
      <c r="J30">
        <v>94</v>
      </c>
      <c r="K30">
        <v>1</v>
      </c>
      <c r="L30" t="s">
        <v>147</v>
      </c>
      <c r="M30">
        <v>116</v>
      </c>
      <c r="N30">
        <v>4</v>
      </c>
      <c r="O30">
        <v>48</v>
      </c>
      <c r="P30" t="s">
        <v>216</v>
      </c>
      <c r="Q30" t="s">
        <v>218</v>
      </c>
      <c r="R30">
        <f t="shared" si="4"/>
        <v>-27</v>
      </c>
      <c r="S30">
        <f t="shared" si="0"/>
        <v>0.45171339563862928</v>
      </c>
      <c r="T30" t="str">
        <f t="shared" si="2"/>
        <v>High Risk</v>
      </c>
      <c r="U30" t="str">
        <f t="shared" si="3"/>
        <v>Apply Discount / Promotion</v>
      </c>
    </row>
    <row r="31" spans="1:21" x14ac:dyDescent="0.25">
      <c r="A31">
        <v>30</v>
      </c>
      <c r="B31" t="s">
        <v>33</v>
      </c>
      <c r="C31" t="s">
        <v>116</v>
      </c>
      <c r="D31" t="s">
        <v>122</v>
      </c>
      <c r="E31">
        <v>255</v>
      </c>
      <c r="F31">
        <v>106</v>
      </c>
      <c r="G31">
        <v>69</v>
      </c>
      <c r="H31">
        <v>742.31</v>
      </c>
      <c r="I31">
        <v>464.9</v>
      </c>
      <c r="J31">
        <v>109</v>
      </c>
      <c r="K31">
        <v>1</v>
      </c>
      <c r="L31" t="s">
        <v>150</v>
      </c>
      <c r="M31">
        <v>190</v>
      </c>
      <c r="N31">
        <v>3</v>
      </c>
      <c r="O31">
        <v>3</v>
      </c>
      <c r="P31" t="s">
        <v>215</v>
      </c>
      <c r="Q31" t="s">
        <v>219</v>
      </c>
      <c r="R31">
        <f t="shared" si="4"/>
        <v>37</v>
      </c>
      <c r="S31">
        <f t="shared" si="0"/>
        <v>0.41568627450980394</v>
      </c>
      <c r="T31" t="str">
        <f t="shared" si="2"/>
        <v>High Risk</v>
      </c>
      <c r="U31" t="str">
        <f t="shared" si="3"/>
        <v>Apply Discount / Promotion</v>
      </c>
    </row>
    <row r="32" spans="1:21" x14ac:dyDescent="0.25">
      <c r="A32">
        <v>31</v>
      </c>
      <c r="B32" t="s">
        <v>29</v>
      </c>
      <c r="C32" t="s">
        <v>119</v>
      </c>
      <c r="D32" t="s">
        <v>124</v>
      </c>
      <c r="E32">
        <v>455</v>
      </c>
      <c r="F32">
        <v>260</v>
      </c>
      <c r="G32">
        <v>298</v>
      </c>
      <c r="H32">
        <v>408.83</v>
      </c>
      <c r="I32">
        <v>217.87</v>
      </c>
      <c r="J32">
        <v>69</v>
      </c>
      <c r="K32">
        <v>4</v>
      </c>
      <c r="L32" t="s">
        <v>151</v>
      </c>
      <c r="M32">
        <v>133</v>
      </c>
      <c r="N32">
        <v>2</v>
      </c>
      <c r="O32">
        <v>40</v>
      </c>
      <c r="P32" t="s">
        <v>215</v>
      </c>
      <c r="Q32" t="s">
        <v>218</v>
      </c>
      <c r="R32">
        <f t="shared" si="4"/>
        <v>-38</v>
      </c>
      <c r="S32">
        <f t="shared" si="0"/>
        <v>0.5714285714285714</v>
      </c>
      <c r="T32" t="str">
        <f t="shared" si="2"/>
        <v>Medium Risk</v>
      </c>
      <c r="U32" t="str">
        <f t="shared" si="3"/>
        <v>Monitor Sales</v>
      </c>
    </row>
    <row r="33" spans="1:21" x14ac:dyDescent="0.25">
      <c r="A33">
        <v>32</v>
      </c>
      <c r="B33" t="s">
        <v>42</v>
      </c>
      <c r="C33" t="s">
        <v>116</v>
      </c>
      <c r="D33" t="s">
        <v>124</v>
      </c>
      <c r="E33">
        <v>202</v>
      </c>
      <c r="F33">
        <v>301</v>
      </c>
      <c r="G33">
        <v>325</v>
      </c>
      <c r="H33">
        <v>1100.92</v>
      </c>
      <c r="I33">
        <v>754.75</v>
      </c>
      <c r="J33">
        <v>55</v>
      </c>
      <c r="K33">
        <v>13</v>
      </c>
      <c r="L33" t="s">
        <v>152</v>
      </c>
      <c r="M33">
        <v>109</v>
      </c>
      <c r="N33">
        <v>4</v>
      </c>
      <c r="O33">
        <v>16</v>
      </c>
      <c r="P33" t="s">
        <v>216</v>
      </c>
      <c r="Q33" t="s">
        <v>219</v>
      </c>
      <c r="R33">
        <f t="shared" si="4"/>
        <v>-24</v>
      </c>
      <c r="S33">
        <f t="shared" si="0"/>
        <v>1.4900990099009901</v>
      </c>
      <c r="T33" t="str">
        <f t="shared" si="2"/>
        <v>Low Risk</v>
      </c>
      <c r="U33" t="str">
        <f t="shared" si="3"/>
        <v>Maintain Stock</v>
      </c>
    </row>
    <row r="34" spans="1:21" x14ac:dyDescent="0.25">
      <c r="A34">
        <v>33</v>
      </c>
      <c r="B34" t="s">
        <v>28</v>
      </c>
      <c r="C34" t="s">
        <v>116</v>
      </c>
      <c r="D34" t="s">
        <v>123</v>
      </c>
      <c r="E34">
        <v>106</v>
      </c>
      <c r="F34">
        <v>0</v>
      </c>
      <c r="G34">
        <v>14</v>
      </c>
      <c r="H34">
        <v>3639.86</v>
      </c>
      <c r="I34">
        <v>2111.0700000000002</v>
      </c>
      <c r="J34">
        <v>85</v>
      </c>
      <c r="K34">
        <v>11</v>
      </c>
      <c r="L34" t="s">
        <v>153</v>
      </c>
      <c r="M34">
        <v>56</v>
      </c>
      <c r="N34">
        <v>4</v>
      </c>
      <c r="O34">
        <v>36</v>
      </c>
      <c r="P34" t="s">
        <v>216</v>
      </c>
      <c r="Q34" t="s">
        <v>218</v>
      </c>
      <c r="R34">
        <f t="shared" si="4"/>
        <v>-14</v>
      </c>
      <c r="S34">
        <f t="shared" si="0"/>
        <v>0</v>
      </c>
      <c r="T34" t="str">
        <f t="shared" si="2"/>
        <v>High Risk</v>
      </c>
      <c r="U34" t="str">
        <f t="shared" si="3"/>
        <v>Apply Discount / Promotion</v>
      </c>
    </row>
    <row r="35" spans="1:21" x14ac:dyDescent="0.25">
      <c r="A35">
        <v>34</v>
      </c>
      <c r="B35" t="s">
        <v>43</v>
      </c>
      <c r="C35" t="s">
        <v>120</v>
      </c>
      <c r="D35" t="s">
        <v>123</v>
      </c>
      <c r="E35">
        <v>36</v>
      </c>
      <c r="F35">
        <v>23</v>
      </c>
      <c r="G35">
        <v>27</v>
      </c>
      <c r="H35">
        <v>1945.04</v>
      </c>
      <c r="I35">
        <v>1221.8399999999999</v>
      </c>
      <c r="J35">
        <v>100</v>
      </c>
      <c r="K35">
        <v>8</v>
      </c>
      <c r="L35" t="s">
        <v>143</v>
      </c>
      <c r="M35">
        <v>50</v>
      </c>
      <c r="N35">
        <v>1</v>
      </c>
      <c r="O35">
        <v>7</v>
      </c>
      <c r="P35" t="s">
        <v>216</v>
      </c>
      <c r="Q35" t="s">
        <v>219</v>
      </c>
      <c r="R35">
        <f t="shared" si="4"/>
        <v>-4</v>
      </c>
      <c r="S35">
        <f t="shared" si="0"/>
        <v>0.63888888888888884</v>
      </c>
      <c r="T35" t="str">
        <f t="shared" si="2"/>
        <v>Medium Risk</v>
      </c>
      <c r="U35" t="str">
        <f t="shared" si="3"/>
        <v>Monitor Sales</v>
      </c>
    </row>
    <row r="36" spans="1:21" x14ac:dyDescent="0.25">
      <c r="A36">
        <v>35</v>
      </c>
      <c r="B36" t="s">
        <v>26</v>
      </c>
      <c r="C36" t="s">
        <v>119</v>
      </c>
      <c r="D36" t="s">
        <v>122</v>
      </c>
      <c r="E36">
        <v>194</v>
      </c>
      <c r="F36">
        <v>355</v>
      </c>
      <c r="G36">
        <v>307</v>
      </c>
      <c r="H36">
        <v>1789.49</v>
      </c>
      <c r="I36">
        <v>1054.77</v>
      </c>
      <c r="J36">
        <v>127</v>
      </c>
      <c r="K36">
        <v>10</v>
      </c>
      <c r="L36" t="s">
        <v>154</v>
      </c>
      <c r="M36">
        <v>125</v>
      </c>
      <c r="N36">
        <v>1</v>
      </c>
      <c r="O36">
        <v>50</v>
      </c>
      <c r="P36" t="s">
        <v>216</v>
      </c>
      <c r="Q36" t="s">
        <v>219</v>
      </c>
      <c r="R36">
        <f t="shared" si="4"/>
        <v>48</v>
      </c>
      <c r="S36">
        <f t="shared" si="0"/>
        <v>1.8298969072164948</v>
      </c>
      <c r="T36" t="str">
        <f t="shared" si="2"/>
        <v>Low Risk</v>
      </c>
      <c r="U36" t="str">
        <f t="shared" si="3"/>
        <v>Maintain Stock</v>
      </c>
    </row>
    <row r="37" spans="1:21" x14ac:dyDescent="0.25">
      <c r="A37">
        <v>36</v>
      </c>
      <c r="B37" t="s">
        <v>44</v>
      </c>
      <c r="C37" t="s">
        <v>118</v>
      </c>
      <c r="D37" t="s">
        <v>123</v>
      </c>
      <c r="E37">
        <v>321</v>
      </c>
      <c r="F37">
        <v>267</v>
      </c>
      <c r="G37">
        <v>245</v>
      </c>
      <c r="H37">
        <v>1094.27</v>
      </c>
      <c r="I37">
        <v>591.78</v>
      </c>
      <c r="J37">
        <v>33</v>
      </c>
      <c r="K37">
        <v>7</v>
      </c>
      <c r="L37" t="s">
        <v>155</v>
      </c>
      <c r="M37">
        <v>224</v>
      </c>
      <c r="N37">
        <v>1</v>
      </c>
      <c r="O37">
        <v>19</v>
      </c>
      <c r="P37" t="s">
        <v>216</v>
      </c>
      <c r="Q37" t="s">
        <v>219</v>
      </c>
      <c r="R37">
        <f t="shared" si="4"/>
        <v>22</v>
      </c>
      <c r="S37">
        <f t="shared" si="0"/>
        <v>0.83177570093457942</v>
      </c>
      <c r="T37" t="str">
        <f t="shared" si="2"/>
        <v>Medium Risk</v>
      </c>
      <c r="U37" t="str">
        <f t="shared" si="3"/>
        <v>Monitor Sales</v>
      </c>
    </row>
    <row r="38" spans="1:21" x14ac:dyDescent="0.25">
      <c r="A38">
        <v>37</v>
      </c>
      <c r="B38" t="s">
        <v>45</v>
      </c>
      <c r="C38" t="s">
        <v>119</v>
      </c>
      <c r="D38" t="s">
        <v>122</v>
      </c>
      <c r="E38">
        <v>217</v>
      </c>
      <c r="F38">
        <v>191</v>
      </c>
      <c r="G38">
        <v>191</v>
      </c>
      <c r="H38">
        <v>304.48</v>
      </c>
      <c r="I38">
        <v>177.07</v>
      </c>
      <c r="J38">
        <v>121</v>
      </c>
      <c r="K38">
        <v>1</v>
      </c>
      <c r="L38" t="s">
        <v>156</v>
      </c>
      <c r="M38">
        <v>118</v>
      </c>
      <c r="N38">
        <v>2</v>
      </c>
      <c r="O38">
        <v>0</v>
      </c>
      <c r="P38" t="s">
        <v>216</v>
      </c>
      <c r="Q38" t="s">
        <v>217</v>
      </c>
      <c r="R38">
        <f t="shared" si="4"/>
        <v>0</v>
      </c>
      <c r="S38">
        <f t="shared" si="0"/>
        <v>0.88018433179723499</v>
      </c>
      <c r="T38" t="str">
        <f t="shared" si="2"/>
        <v>Medium Risk</v>
      </c>
      <c r="U38" t="str">
        <f t="shared" si="3"/>
        <v>Monitor Sales</v>
      </c>
    </row>
    <row r="39" spans="1:21" x14ac:dyDescent="0.25">
      <c r="A39">
        <v>38</v>
      </c>
      <c r="B39" t="s">
        <v>20</v>
      </c>
      <c r="C39" t="s">
        <v>120</v>
      </c>
      <c r="D39" t="s">
        <v>123</v>
      </c>
      <c r="E39">
        <v>327</v>
      </c>
      <c r="F39">
        <v>128</v>
      </c>
      <c r="G39">
        <v>165</v>
      </c>
      <c r="H39">
        <v>4427.17</v>
      </c>
      <c r="I39">
        <v>2537.88</v>
      </c>
      <c r="J39">
        <v>111</v>
      </c>
      <c r="K39">
        <v>14</v>
      </c>
      <c r="L39" t="s">
        <v>157</v>
      </c>
      <c r="M39">
        <v>254</v>
      </c>
      <c r="N39">
        <v>1</v>
      </c>
      <c r="O39">
        <v>34</v>
      </c>
      <c r="P39" t="s">
        <v>215</v>
      </c>
      <c r="Q39" t="s">
        <v>219</v>
      </c>
      <c r="R39">
        <f t="shared" si="4"/>
        <v>-37</v>
      </c>
      <c r="S39">
        <f t="shared" si="0"/>
        <v>0.39143730886850153</v>
      </c>
      <c r="T39" t="str">
        <f t="shared" si="2"/>
        <v>High Risk</v>
      </c>
      <c r="U39" t="str">
        <f t="shared" si="3"/>
        <v>Apply Discount / Promotion</v>
      </c>
    </row>
    <row r="40" spans="1:21" x14ac:dyDescent="0.25">
      <c r="A40">
        <v>39</v>
      </c>
      <c r="B40" t="s">
        <v>46</v>
      </c>
      <c r="C40" t="s">
        <v>118</v>
      </c>
      <c r="D40" t="s">
        <v>122</v>
      </c>
      <c r="E40">
        <v>496</v>
      </c>
      <c r="F40">
        <v>102</v>
      </c>
      <c r="G40">
        <v>56</v>
      </c>
      <c r="H40">
        <v>2371.12</v>
      </c>
      <c r="I40">
        <v>1536.43</v>
      </c>
      <c r="J40">
        <v>38</v>
      </c>
      <c r="K40">
        <v>3</v>
      </c>
      <c r="L40" t="s">
        <v>137</v>
      </c>
      <c r="M40">
        <v>204</v>
      </c>
      <c r="N40">
        <v>2</v>
      </c>
      <c r="O40">
        <v>14</v>
      </c>
      <c r="P40" t="s">
        <v>215</v>
      </c>
      <c r="Q40" t="s">
        <v>219</v>
      </c>
      <c r="R40">
        <f t="shared" si="4"/>
        <v>46</v>
      </c>
      <c r="S40">
        <f t="shared" si="0"/>
        <v>0.20564516129032259</v>
      </c>
      <c r="T40" t="str">
        <f t="shared" si="2"/>
        <v>High Risk</v>
      </c>
      <c r="U40" t="str">
        <f t="shared" si="3"/>
        <v>Apply Discount / Promotion</v>
      </c>
    </row>
    <row r="41" spans="1:21" x14ac:dyDescent="0.25">
      <c r="A41">
        <v>40</v>
      </c>
      <c r="B41" t="s">
        <v>39</v>
      </c>
      <c r="C41" t="s">
        <v>118</v>
      </c>
      <c r="D41" t="s">
        <v>124</v>
      </c>
      <c r="E41">
        <v>249</v>
      </c>
      <c r="F41">
        <v>409</v>
      </c>
      <c r="G41">
        <v>376</v>
      </c>
      <c r="H41">
        <v>1174.97</v>
      </c>
      <c r="I41">
        <v>607.71</v>
      </c>
      <c r="J41">
        <v>150</v>
      </c>
      <c r="K41">
        <v>1</v>
      </c>
      <c r="L41" t="s">
        <v>158</v>
      </c>
      <c r="M41">
        <v>292</v>
      </c>
      <c r="N41">
        <v>4</v>
      </c>
      <c r="O41">
        <v>50</v>
      </c>
      <c r="P41" t="s">
        <v>215</v>
      </c>
      <c r="Q41" t="s">
        <v>219</v>
      </c>
      <c r="R41">
        <f t="shared" si="4"/>
        <v>33</v>
      </c>
      <c r="S41">
        <f t="shared" si="0"/>
        <v>1.642570281124498</v>
      </c>
      <c r="T41" t="str">
        <f t="shared" si="2"/>
        <v>Low Risk</v>
      </c>
      <c r="U41" t="str">
        <f t="shared" si="3"/>
        <v>Maintain Stock</v>
      </c>
    </row>
    <row r="42" spans="1:21" x14ac:dyDescent="0.25">
      <c r="A42">
        <v>41</v>
      </c>
      <c r="B42" t="s">
        <v>47</v>
      </c>
      <c r="C42" t="s">
        <v>118</v>
      </c>
      <c r="D42" t="s">
        <v>123</v>
      </c>
      <c r="E42">
        <v>106</v>
      </c>
      <c r="F42">
        <v>233</v>
      </c>
      <c r="G42">
        <v>248</v>
      </c>
      <c r="H42">
        <v>3836.18</v>
      </c>
      <c r="I42">
        <v>2893.38</v>
      </c>
      <c r="J42">
        <v>112</v>
      </c>
      <c r="K42">
        <v>5</v>
      </c>
      <c r="L42" t="s">
        <v>133</v>
      </c>
      <c r="M42">
        <v>244</v>
      </c>
      <c r="N42">
        <v>4</v>
      </c>
      <c r="O42">
        <v>39</v>
      </c>
      <c r="P42" t="s">
        <v>216</v>
      </c>
      <c r="Q42" t="s">
        <v>219</v>
      </c>
      <c r="R42">
        <f t="shared" si="4"/>
        <v>-15</v>
      </c>
      <c r="S42">
        <f t="shared" si="0"/>
        <v>2.1981132075471699</v>
      </c>
      <c r="T42" t="str">
        <f t="shared" si="2"/>
        <v>Low Risk</v>
      </c>
      <c r="U42" t="str">
        <f t="shared" si="3"/>
        <v>Maintain Stock</v>
      </c>
    </row>
    <row r="43" spans="1:21" x14ac:dyDescent="0.25">
      <c r="A43">
        <v>42</v>
      </c>
      <c r="B43" t="s">
        <v>48</v>
      </c>
      <c r="C43" t="s">
        <v>116</v>
      </c>
      <c r="D43" t="s">
        <v>123</v>
      </c>
      <c r="E43">
        <v>428</v>
      </c>
      <c r="F43">
        <v>142</v>
      </c>
      <c r="G43">
        <v>171</v>
      </c>
      <c r="H43">
        <v>2853.06</v>
      </c>
      <c r="I43">
        <v>1803.61</v>
      </c>
      <c r="J43">
        <v>48</v>
      </c>
      <c r="K43">
        <v>12</v>
      </c>
      <c r="L43" t="s">
        <v>129</v>
      </c>
      <c r="M43">
        <v>301</v>
      </c>
      <c r="N43">
        <v>1</v>
      </c>
      <c r="O43">
        <v>40</v>
      </c>
      <c r="P43" t="s">
        <v>216</v>
      </c>
      <c r="Q43" t="s">
        <v>217</v>
      </c>
      <c r="R43">
        <f t="shared" si="4"/>
        <v>-29</v>
      </c>
      <c r="S43">
        <f t="shared" si="0"/>
        <v>0.33177570093457942</v>
      </c>
      <c r="T43" t="str">
        <f t="shared" si="2"/>
        <v>High Risk</v>
      </c>
      <c r="U43" t="str">
        <f t="shared" si="3"/>
        <v>Apply Discount / Promotion</v>
      </c>
    </row>
    <row r="44" spans="1:21" x14ac:dyDescent="0.25">
      <c r="A44">
        <v>43</v>
      </c>
      <c r="B44" t="s">
        <v>49</v>
      </c>
      <c r="C44" t="s">
        <v>120</v>
      </c>
      <c r="D44" t="s">
        <v>124</v>
      </c>
      <c r="E44">
        <v>340</v>
      </c>
      <c r="F44">
        <v>245</v>
      </c>
      <c r="G44">
        <v>229</v>
      </c>
      <c r="H44">
        <v>998.4</v>
      </c>
      <c r="I44">
        <v>580.88</v>
      </c>
      <c r="J44">
        <v>113</v>
      </c>
      <c r="K44">
        <v>3</v>
      </c>
      <c r="L44" t="s">
        <v>149</v>
      </c>
      <c r="M44">
        <v>204</v>
      </c>
      <c r="N44">
        <v>1</v>
      </c>
      <c r="O44">
        <v>5</v>
      </c>
      <c r="P44" t="s">
        <v>216</v>
      </c>
      <c r="Q44" t="s">
        <v>218</v>
      </c>
      <c r="R44">
        <f t="shared" si="4"/>
        <v>16</v>
      </c>
      <c r="S44">
        <f t="shared" si="0"/>
        <v>0.72058823529411764</v>
      </c>
      <c r="T44" t="str">
        <f t="shared" si="2"/>
        <v>Medium Risk</v>
      </c>
      <c r="U44" t="str">
        <f t="shared" si="3"/>
        <v>Monitor Sales</v>
      </c>
    </row>
    <row r="45" spans="1:21" x14ac:dyDescent="0.25">
      <c r="A45">
        <v>44</v>
      </c>
      <c r="B45" t="s">
        <v>50</v>
      </c>
      <c r="C45" t="s">
        <v>119</v>
      </c>
      <c r="D45" t="s">
        <v>123</v>
      </c>
      <c r="E45">
        <v>193</v>
      </c>
      <c r="F45">
        <v>309</v>
      </c>
      <c r="G45">
        <v>298</v>
      </c>
      <c r="H45">
        <v>4086.49</v>
      </c>
      <c r="I45">
        <v>3066.6</v>
      </c>
      <c r="J45">
        <v>73</v>
      </c>
      <c r="K45">
        <v>13</v>
      </c>
      <c r="L45" t="s">
        <v>159</v>
      </c>
      <c r="M45">
        <v>152</v>
      </c>
      <c r="N45">
        <v>5</v>
      </c>
      <c r="O45">
        <v>50</v>
      </c>
      <c r="P45" t="s">
        <v>216</v>
      </c>
      <c r="Q45" t="s">
        <v>218</v>
      </c>
      <c r="R45">
        <f t="shared" si="4"/>
        <v>11</v>
      </c>
      <c r="S45">
        <f t="shared" si="0"/>
        <v>1.6010362694300517</v>
      </c>
      <c r="T45" t="str">
        <f t="shared" si="2"/>
        <v>Low Risk</v>
      </c>
      <c r="U45" t="str">
        <f t="shared" si="3"/>
        <v>Maintain Stock</v>
      </c>
    </row>
    <row r="46" spans="1:21" x14ac:dyDescent="0.25">
      <c r="A46">
        <v>45</v>
      </c>
      <c r="B46" t="s">
        <v>45</v>
      </c>
      <c r="C46" t="s">
        <v>117</v>
      </c>
      <c r="D46" t="s">
        <v>124</v>
      </c>
      <c r="E46">
        <v>464</v>
      </c>
      <c r="F46">
        <v>356</v>
      </c>
      <c r="G46">
        <v>315</v>
      </c>
      <c r="H46">
        <v>3090.84</v>
      </c>
      <c r="I46">
        <v>1578.32</v>
      </c>
      <c r="J46">
        <v>126</v>
      </c>
      <c r="K46">
        <v>15</v>
      </c>
      <c r="L46" t="s">
        <v>160</v>
      </c>
      <c r="M46">
        <v>314</v>
      </c>
      <c r="N46">
        <v>5</v>
      </c>
      <c r="O46">
        <v>49</v>
      </c>
      <c r="P46" t="s">
        <v>215</v>
      </c>
      <c r="Q46" t="s">
        <v>219</v>
      </c>
      <c r="R46">
        <f t="shared" si="4"/>
        <v>41</v>
      </c>
      <c r="S46">
        <f t="shared" si="0"/>
        <v>0.76724137931034486</v>
      </c>
      <c r="T46" t="str">
        <f t="shared" si="2"/>
        <v>Medium Risk</v>
      </c>
      <c r="U46" t="str">
        <f t="shared" si="3"/>
        <v>Monitor Sales</v>
      </c>
    </row>
    <row r="47" spans="1:21" x14ac:dyDescent="0.25">
      <c r="A47">
        <v>46</v>
      </c>
      <c r="B47" t="s">
        <v>51</v>
      </c>
      <c r="C47" t="s">
        <v>117</v>
      </c>
      <c r="D47" t="s">
        <v>123</v>
      </c>
      <c r="E47">
        <v>500</v>
      </c>
      <c r="F47">
        <v>130</v>
      </c>
      <c r="G47">
        <v>118</v>
      </c>
      <c r="H47">
        <v>1892.32</v>
      </c>
      <c r="I47">
        <v>1045.45</v>
      </c>
      <c r="J47">
        <v>149</v>
      </c>
      <c r="K47">
        <v>15</v>
      </c>
      <c r="L47" t="s">
        <v>161</v>
      </c>
      <c r="M47">
        <v>203</v>
      </c>
      <c r="N47">
        <v>4</v>
      </c>
      <c r="O47">
        <v>30</v>
      </c>
      <c r="P47" t="s">
        <v>215</v>
      </c>
      <c r="Q47" t="s">
        <v>218</v>
      </c>
      <c r="R47">
        <f t="shared" si="4"/>
        <v>12</v>
      </c>
      <c r="S47">
        <f t="shared" si="0"/>
        <v>0.26</v>
      </c>
      <c r="T47" t="str">
        <f t="shared" si="2"/>
        <v>High Risk</v>
      </c>
      <c r="U47" t="str">
        <f t="shared" si="3"/>
        <v>Apply Discount / Promotion</v>
      </c>
    </row>
    <row r="48" spans="1:21" x14ac:dyDescent="0.25">
      <c r="A48">
        <v>47</v>
      </c>
      <c r="B48" t="s">
        <v>51</v>
      </c>
      <c r="C48" t="s">
        <v>119</v>
      </c>
      <c r="D48" t="s">
        <v>122</v>
      </c>
      <c r="E48">
        <v>37</v>
      </c>
      <c r="F48">
        <v>194</v>
      </c>
      <c r="G48">
        <v>210</v>
      </c>
      <c r="H48">
        <v>2144.34</v>
      </c>
      <c r="I48">
        <v>1155.6300000000001</v>
      </c>
      <c r="J48">
        <v>46</v>
      </c>
      <c r="K48">
        <v>9</v>
      </c>
      <c r="L48" t="s">
        <v>162</v>
      </c>
      <c r="M48">
        <v>266</v>
      </c>
      <c r="N48">
        <v>4</v>
      </c>
      <c r="O48">
        <v>8</v>
      </c>
      <c r="P48" t="s">
        <v>216</v>
      </c>
      <c r="Q48" t="s">
        <v>217</v>
      </c>
      <c r="R48">
        <f t="shared" si="4"/>
        <v>-16</v>
      </c>
      <c r="S48">
        <f t="shared" si="0"/>
        <v>5.243243243243243</v>
      </c>
      <c r="T48" t="str">
        <f t="shared" si="2"/>
        <v>Low Risk</v>
      </c>
      <c r="U48" t="str">
        <f t="shared" si="3"/>
        <v>Maintain Stock</v>
      </c>
    </row>
    <row r="49" spans="1:21" x14ac:dyDescent="0.25">
      <c r="A49">
        <v>48</v>
      </c>
      <c r="B49" t="s">
        <v>52</v>
      </c>
      <c r="C49" t="s">
        <v>116</v>
      </c>
      <c r="D49" t="s">
        <v>121</v>
      </c>
      <c r="E49">
        <v>389</v>
      </c>
      <c r="F49">
        <v>223</v>
      </c>
      <c r="G49">
        <v>189</v>
      </c>
      <c r="H49">
        <v>3533.45</v>
      </c>
      <c r="I49">
        <v>2718.71</v>
      </c>
      <c r="J49">
        <v>118</v>
      </c>
      <c r="K49">
        <v>10</v>
      </c>
      <c r="L49" t="s">
        <v>163</v>
      </c>
      <c r="M49">
        <v>125</v>
      </c>
      <c r="N49">
        <v>5</v>
      </c>
      <c r="O49">
        <v>41</v>
      </c>
      <c r="P49" t="s">
        <v>216</v>
      </c>
      <c r="Q49" t="s">
        <v>219</v>
      </c>
      <c r="R49">
        <f t="shared" si="4"/>
        <v>34</v>
      </c>
      <c r="S49">
        <f t="shared" si="0"/>
        <v>0.57326478149100257</v>
      </c>
      <c r="T49" t="str">
        <f t="shared" si="2"/>
        <v>Medium Risk</v>
      </c>
      <c r="U49" t="str">
        <f t="shared" si="3"/>
        <v>Monitor Sales</v>
      </c>
    </row>
    <row r="50" spans="1:21" x14ac:dyDescent="0.25">
      <c r="A50">
        <v>49</v>
      </c>
      <c r="B50" t="s">
        <v>53</v>
      </c>
      <c r="C50" t="s">
        <v>117</v>
      </c>
      <c r="D50" t="s">
        <v>124</v>
      </c>
      <c r="E50">
        <v>431</v>
      </c>
      <c r="F50">
        <v>207</v>
      </c>
      <c r="G50">
        <v>233</v>
      </c>
      <c r="H50">
        <v>3909.93</v>
      </c>
      <c r="I50">
        <v>3012.95</v>
      </c>
      <c r="J50">
        <v>79</v>
      </c>
      <c r="K50">
        <v>10</v>
      </c>
      <c r="L50" t="s">
        <v>164</v>
      </c>
      <c r="M50">
        <v>300</v>
      </c>
      <c r="N50">
        <v>3</v>
      </c>
      <c r="O50">
        <v>0</v>
      </c>
      <c r="P50" t="s">
        <v>216</v>
      </c>
      <c r="Q50" t="s">
        <v>218</v>
      </c>
      <c r="R50">
        <f t="shared" si="4"/>
        <v>-26</v>
      </c>
      <c r="S50">
        <f t="shared" si="0"/>
        <v>0.48027842227378192</v>
      </c>
      <c r="T50" t="str">
        <f t="shared" si="2"/>
        <v>High Risk</v>
      </c>
      <c r="U50" t="str">
        <f t="shared" si="3"/>
        <v>Apply Discount / Promotion</v>
      </c>
    </row>
    <row r="51" spans="1:21" x14ac:dyDescent="0.25">
      <c r="A51">
        <v>50</v>
      </c>
      <c r="B51" t="s">
        <v>54</v>
      </c>
      <c r="C51" t="s">
        <v>119</v>
      </c>
      <c r="D51" t="s">
        <v>123</v>
      </c>
      <c r="E51">
        <v>65</v>
      </c>
      <c r="F51">
        <v>156</v>
      </c>
      <c r="G51">
        <v>182</v>
      </c>
      <c r="H51">
        <v>2564.31</v>
      </c>
      <c r="I51">
        <v>2031.34</v>
      </c>
      <c r="J51">
        <v>73</v>
      </c>
      <c r="K51">
        <v>7</v>
      </c>
      <c r="L51" t="s">
        <v>133</v>
      </c>
      <c r="M51">
        <v>230</v>
      </c>
      <c r="N51">
        <v>1</v>
      </c>
      <c r="O51">
        <v>10</v>
      </c>
      <c r="P51" t="s">
        <v>215</v>
      </c>
      <c r="Q51" t="s">
        <v>219</v>
      </c>
      <c r="R51">
        <f t="shared" si="4"/>
        <v>-26</v>
      </c>
      <c r="S51">
        <f t="shared" si="0"/>
        <v>2.4</v>
      </c>
      <c r="T51" t="str">
        <f t="shared" si="2"/>
        <v>Low Risk</v>
      </c>
      <c r="U51" t="str">
        <f t="shared" si="3"/>
        <v>Maintain Stock</v>
      </c>
    </row>
    <row r="52" spans="1:21" x14ac:dyDescent="0.25">
      <c r="A52">
        <v>51</v>
      </c>
      <c r="B52" t="s">
        <v>55</v>
      </c>
      <c r="C52" t="s">
        <v>118</v>
      </c>
      <c r="D52" t="s">
        <v>124</v>
      </c>
      <c r="E52">
        <v>217</v>
      </c>
      <c r="F52">
        <v>47</v>
      </c>
      <c r="G52">
        <v>16</v>
      </c>
      <c r="H52">
        <v>2812.84</v>
      </c>
      <c r="I52">
        <v>2192.86</v>
      </c>
      <c r="J52">
        <v>69</v>
      </c>
      <c r="K52">
        <v>12</v>
      </c>
      <c r="L52" t="s">
        <v>125</v>
      </c>
      <c r="M52">
        <v>68</v>
      </c>
      <c r="N52">
        <v>5</v>
      </c>
      <c r="O52">
        <v>36</v>
      </c>
      <c r="P52" t="s">
        <v>215</v>
      </c>
      <c r="Q52" t="s">
        <v>218</v>
      </c>
      <c r="R52">
        <f t="shared" si="4"/>
        <v>31</v>
      </c>
      <c r="S52">
        <f t="shared" si="0"/>
        <v>0.21658986175115208</v>
      </c>
      <c r="T52" t="str">
        <f t="shared" si="2"/>
        <v>High Risk</v>
      </c>
      <c r="U52" t="str">
        <f t="shared" si="3"/>
        <v>Apply Discount / Promotion</v>
      </c>
    </row>
    <row r="53" spans="1:21" x14ac:dyDescent="0.25">
      <c r="A53">
        <v>52</v>
      </c>
      <c r="B53" t="s">
        <v>28</v>
      </c>
      <c r="C53" t="s">
        <v>117</v>
      </c>
      <c r="D53" t="s">
        <v>122</v>
      </c>
      <c r="E53">
        <v>187</v>
      </c>
      <c r="F53">
        <v>22</v>
      </c>
      <c r="G53">
        <v>66</v>
      </c>
      <c r="H53">
        <v>3417.37</v>
      </c>
      <c r="I53">
        <v>1736.79</v>
      </c>
      <c r="J53">
        <v>103</v>
      </c>
      <c r="K53">
        <v>12</v>
      </c>
      <c r="L53" t="s">
        <v>165</v>
      </c>
      <c r="M53">
        <v>74</v>
      </c>
      <c r="N53">
        <v>4</v>
      </c>
      <c r="O53">
        <v>4</v>
      </c>
      <c r="P53" t="s">
        <v>215</v>
      </c>
      <c r="Q53" t="s">
        <v>218</v>
      </c>
      <c r="R53">
        <f t="shared" si="4"/>
        <v>-44</v>
      </c>
      <c r="S53">
        <f t="shared" si="0"/>
        <v>0.11764705882352941</v>
      </c>
      <c r="T53" t="str">
        <f t="shared" si="2"/>
        <v>High Risk</v>
      </c>
      <c r="U53" t="str">
        <f t="shared" si="3"/>
        <v>Apply Discount / Promotion</v>
      </c>
    </row>
    <row r="54" spans="1:21" x14ac:dyDescent="0.25">
      <c r="A54">
        <v>53</v>
      </c>
      <c r="B54" t="s">
        <v>56</v>
      </c>
      <c r="C54" t="s">
        <v>117</v>
      </c>
      <c r="D54" t="s">
        <v>123</v>
      </c>
      <c r="E54">
        <v>336</v>
      </c>
      <c r="F54">
        <v>251</v>
      </c>
      <c r="G54">
        <v>300</v>
      </c>
      <c r="H54">
        <v>4466.45</v>
      </c>
      <c r="I54">
        <v>2235.89</v>
      </c>
      <c r="J54">
        <v>78</v>
      </c>
      <c r="K54">
        <v>4</v>
      </c>
      <c r="L54" t="s">
        <v>165</v>
      </c>
      <c r="M54">
        <v>237</v>
      </c>
      <c r="N54">
        <v>4</v>
      </c>
      <c r="O54">
        <v>36</v>
      </c>
      <c r="P54" t="s">
        <v>216</v>
      </c>
      <c r="Q54" t="s">
        <v>219</v>
      </c>
      <c r="R54">
        <f t="shared" si="4"/>
        <v>-49</v>
      </c>
      <c r="S54">
        <f t="shared" si="0"/>
        <v>0.74702380952380953</v>
      </c>
      <c r="T54" t="str">
        <f t="shared" si="2"/>
        <v>Medium Risk</v>
      </c>
      <c r="U54" t="str">
        <f t="shared" si="3"/>
        <v>Monitor Sales</v>
      </c>
    </row>
    <row r="55" spans="1:21" x14ac:dyDescent="0.25">
      <c r="A55">
        <v>54</v>
      </c>
      <c r="B55" t="s">
        <v>57</v>
      </c>
      <c r="C55" t="s">
        <v>116</v>
      </c>
      <c r="D55" t="s">
        <v>123</v>
      </c>
      <c r="E55">
        <v>346</v>
      </c>
      <c r="F55">
        <v>299</v>
      </c>
      <c r="G55">
        <v>325</v>
      </c>
      <c r="H55">
        <v>2406.9499999999998</v>
      </c>
      <c r="I55">
        <v>1763.33</v>
      </c>
      <c r="J55">
        <v>109</v>
      </c>
      <c r="K55">
        <v>2</v>
      </c>
      <c r="L55" t="s">
        <v>153</v>
      </c>
      <c r="M55">
        <v>183</v>
      </c>
      <c r="N55">
        <v>5</v>
      </c>
      <c r="O55">
        <v>44</v>
      </c>
      <c r="P55" t="s">
        <v>216</v>
      </c>
      <c r="Q55" t="s">
        <v>217</v>
      </c>
      <c r="R55">
        <f t="shared" si="4"/>
        <v>-26</v>
      </c>
      <c r="S55">
        <f t="shared" si="0"/>
        <v>0.86416184971098264</v>
      </c>
      <c r="T55" t="str">
        <f t="shared" si="2"/>
        <v>Medium Risk</v>
      </c>
      <c r="U55" t="str">
        <f t="shared" si="3"/>
        <v>Monitor Sales</v>
      </c>
    </row>
    <row r="56" spans="1:21" x14ac:dyDescent="0.25">
      <c r="A56">
        <v>55</v>
      </c>
      <c r="B56" t="s">
        <v>40</v>
      </c>
      <c r="C56" t="s">
        <v>117</v>
      </c>
      <c r="D56" t="s">
        <v>123</v>
      </c>
      <c r="E56">
        <v>312</v>
      </c>
      <c r="F56">
        <v>152</v>
      </c>
      <c r="G56">
        <v>156</v>
      </c>
      <c r="H56">
        <v>491.11</v>
      </c>
      <c r="I56">
        <v>273.72000000000003</v>
      </c>
      <c r="J56">
        <v>137</v>
      </c>
      <c r="K56">
        <v>8</v>
      </c>
      <c r="L56" t="s">
        <v>166</v>
      </c>
      <c r="M56">
        <v>196</v>
      </c>
      <c r="N56">
        <v>3</v>
      </c>
      <c r="O56">
        <v>47</v>
      </c>
      <c r="P56" t="s">
        <v>216</v>
      </c>
      <c r="Q56" t="s">
        <v>219</v>
      </c>
      <c r="R56">
        <f t="shared" si="4"/>
        <v>-4</v>
      </c>
      <c r="S56">
        <f t="shared" si="0"/>
        <v>0.48717948717948717</v>
      </c>
      <c r="T56" t="str">
        <f t="shared" si="2"/>
        <v>High Risk</v>
      </c>
      <c r="U56" t="str">
        <f t="shared" si="3"/>
        <v>Apply Discount / Promotion</v>
      </c>
    </row>
    <row r="57" spans="1:21" x14ac:dyDescent="0.25">
      <c r="A57">
        <v>56</v>
      </c>
      <c r="B57" t="s">
        <v>58</v>
      </c>
      <c r="C57" t="s">
        <v>120</v>
      </c>
      <c r="D57" t="s">
        <v>124</v>
      </c>
      <c r="E57">
        <v>428</v>
      </c>
      <c r="F57">
        <v>127</v>
      </c>
      <c r="G57">
        <v>136</v>
      </c>
      <c r="H57">
        <v>4552.08</v>
      </c>
      <c r="I57">
        <v>3042.39</v>
      </c>
      <c r="J57">
        <v>121</v>
      </c>
      <c r="K57">
        <v>4</v>
      </c>
      <c r="L57" t="s">
        <v>167</v>
      </c>
      <c r="M57">
        <v>57</v>
      </c>
      <c r="N57">
        <v>1</v>
      </c>
      <c r="O57">
        <v>23</v>
      </c>
      <c r="P57" t="s">
        <v>216</v>
      </c>
      <c r="Q57" t="s">
        <v>217</v>
      </c>
      <c r="R57">
        <f t="shared" si="4"/>
        <v>-9</v>
      </c>
      <c r="S57">
        <f t="shared" si="0"/>
        <v>0.29672897196261683</v>
      </c>
      <c r="T57" t="str">
        <f t="shared" si="2"/>
        <v>High Risk</v>
      </c>
      <c r="U57" t="str">
        <f t="shared" si="3"/>
        <v>Apply Discount / Promotion</v>
      </c>
    </row>
    <row r="58" spans="1:21" x14ac:dyDescent="0.25">
      <c r="A58">
        <v>57</v>
      </c>
      <c r="B58" t="s">
        <v>59</v>
      </c>
      <c r="C58" t="s">
        <v>116</v>
      </c>
      <c r="D58" t="s">
        <v>124</v>
      </c>
      <c r="E58">
        <v>310</v>
      </c>
      <c r="F58">
        <v>110</v>
      </c>
      <c r="G58">
        <v>160</v>
      </c>
      <c r="H58">
        <v>3548.04</v>
      </c>
      <c r="I58">
        <v>2710.53</v>
      </c>
      <c r="J58">
        <v>75</v>
      </c>
      <c r="K58">
        <v>12</v>
      </c>
      <c r="L58" t="s">
        <v>141</v>
      </c>
      <c r="M58">
        <v>297</v>
      </c>
      <c r="N58">
        <v>3</v>
      </c>
      <c r="O58">
        <v>14</v>
      </c>
      <c r="P58" t="s">
        <v>215</v>
      </c>
      <c r="Q58" t="s">
        <v>219</v>
      </c>
      <c r="R58">
        <f t="shared" si="4"/>
        <v>-50</v>
      </c>
      <c r="S58">
        <f t="shared" si="0"/>
        <v>0.35483870967741937</v>
      </c>
      <c r="T58" t="str">
        <f t="shared" si="2"/>
        <v>High Risk</v>
      </c>
      <c r="U58" t="str">
        <f t="shared" si="3"/>
        <v>Apply Discount / Promotion</v>
      </c>
    </row>
    <row r="59" spans="1:21" x14ac:dyDescent="0.25">
      <c r="A59">
        <v>58</v>
      </c>
      <c r="B59" t="s">
        <v>51</v>
      </c>
      <c r="C59" t="s">
        <v>116</v>
      </c>
      <c r="D59" t="s">
        <v>121</v>
      </c>
      <c r="E59">
        <v>336</v>
      </c>
      <c r="F59">
        <v>38</v>
      </c>
      <c r="G59">
        <v>72</v>
      </c>
      <c r="H59">
        <v>3653.72</v>
      </c>
      <c r="I59">
        <v>2286.7399999999998</v>
      </c>
      <c r="J59">
        <v>147</v>
      </c>
      <c r="K59">
        <v>4</v>
      </c>
      <c r="L59" t="s">
        <v>168</v>
      </c>
      <c r="M59">
        <v>169</v>
      </c>
      <c r="N59">
        <v>2</v>
      </c>
      <c r="O59">
        <v>20</v>
      </c>
      <c r="P59" t="s">
        <v>216</v>
      </c>
      <c r="Q59" t="s">
        <v>218</v>
      </c>
      <c r="R59">
        <f t="shared" si="4"/>
        <v>-34</v>
      </c>
      <c r="S59">
        <f t="shared" si="0"/>
        <v>0.1130952380952381</v>
      </c>
      <c r="T59" t="str">
        <f t="shared" si="2"/>
        <v>High Risk</v>
      </c>
      <c r="U59" t="str">
        <f t="shared" si="3"/>
        <v>Apply Discount / Promotion</v>
      </c>
    </row>
    <row r="60" spans="1:21" x14ac:dyDescent="0.25">
      <c r="A60">
        <v>59</v>
      </c>
      <c r="B60" t="s">
        <v>60</v>
      </c>
      <c r="C60" t="s">
        <v>117</v>
      </c>
      <c r="D60" t="s">
        <v>123</v>
      </c>
      <c r="E60">
        <v>68</v>
      </c>
      <c r="F60">
        <v>177</v>
      </c>
      <c r="G60">
        <v>140</v>
      </c>
      <c r="H60">
        <v>674.73</v>
      </c>
      <c r="I60">
        <v>368.06</v>
      </c>
      <c r="J60">
        <v>75</v>
      </c>
      <c r="K60">
        <v>3</v>
      </c>
      <c r="L60" t="s">
        <v>169</v>
      </c>
      <c r="M60">
        <v>32</v>
      </c>
      <c r="N60">
        <v>3</v>
      </c>
      <c r="O60">
        <v>17</v>
      </c>
      <c r="P60" t="s">
        <v>216</v>
      </c>
      <c r="Q60" t="s">
        <v>219</v>
      </c>
      <c r="R60">
        <f t="shared" si="4"/>
        <v>37</v>
      </c>
      <c r="S60">
        <f t="shared" si="0"/>
        <v>2.6029411764705883</v>
      </c>
      <c r="T60" t="str">
        <f t="shared" si="2"/>
        <v>Low Risk</v>
      </c>
      <c r="U60" t="str">
        <f t="shared" si="3"/>
        <v>Maintain Stock</v>
      </c>
    </row>
    <row r="61" spans="1:21" x14ac:dyDescent="0.25">
      <c r="A61">
        <v>60</v>
      </c>
      <c r="B61" t="s">
        <v>21</v>
      </c>
      <c r="C61" t="s">
        <v>120</v>
      </c>
      <c r="D61" t="s">
        <v>122</v>
      </c>
      <c r="E61">
        <v>343</v>
      </c>
      <c r="F61">
        <v>330</v>
      </c>
      <c r="G61">
        <v>346</v>
      </c>
      <c r="H61">
        <v>923.2</v>
      </c>
      <c r="I61">
        <v>586.62</v>
      </c>
      <c r="J61">
        <v>113</v>
      </c>
      <c r="K61">
        <v>9</v>
      </c>
      <c r="L61" t="s">
        <v>170</v>
      </c>
      <c r="M61">
        <v>96</v>
      </c>
      <c r="N61">
        <v>2</v>
      </c>
      <c r="O61">
        <v>35</v>
      </c>
      <c r="P61" t="s">
        <v>216</v>
      </c>
      <c r="Q61" t="s">
        <v>217</v>
      </c>
      <c r="R61">
        <f t="shared" si="4"/>
        <v>-16</v>
      </c>
      <c r="S61">
        <f t="shared" si="0"/>
        <v>0.96209912536443154</v>
      </c>
      <c r="T61" t="str">
        <f t="shared" si="2"/>
        <v>Medium Risk</v>
      </c>
      <c r="U61" t="str">
        <f t="shared" si="3"/>
        <v>Monitor Sales</v>
      </c>
    </row>
    <row r="62" spans="1:21" x14ac:dyDescent="0.25">
      <c r="A62">
        <v>61</v>
      </c>
      <c r="B62" t="s">
        <v>21</v>
      </c>
      <c r="C62" t="s">
        <v>116</v>
      </c>
      <c r="D62" t="s">
        <v>123</v>
      </c>
      <c r="E62">
        <v>201</v>
      </c>
      <c r="F62">
        <v>249</v>
      </c>
      <c r="G62">
        <v>278</v>
      </c>
      <c r="H62">
        <v>4533.29</v>
      </c>
      <c r="I62">
        <v>2799.04</v>
      </c>
      <c r="J62">
        <v>51</v>
      </c>
      <c r="K62">
        <v>14</v>
      </c>
      <c r="L62" t="s">
        <v>150</v>
      </c>
      <c r="M62">
        <v>182</v>
      </c>
      <c r="N62">
        <v>5</v>
      </c>
      <c r="O62">
        <v>43</v>
      </c>
      <c r="P62" t="s">
        <v>215</v>
      </c>
      <c r="Q62" t="s">
        <v>218</v>
      </c>
      <c r="R62">
        <f t="shared" si="4"/>
        <v>-29</v>
      </c>
      <c r="S62">
        <f t="shared" si="0"/>
        <v>1.2388059701492538</v>
      </c>
      <c r="T62" t="str">
        <f t="shared" si="2"/>
        <v>Low Risk</v>
      </c>
      <c r="U62" t="str">
        <f t="shared" si="3"/>
        <v>Maintain Stock</v>
      </c>
    </row>
    <row r="63" spans="1:21" x14ac:dyDescent="0.25">
      <c r="A63">
        <v>62</v>
      </c>
      <c r="B63" t="s">
        <v>61</v>
      </c>
      <c r="C63" t="s">
        <v>118</v>
      </c>
      <c r="D63" t="s">
        <v>124</v>
      </c>
      <c r="E63">
        <v>199</v>
      </c>
      <c r="F63">
        <v>328</v>
      </c>
      <c r="G63">
        <v>323</v>
      </c>
      <c r="H63">
        <v>1537.54</v>
      </c>
      <c r="I63">
        <v>949.91</v>
      </c>
      <c r="J63">
        <v>57</v>
      </c>
      <c r="K63">
        <v>14</v>
      </c>
      <c r="L63" t="s">
        <v>171</v>
      </c>
      <c r="M63">
        <v>39</v>
      </c>
      <c r="N63">
        <v>2</v>
      </c>
      <c r="O63">
        <v>17</v>
      </c>
      <c r="P63" t="s">
        <v>216</v>
      </c>
      <c r="Q63" t="s">
        <v>217</v>
      </c>
      <c r="R63">
        <f t="shared" si="4"/>
        <v>5</v>
      </c>
      <c r="S63">
        <f t="shared" si="0"/>
        <v>1.6482412060301508</v>
      </c>
      <c r="T63" t="str">
        <f t="shared" si="2"/>
        <v>Low Risk</v>
      </c>
      <c r="U63" t="str">
        <f t="shared" si="3"/>
        <v>Maintain Stock</v>
      </c>
    </row>
    <row r="64" spans="1:21" x14ac:dyDescent="0.25">
      <c r="A64">
        <v>63</v>
      </c>
      <c r="B64" t="s">
        <v>62</v>
      </c>
      <c r="C64" t="s">
        <v>120</v>
      </c>
      <c r="D64" t="s">
        <v>122</v>
      </c>
      <c r="E64">
        <v>69</v>
      </c>
      <c r="F64">
        <v>199</v>
      </c>
      <c r="G64">
        <v>202</v>
      </c>
      <c r="H64">
        <v>2089.17</v>
      </c>
      <c r="I64">
        <v>1569.42</v>
      </c>
      <c r="J64">
        <v>102</v>
      </c>
      <c r="K64">
        <v>7</v>
      </c>
      <c r="L64" t="s">
        <v>172</v>
      </c>
      <c r="M64">
        <v>32</v>
      </c>
      <c r="N64">
        <v>3</v>
      </c>
      <c r="O64">
        <v>0</v>
      </c>
      <c r="P64" t="s">
        <v>216</v>
      </c>
      <c r="Q64" t="s">
        <v>217</v>
      </c>
      <c r="R64">
        <f t="shared" si="4"/>
        <v>-3</v>
      </c>
      <c r="S64">
        <f t="shared" si="0"/>
        <v>2.8840579710144927</v>
      </c>
      <c r="T64" t="str">
        <f t="shared" si="2"/>
        <v>Low Risk</v>
      </c>
      <c r="U64" t="str">
        <f t="shared" si="3"/>
        <v>Maintain Stock</v>
      </c>
    </row>
    <row r="65" spans="1:21" x14ac:dyDescent="0.25">
      <c r="A65">
        <v>64</v>
      </c>
      <c r="B65" t="s">
        <v>63</v>
      </c>
      <c r="C65" t="s">
        <v>120</v>
      </c>
      <c r="D65" t="s">
        <v>121</v>
      </c>
      <c r="E65">
        <v>430</v>
      </c>
      <c r="F65">
        <v>199</v>
      </c>
      <c r="G65">
        <v>208</v>
      </c>
      <c r="H65">
        <v>2090.65</v>
      </c>
      <c r="I65">
        <v>1440.98</v>
      </c>
      <c r="J65">
        <v>97</v>
      </c>
      <c r="K65">
        <v>15</v>
      </c>
      <c r="L65" t="s">
        <v>173</v>
      </c>
      <c r="M65">
        <v>192</v>
      </c>
      <c r="N65">
        <v>4</v>
      </c>
      <c r="O65">
        <v>0</v>
      </c>
      <c r="P65" t="s">
        <v>216</v>
      </c>
      <c r="Q65" t="s">
        <v>219</v>
      </c>
      <c r="R65">
        <f t="shared" si="4"/>
        <v>-9</v>
      </c>
      <c r="S65">
        <f t="shared" si="0"/>
        <v>0.46279069767441861</v>
      </c>
      <c r="T65" t="str">
        <f t="shared" si="2"/>
        <v>High Risk</v>
      </c>
      <c r="U65" t="str">
        <f t="shared" si="3"/>
        <v>Apply Discount / Promotion</v>
      </c>
    </row>
    <row r="66" spans="1:21" x14ac:dyDescent="0.25">
      <c r="A66">
        <v>65</v>
      </c>
      <c r="B66" t="s">
        <v>64</v>
      </c>
      <c r="C66" t="s">
        <v>120</v>
      </c>
      <c r="D66" t="s">
        <v>121</v>
      </c>
      <c r="E66">
        <v>322</v>
      </c>
      <c r="F66">
        <v>272</v>
      </c>
      <c r="G66">
        <v>320</v>
      </c>
      <c r="H66">
        <v>1187.01</v>
      </c>
      <c r="I66">
        <v>875.62</v>
      </c>
      <c r="J66">
        <v>132</v>
      </c>
      <c r="K66">
        <v>10</v>
      </c>
      <c r="L66" t="s">
        <v>171</v>
      </c>
      <c r="M66">
        <v>135</v>
      </c>
      <c r="N66">
        <v>2</v>
      </c>
      <c r="O66">
        <v>49</v>
      </c>
      <c r="P66" t="s">
        <v>215</v>
      </c>
      <c r="Q66" t="s">
        <v>217</v>
      </c>
      <c r="R66">
        <f t="shared" si="4"/>
        <v>-48</v>
      </c>
      <c r="S66">
        <f t="shared" ref="S66:S129" si="5">F66/E66</f>
        <v>0.84472049689440998</v>
      </c>
      <c r="T66" t="str">
        <f t="shared" si="2"/>
        <v>Medium Risk</v>
      </c>
      <c r="U66" t="str">
        <f t="shared" si="3"/>
        <v>Monitor Sales</v>
      </c>
    </row>
    <row r="67" spans="1:21" x14ac:dyDescent="0.25">
      <c r="A67">
        <v>66</v>
      </c>
      <c r="B67" t="s">
        <v>39</v>
      </c>
      <c r="C67" t="s">
        <v>116</v>
      </c>
      <c r="D67" t="s">
        <v>124</v>
      </c>
      <c r="E67">
        <v>363</v>
      </c>
      <c r="F67">
        <v>239</v>
      </c>
      <c r="G67">
        <v>216</v>
      </c>
      <c r="H67">
        <v>4673.5</v>
      </c>
      <c r="I67">
        <v>3192.68</v>
      </c>
      <c r="J67">
        <v>68</v>
      </c>
      <c r="K67">
        <v>6</v>
      </c>
      <c r="L67" t="s">
        <v>174</v>
      </c>
      <c r="M67">
        <v>155</v>
      </c>
      <c r="N67">
        <v>2</v>
      </c>
      <c r="O67">
        <v>0</v>
      </c>
      <c r="P67" t="s">
        <v>216</v>
      </c>
      <c r="Q67" t="s">
        <v>218</v>
      </c>
      <c r="R67">
        <f t="shared" si="4"/>
        <v>23</v>
      </c>
      <c r="S67">
        <f t="shared" si="5"/>
        <v>0.6584022038567493</v>
      </c>
      <c r="T67" t="str">
        <f t="shared" ref="T67:T130" si="6">IF(S67&lt;0.5,"High Risk",IF(S67&lt;1,"Medium Risk","Low Risk"))</f>
        <v>Medium Risk</v>
      </c>
      <c r="U67" t="str">
        <f t="shared" ref="U67:U130" si="7">IF(T67="High Risk","Apply Discount / Promotion",
IF(T67="Medium Risk","Monitor Sales",
"Maintain Stock"))</f>
        <v>Monitor Sales</v>
      </c>
    </row>
    <row r="68" spans="1:21" x14ac:dyDescent="0.25">
      <c r="A68">
        <v>67</v>
      </c>
      <c r="B68" t="s">
        <v>65</v>
      </c>
      <c r="C68" t="s">
        <v>119</v>
      </c>
      <c r="D68" t="s">
        <v>124</v>
      </c>
      <c r="E68">
        <v>272</v>
      </c>
      <c r="F68">
        <v>231</v>
      </c>
      <c r="G68">
        <v>209</v>
      </c>
      <c r="H68">
        <v>1874.41</v>
      </c>
      <c r="I68">
        <v>1395.02</v>
      </c>
      <c r="J68">
        <v>130</v>
      </c>
      <c r="K68">
        <v>13</v>
      </c>
      <c r="L68" t="s">
        <v>175</v>
      </c>
      <c r="M68">
        <v>339</v>
      </c>
      <c r="N68">
        <v>5</v>
      </c>
      <c r="O68">
        <v>4</v>
      </c>
      <c r="P68" t="s">
        <v>216</v>
      </c>
      <c r="Q68" t="s">
        <v>218</v>
      </c>
      <c r="R68">
        <f t="shared" si="4"/>
        <v>22</v>
      </c>
      <c r="S68">
        <f t="shared" si="5"/>
        <v>0.84926470588235292</v>
      </c>
      <c r="T68" t="str">
        <f t="shared" si="6"/>
        <v>Medium Risk</v>
      </c>
      <c r="U68" t="str">
        <f t="shared" si="7"/>
        <v>Monitor Sales</v>
      </c>
    </row>
    <row r="69" spans="1:21" x14ac:dyDescent="0.25">
      <c r="A69">
        <v>68</v>
      </c>
      <c r="B69" t="s">
        <v>66</v>
      </c>
      <c r="C69" t="s">
        <v>120</v>
      </c>
      <c r="D69" t="s">
        <v>123</v>
      </c>
      <c r="E69">
        <v>183</v>
      </c>
      <c r="F69">
        <v>385</v>
      </c>
      <c r="G69">
        <v>366</v>
      </c>
      <c r="H69">
        <v>1115.05</v>
      </c>
      <c r="I69">
        <v>731.33</v>
      </c>
      <c r="J69">
        <v>136</v>
      </c>
      <c r="K69">
        <v>13</v>
      </c>
      <c r="L69" t="s">
        <v>176</v>
      </c>
      <c r="M69">
        <v>120</v>
      </c>
      <c r="N69">
        <v>5</v>
      </c>
      <c r="O69">
        <v>43</v>
      </c>
      <c r="P69" t="s">
        <v>216</v>
      </c>
      <c r="Q69" t="s">
        <v>218</v>
      </c>
      <c r="R69">
        <f t="shared" si="4"/>
        <v>19</v>
      </c>
      <c r="S69">
        <f t="shared" si="5"/>
        <v>2.1038251366120218</v>
      </c>
      <c r="T69" t="str">
        <f t="shared" si="6"/>
        <v>Low Risk</v>
      </c>
      <c r="U69" t="str">
        <f t="shared" si="7"/>
        <v>Maintain Stock</v>
      </c>
    </row>
    <row r="70" spans="1:21" x14ac:dyDescent="0.25">
      <c r="A70">
        <v>69</v>
      </c>
      <c r="B70" t="s">
        <v>58</v>
      </c>
      <c r="C70" t="s">
        <v>116</v>
      </c>
      <c r="D70" t="s">
        <v>123</v>
      </c>
      <c r="E70">
        <v>247</v>
      </c>
      <c r="F70">
        <v>289</v>
      </c>
      <c r="G70">
        <v>311</v>
      </c>
      <c r="H70">
        <v>2989.05</v>
      </c>
      <c r="I70">
        <v>1928.97</v>
      </c>
      <c r="J70">
        <v>119</v>
      </c>
      <c r="K70">
        <v>7</v>
      </c>
      <c r="L70" t="s">
        <v>175</v>
      </c>
      <c r="M70">
        <v>203</v>
      </c>
      <c r="N70">
        <v>1</v>
      </c>
      <c r="O70">
        <v>3</v>
      </c>
      <c r="P70" t="s">
        <v>216</v>
      </c>
      <c r="Q70" t="s">
        <v>218</v>
      </c>
      <c r="R70">
        <f t="shared" si="4"/>
        <v>-22</v>
      </c>
      <c r="S70">
        <f t="shared" si="5"/>
        <v>1.1700404858299596</v>
      </c>
      <c r="T70" t="str">
        <f t="shared" si="6"/>
        <v>Low Risk</v>
      </c>
      <c r="U70" t="str">
        <f t="shared" si="7"/>
        <v>Maintain Stock</v>
      </c>
    </row>
    <row r="71" spans="1:21" x14ac:dyDescent="0.25">
      <c r="A71">
        <v>70</v>
      </c>
      <c r="B71" t="s">
        <v>67</v>
      </c>
      <c r="C71" t="s">
        <v>118</v>
      </c>
      <c r="D71" t="s">
        <v>123</v>
      </c>
      <c r="E71">
        <v>115</v>
      </c>
      <c r="F71">
        <v>125</v>
      </c>
      <c r="G71">
        <v>165</v>
      </c>
      <c r="H71">
        <v>741.43</v>
      </c>
      <c r="I71">
        <v>582.41</v>
      </c>
      <c r="J71">
        <v>102</v>
      </c>
      <c r="K71">
        <v>2</v>
      </c>
      <c r="L71" t="s">
        <v>147</v>
      </c>
      <c r="M71">
        <v>320</v>
      </c>
      <c r="N71">
        <v>5</v>
      </c>
      <c r="O71">
        <v>32</v>
      </c>
      <c r="P71" t="s">
        <v>216</v>
      </c>
      <c r="Q71" t="s">
        <v>217</v>
      </c>
      <c r="R71">
        <f t="shared" si="4"/>
        <v>-40</v>
      </c>
      <c r="S71">
        <f t="shared" si="5"/>
        <v>1.0869565217391304</v>
      </c>
      <c r="T71" t="str">
        <f t="shared" si="6"/>
        <v>Low Risk</v>
      </c>
      <c r="U71" t="str">
        <f t="shared" si="7"/>
        <v>Maintain Stock</v>
      </c>
    </row>
    <row r="72" spans="1:21" x14ac:dyDescent="0.25">
      <c r="A72">
        <v>71</v>
      </c>
      <c r="B72" t="s">
        <v>68</v>
      </c>
      <c r="C72" t="s">
        <v>120</v>
      </c>
      <c r="D72" t="s">
        <v>122</v>
      </c>
      <c r="E72">
        <v>179</v>
      </c>
      <c r="F72">
        <v>137</v>
      </c>
      <c r="G72">
        <v>98</v>
      </c>
      <c r="H72">
        <v>380.08</v>
      </c>
      <c r="I72">
        <v>270.95</v>
      </c>
      <c r="J72">
        <v>89</v>
      </c>
      <c r="K72">
        <v>15</v>
      </c>
      <c r="L72" t="s">
        <v>177</v>
      </c>
      <c r="M72">
        <v>301</v>
      </c>
      <c r="N72">
        <v>1</v>
      </c>
      <c r="O72">
        <v>12</v>
      </c>
      <c r="P72" t="s">
        <v>215</v>
      </c>
      <c r="Q72" t="s">
        <v>219</v>
      </c>
      <c r="R72">
        <f t="shared" si="4"/>
        <v>39</v>
      </c>
      <c r="S72">
        <f t="shared" si="5"/>
        <v>0.76536312849162014</v>
      </c>
      <c r="T72" t="str">
        <f t="shared" si="6"/>
        <v>Medium Risk</v>
      </c>
      <c r="U72" t="str">
        <f t="shared" si="7"/>
        <v>Monitor Sales</v>
      </c>
    </row>
    <row r="73" spans="1:21" x14ac:dyDescent="0.25">
      <c r="A73">
        <v>72</v>
      </c>
      <c r="B73" t="s">
        <v>44</v>
      </c>
      <c r="C73" t="s">
        <v>117</v>
      </c>
      <c r="D73" t="s">
        <v>124</v>
      </c>
      <c r="E73">
        <v>199</v>
      </c>
      <c r="F73">
        <v>121</v>
      </c>
      <c r="G73">
        <v>164</v>
      </c>
      <c r="H73">
        <v>1151.72</v>
      </c>
      <c r="I73">
        <v>659.11</v>
      </c>
      <c r="J73">
        <v>149</v>
      </c>
      <c r="K73">
        <v>7</v>
      </c>
      <c r="L73" t="s">
        <v>162</v>
      </c>
      <c r="M73">
        <v>307</v>
      </c>
      <c r="N73">
        <v>4</v>
      </c>
      <c r="O73">
        <v>43</v>
      </c>
      <c r="P73" t="s">
        <v>216</v>
      </c>
      <c r="Q73" t="s">
        <v>219</v>
      </c>
      <c r="R73">
        <f t="shared" si="4"/>
        <v>-43</v>
      </c>
      <c r="S73">
        <f t="shared" si="5"/>
        <v>0.60804020100502509</v>
      </c>
      <c r="T73" t="str">
        <f t="shared" si="6"/>
        <v>Medium Risk</v>
      </c>
      <c r="U73" t="str">
        <f t="shared" si="7"/>
        <v>Monitor Sales</v>
      </c>
    </row>
    <row r="74" spans="1:21" x14ac:dyDescent="0.25">
      <c r="A74">
        <v>73</v>
      </c>
      <c r="B74" t="s">
        <v>66</v>
      </c>
      <c r="C74" t="s">
        <v>120</v>
      </c>
      <c r="D74" t="s">
        <v>123</v>
      </c>
      <c r="E74">
        <v>228</v>
      </c>
      <c r="F74">
        <v>119</v>
      </c>
      <c r="G74">
        <v>165</v>
      </c>
      <c r="H74">
        <v>3330.22</v>
      </c>
      <c r="I74">
        <v>2078.6</v>
      </c>
      <c r="J74">
        <v>53</v>
      </c>
      <c r="K74">
        <v>14</v>
      </c>
      <c r="L74" t="s">
        <v>178</v>
      </c>
      <c r="M74">
        <v>203</v>
      </c>
      <c r="N74">
        <v>4</v>
      </c>
      <c r="O74">
        <v>15</v>
      </c>
      <c r="P74" t="s">
        <v>216</v>
      </c>
      <c r="Q74" t="s">
        <v>217</v>
      </c>
      <c r="R74">
        <f t="shared" si="4"/>
        <v>-46</v>
      </c>
      <c r="S74">
        <f t="shared" si="5"/>
        <v>0.52192982456140347</v>
      </c>
      <c r="T74" t="str">
        <f t="shared" si="6"/>
        <v>Medium Risk</v>
      </c>
      <c r="U74" t="str">
        <f t="shared" si="7"/>
        <v>Monitor Sales</v>
      </c>
    </row>
    <row r="75" spans="1:21" x14ac:dyDescent="0.25">
      <c r="A75">
        <v>74</v>
      </c>
      <c r="B75" t="s">
        <v>69</v>
      </c>
      <c r="C75" t="s">
        <v>120</v>
      </c>
      <c r="D75" t="s">
        <v>121</v>
      </c>
      <c r="E75">
        <v>127</v>
      </c>
      <c r="F75">
        <v>0</v>
      </c>
      <c r="G75">
        <v>31</v>
      </c>
      <c r="H75">
        <v>4808.95</v>
      </c>
      <c r="I75">
        <v>2887.91</v>
      </c>
      <c r="J75">
        <v>149</v>
      </c>
      <c r="K75">
        <v>4</v>
      </c>
      <c r="L75" t="s">
        <v>176</v>
      </c>
      <c r="M75">
        <v>352</v>
      </c>
      <c r="N75">
        <v>4</v>
      </c>
      <c r="O75">
        <v>30</v>
      </c>
      <c r="P75" t="s">
        <v>216</v>
      </c>
      <c r="Q75" t="s">
        <v>218</v>
      </c>
      <c r="R75">
        <f t="shared" ref="R75:R138" si="8">F75-G75</f>
        <v>-31</v>
      </c>
      <c r="S75">
        <f t="shared" si="5"/>
        <v>0</v>
      </c>
      <c r="T75" t="str">
        <f t="shared" si="6"/>
        <v>High Risk</v>
      </c>
      <c r="U75" t="str">
        <f t="shared" si="7"/>
        <v>Apply Discount / Promotion</v>
      </c>
    </row>
    <row r="76" spans="1:21" x14ac:dyDescent="0.25">
      <c r="A76">
        <v>75</v>
      </c>
      <c r="B76" t="s">
        <v>70</v>
      </c>
      <c r="C76" t="s">
        <v>119</v>
      </c>
      <c r="D76" t="s">
        <v>124</v>
      </c>
      <c r="E76">
        <v>226</v>
      </c>
      <c r="F76">
        <v>129</v>
      </c>
      <c r="G76">
        <v>162</v>
      </c>
      <c r="H76">
        <v>1326.04</v>
      </c>
      <c r="I76">
        <v>839.65</v>
      </c>
      <c r="J76">
        <v>103</v>
      </c>
      <c r="K76">
        <v>12</v>
      </c>
      <c r="L76" t="s">
        <v>142</v>
      </c>
      <c r="M76">
        <v>97</v>
      </c>
      <c r="N76">
        <v>2</v>
      </c>
      <c r="O76">
        <v>48</v>
      </c>
      <c r="P76" t="s">
        <v>216</v>
      </c>
      <c r="Q76" t="s">
        <v>218</v>
      </c>
      <c r="R76">
        <f t="shared" si="8"/>
        <v>-33</v>
      </c>
      <c r="S76">
        <f t="shared" si="5"/>
        <v>0.57079646017699115</v>
      </c>
      <c r="T76" t="str">
        <f t="shared" si="6"/>
        <v>Medium Risk</v>
      </c>
      <c r="U76" t="str">
        <f t="shared" si="7"/>
        <v>Monitor Sales</v>
      </c>
    </row>
    <row r="77" spans="1:21" x14ac:dyDescent="0.25">
      <c r="A77">
        <v>76</v>
      </c>
      <c r="B77" t="s">
        <v>71</v>
      </c>
      <c r="C77" t="s">
        <v>120</v>
      </c>
      <c r="D77" t="s">
        <v>122</v>
      </c>
      <c r="E77">
        <v>251</v>
      </c>
      <c r="F77">
        <v>131</v>
      </c>
      <c r="G77">
        <v>104</v>
      </c>
      <c r="H77">
        <v>1123.6500000000001</v>
      </c>
      <c r="I77">
        <v>638.69000000000005</v>
      </c>
      <c r="J77">
        <v>59</v>
      </c>
      <c r="K77">
        <v>15</v>
      </c>
      <c r="L77" t="s">
        <v>148</v>
      </c>
      <c r="M77">
        <v>341</v>
      </c>
      <c r="N77">
        <v>2</v>
      </c>
      <c r="O77">
        <v>43</v>
      </c>
      <c r="P77" t="s">
        <v>215</v>
      </c>
      <c r="Q77" t="s">
        <v>219</v>
      </c>
      <c r="R77">
        <f t="shared" si="8"/>
        <v>27</v>
      </c>
      <c r="S77">
        <f t="shared" si="5"/>
        <v>0.52191235059760954</v>
      </c>
      <c r="T77" t="str">
        <f t="shared" si="6"/>
        <v>Medium Risk</v>
      </c>
      <c r="U77" t="str">
        <f t="shared" si="7"/>
        <v>Monitor Sales</v>
      </c>
    </row>
    <row r="78" spans="1:21" x14ac:dyDescent="0.25">
      <c r="A78">
        <v>77</v>
      </c>
      <c r="B78" t="s">
        <v>57</v>
      </c>
      <c r="C78" t="s">
        <v>116</v>
      </c>
      <c r="D78" t="s">
        <v>123</v>
      </c>
      <c r="E78">
        <v>425</v>
      </c>
      <c r="F78">
        <v>112</v>
      </c>
      <c r="G78">
        <v>67</v>
      </c>
      <c r="H78">
        <v>1218.26</v>
      </c>
      <c r="I78">
        <v>660.51</v>
      </c>
      <c r="J78">
        <v>106</v>
      </c>
      <c r="K78">
        <v>2</v>
      </c>
      <c r="L78" t="s">
        <v>133</v>
      </c>
      <c r="M78">
        <v>83</v>
      </c>
      <c r="N78">
        <v>3</v>
      </c>
      <c r="O78">
        <v>29</v>
      </c>
      <c r="P78" t="s">
        <v>215</v>
      </c>
      <c r="Q78" t="s">
        <v>218</v>
      </c>
      <c r="R78">
        <f t="shared" si="8"/>
        <v>45</v>
      </c>
      <c r="S78">
        <f t="shared" si="5"/>
        <v>0.2635294117647059</v>
      </c>
      <c r="T78" t="str">
        <f t="shared" si="6"/>
        <v>High Risk</v>
      </c>
      <c r="U78" t="str">
        <f t="shared" si="7"/>
        <v>Apply Discount / Promotion</v>
      </c>
    </row>
    <row r="79" spans="1:21" x14ac:dyDescent="0.25">
      <c r="A79">
        <v>78</v>
      </c>
      <c r="B79" t="s">
        <v>35</v>
      </c>
      <c r="C79" t="s">
        <v>119</v>
      </c>
      <c r="D79" t="s">
        <v>123</v>
      </c>
      <c r="E79">
        <v>58</v>
      </c>
      <c r="F79">
        <v>360</v>
      </c>
      <c r="G79">
        <v>367</v>
      </c>
      <c r="H79">
        <v>2429.9</v>
      </c>
      <c r="I79">
        <v>1590.87</v>
      </c>
      <c r="J79">
        <v>112</v>
      </c>
      <c r="K79">
        <v>3</v>
      </c>
      <c r="L79" t="s">
        <v>163</v>
      </c>
      <c r="M79">
        <v>275</v>
      </c>
      <c r="N79">
        <v>5</v>
      </c>
      <c r="O79">
        <v>34</v>
      </c>
      <c r="P79" t="s">
        <v>216</v>
      </c>
      <c r="Q79" t="s">
        <v>218</v>
      </c>
      <c r="R79">
        <f t="shared" si="8"/>
        <v>-7</v>
      </c>
      <c r="S79">
        <f t="shared" si="5"/>
        <v>6.2068965517241379</v>
      </c>
      <c r="T79" t="str">
        <f t="shared" si="6"/>
        <v>Low Risk</v>
      </c>
      <c r="U79" t="str">
        <f t="shared" si="7"/>
        <v>Maintain Stock</v>
      </c>
    </row>
    <row r="80" spans="1:21" x14ac:dyDescent="0.25">
      <c r="A80">
        <v>79</v>
      </c>
      <c r="B80" t="s">
        <v>42</v>
      </c>
      <c r="C80" t="s">
        <v>116</v>
      </c>
      <c r="D80" t="s">
        <v>122</v>
      </c>
      <c r="E80">
        <v>54</v>
      </c>
      <c r="F80">
        <v>306</v>
      </c>
      <c r="G80">
        <v>318</v>
      </c>
      <c r="H80">
        <v>1682.54</v>
      </c>
      <c r="I80">
        <v>1008.08</v>
      </c>
      <c r="J80">
        <v>68</v>
      </c>
      <c r="K80">
        <v>6</v>
      </c>
      <c r="L80" t="s">
        <v>179</v>
      </c>
      <c r="M80">
        <v>320</v>
      </c>
      <c r="N80">
        <v>1</v>
      </c>
      <c r="O80">
        <v>1</v>
      </c>
      <c r="P80" t="s">
        <v>216</v>
      </c>
      <c r="Q80" t="s">
        <v>217</v>
      </c>
      <c r="R80">
        <f t="shared" si="8"/>
        <v>-12</v>
      </c>
      <c r="S80">
        <f t="shared" si="5"/>
        <v>5.666666666666667</v>
      </c>
      <c r="T80" t="str">
        <f t="shared" si="6"/>
        <v>Low Risk</v>
      </c>
      <c r="U80" t="str">
        <f t="shared" si="7"/>
        <v>Maintain Stock</v>
      </c>
    </row>
    <row r="81" spans="1:21" x14ac:dyDescent="0.25">
      <c r="A81">
        <v>80</v>
      </c>
      <c r="B81" t="s">
        <v>48</v>
      </c>
      <c r="C81" t="s">
        <v>119</v>
      </c>
      <c r="D81" t="s">
        <v>121</v>
      </c>
      <c r="E81">
        <v>207</v>
      </c>
      <c r="F81">
        <v>202</v>
      </c>
      <c r="G81">
        <v>228</v>
      </c>
      <c r="H81">
        <v>984.3</v>
      </c>
      <c r="I81">
        <v>769.32</v>
      </c>
      <c r="J81">
        <v>84</v>
      </c>
      <c r="K81">
        <v>8</v>
      </c>
      <c r="L81" t="s">
        <v>180</v>
      </c>
      <c r="M81">
        <v>134</v>
      </c>
      <c r="N81">
        <v>3</v>
      </c>
      <c r="O81">
        <v>32</v>
      </c>
      <c r="P81" t="s">
        <v>215</v>
      </c>
      <c r="Q81" t="s">
        <v>218</v>
      </c>
      <c r="R81">
        <f t="shared" si="8"/>
        <v>-26</v>
      </c>
      <c r="S81">
        <f t="shared" si="5"/>
        <v>0.97584541062801933</v>
      </c>
      <c r="T81" t="str">
        <f t="shared" si="6"/>
        <v>Medium Risk</v>
      </c>
      <c r="U81" t="str">
        <f t="shared" si="7"/>
        <v>Monitor Sales</v>
      </c>
    </row>
    <row r="82" spans="1:21" x14ac:dyDescent="0.25">
      <c r="A82">
        <v>81</v>
      </c>
      <c r="B82" t="s">
        <v>27</v>
      </c>
      <c r="C82" t="s">
        <v>120</v>
      </c>
      <c r="D82" t="s">
        <v>121</v>
      </c>
      <c r="E82">
        <v>59</v>
      </c>
      <c r="F82">
        <v>131</v>
      </c>
      <c r="G82">
        <v>117</v>
      </c>
      <c r="H82">
        <v>1900.12</v>
      </c>
      <c r="I82">
        <v>1263.73</v>
      </c>
      <c r="J82">
        <v>83</v>
      </c>
      <c r="K82">
        <v>3</v>
      </c>
      <c r="L82" t="s">
        <v>166</v>
      </c>
      <c r="M82">
        <v>320</v>
      </c>
      <c r="N82">
        <v>5</v>
      </c>
      <c r="O82">
        <v>7</v>
      </c>
      <c r="P82" t="s">
        <v>216</v>
      </c>
      <c r="Q82" t="s">
        <v>217</v>
      </c>
      <c r="R82">
        <f t="shared" si="8"/>
        <v>14</v>
      </c>
      <c r="S82">
        <f t="shared" si="5"/>
        <v>2.2203389830508473</v>
      </c>
      <c r="T82" t="str">
        <f t="shared" si="6"/>
        <v>Low Risk</v>
      </c>
      <c r="U82" t="str">
        <f t="shared" si="7"/>
        <v>Maintain Stock</v>
      </c>
    </row>
    <row r="83" spans="1:21" x14ac:dyDescent="0.25">
      <c r="A83">
        <v>82</v>
      </c>
      <c r="B83" t="s">
        <v>45</v>
      </c>
      <c r="C83" t="s">
        <v>118</v>
      </c>
      <c r="D83" t="s">
        <v>122</v>
      </c>
      <c r="E83">
        <v>288</v>
      </c>
      <c r="F83">
        <v>129</v>
      </c>
      <c r="G83">
        <v>126</v>
      </c>
      <c r="H83">
        <v>1113.52</v>
      </c>
      <c r="I83">
        <v>562.73</v>
      </c>
      <c r="J83">
        <v>105</v>
      </c>
      <c r="K83">
        <v>14</v>
      </c>
      <c r="L83" t="s">
        <v>154</v>
      </c>
      <c r="M83">
        <v>200</v>
      </c>
      <c r="N83">
        <v>5</v>
      </c>
      <c r="O83">
        <v>46</v>
      </c>
      <c r="P83" t="s">
        <v>216</v>
      </c>
      <c r="Q83" t="s">
        <v>217</v>
      </c>
      <c r="R83">
        <f t="shared" si="8"/>
        <v>3</v>
      </c>
      <c r="S83">
        <f t="shared" si="5"/>
        <v>0.44791666666666669</v>
      </c>
      <c r="T83" t="str">
        <f t="shared" si="6"/>
        <v>High Risk</v>
      </c>
      <c r="U83" t="str">
        <f t="shared" si="7"/>
        <v>Apply Discount / Promotion</v>
      </c>
    </row>
    <row r="84" spans="1:21" x14ac:dyDescent="0.25">
      <c r="A84">
        <v>83</v>
      </c>
      <c r="B84" t="s">
        <v>72</v>
      </c>
      <c r="C84" t="s">
        <v>120</v>
      </c>
      <c r="D84" t="s">
        <v>123</v>
      </c>
      <c r="E84">
        <v>351</v>
      </c>
      <c r="F84">
        <v>176</v>
      </c>
      <c r="G84">
        <v>160</v>
      </c>
      <c r="H84">
        <v>3534.37</v>
      </c>
      <c r="I84">
        <v>2242.54</v>
      </c>
      <c r="J84">
        <v>130</v>
      </c>
      <c r="K84">
        <v>13</v>
      </c>
      <c r="L84" t="s">
        <v>181</v>
      </c>
      <c r="M84">
        <v>53</v>
      </c>
      <c r="N84">
        <v>4</v>
      </c>
      <c r="O84">
        <v>9</v>
      </c>
      <c r="P84" t="s">
        <v>216</v>
      </c>
      <c r="Q84" t="s">
        <v>219</v>
      </c>
      <c r="R84">
        <f t="shared" si="8"/>
        <v>16</v>
      </c>
      <c r="S84">
        <f t="shared" si="5"/>
        <v>0.50142450142450146</v>
      </c>
      <c r="T84" t="str">
        <f t="shared" si="6"/>
        <v>Medium Risk</v>
      </c>
      <c r="U84" t="str">
        <f t="shared" si="7"/>
        <v>Monitor Sales</v>
      </c>
    </row>
    <row r="85" spans="1:21" x14ac:dyDescent="0.25">
      <c r="A85">
        <v>84</v>
      </c>
      <c r="B85" t="s">
        <v>40</v>
      </c>
      <c r="C85" t="s">
        <v>120</v>
      </c>
      <c r="D85" t="s">
        <v>121</v>
      </c>
      <c r="E85">
        <v>46</v>
      </c>
      <c r="F85">
        <v>301</v>
      </c>
      <c r="G85">
        <v>330</v>
      </c>
      <c r="H85">
        <v>953.14</v>
      </c>
      <c r="I85">
        <v>658.09</v>
      </c>
      <c r="J85">
        <v>99</v>
      </c>
      <c r="K85">
        <v>14</v>
      </c>
      <c r="L85" t="s">
        <v>144</v>
      </c>
      <c r="M85">
        <v>94</v>
      </c>
      <c r="N85">
        <v>5</v>
      </c>
      <c r="O85">
        <v>32</v>
      </c>
      <c r="P85" t="s">
        <v>215</v>
      </c>
      <c r="Q85" t="s">
        <v>218</v>
      </c>
      <c r="R85">
        <f t="shared" si="8"/>
        <v>-29</v>
      </c>
      <c r="S85">
        <f t="shared" si="5"/>
        <v>6.5434782608695654</v>
      </c>
      <c r="T85" t="str">
        <f t="shared" si="6"/>
        <v>Low Risk</v>
      </c>
      <c r="U85" t="str">
        <f t="shared" si="7"/>
        <v>Maintain Stock</v>
      </c>
    </row>
    <row r="86" spans="1:21" x14ac:dyDescent="0.25">
      <c r="A86">
        <v>85</v>
      </c>
      <c r="B86" t="s">
        <v>57</v>
      </c>
      <c r="C86" t="s">
        <v>116</v>
      </c>
      <c r="D86" t="s">
        <v>121</v>
      </c>
      <c r="E86">
        <v>407</v>
      </c>
      <c r="F86">
        <v>320</v>
      </c>
      <c r="G86">
        <v>275</v>
      </c>
      <c r="H86">
        <v>2337.2399999999998</v>
      </c>
      <c r="I86">
        <v>1502.92</v>
      </c>
      <c r="J86">
        <v>47</v>
      </c>
      <c r="K86">
        <v>3</v>
      </c>
      <c r="L86" t="s">
        <v>143</v>
      </c>
      <c r="M86">
        <v>109</v>
      </c>
      <c r="N86">
        <v>2</v>
      </c>
      <c r="O86">
        <v>6</v>
      </c>
      <c r="P86" t="s">
        <v>215</v>
      </c>
      <c r="Q86" t="s">
        <v>217</v>
      </c>
      <c r="R86">
        <f t="shared" si="8"/>
        <v>45</v>
      </c>
      <c r="S86">
        <f t="shared" si="5"/>
        <v>0.78624078624078619</v>
      </c>
      <c r="T86" t="str">
        <f t="shared" si="6"/>
        <v>Medium Risk</v>
      </c>
      <c r="U86" t="str">
        <f t="shared" si="7"/>
        <v>Monitor Sales</v>
      </c>
    </row>
    <row r="87" spans="1:21" x14ac:dyDescent="0.25">
      <c r="A87">
        <v>86</v>
      </c>
      <c r="B87" t="s">
        <v>64</v>
      </c>
      <c r="C87" t="s">
        <v>117</v>
      </c>
      <c r="D87" t="s">
        <v>124</v>
      </c>
      <c r="E87">
        <v>267</v>
      </c>
      <c r="F87">
        <v>156</v>
      </c>
      <c r="G87">
        <v>126</v>
      </c>
      <c r="H87">
        <v>1237.8</v>
      </c>
      <c r="I87">
        <v>626.30999999999995</v>
      </c>
      <c r="J87">
        <v>37</v>
      </c>
      <c r="K87">
        <v>12</v>
      </c>
      <c r="L87" t="s">
        <v>165</v>
      </c>
      <c r="M87">
        <v>149</v>
      </c>
      <c r="N87">
        <v>3</v>
      </c>
      <c r="O87">
        <v>15</v>
      </c>
      <c r="P87" t="s">
        <v>216</v>
      </c>
      <c r="Q87" t="s">
        <v>217</v>
      </c>
      <c r="R87">
        <f t="shared" si="8"/>
        <v>30</v>
      </c>
      <c r="S87">
        <f t="shared" si="5"/>
        <v>0.5842696629213483</v>
      </c>
      <c r="T87" t="str">
        <f t="shared" si="6"/>
        <v>Medium Risk</v>
      </c>
      <c r="U87" t="str">
        <f t="shared" si="7"/>
        <v>Monitor Sales</v>
      </c>
    </row>
    <row r="88" spans="1:21" x14ac:dyDescent="0.25">
      <c r="A88">
        <v>87</v>
      </c>
      <c r="B88" t="s">
        <v>29</v>
      </c>
      <c r="C88" t="s">
        <v>116</v>
      </c>
      <c r="D88" t="s">
        <v>124</v>
      </c>
      <c r="E88">
        <v>58</v>
      </c>
      <c r="F88">
        <v>359</v>
      </c>
      <c r="G88">
        <v>378</v>
      </c>
      <c r="H88">
        <v>629.83000000000004</v>
      </c>
      <c r="I88">
        <v>388.89</v>
      </c>
      <c r="J88">
        <v>139</v>
      </c>
      <c r="K88">
        <v>14</v>
      </c>
      <c r="L88" t="s">
        <v>182</v>
      </c>
      <c r="M88">
        <v>299</v>
      </c>
      <c r="N88">
        <v>2</v>
      </c>
      <c r="O88">
        <v>20</v>
      </c>
      <c r="P88" t="s">
        <v>216</v>
      </c>
      <c r="Q88" t="s">
        <v>217</v>
      </c>
      <c r="R88">
        <f t="shared" si="8"/>
        <v>-19</v>
      </c>
      <c r="S88">
        <f t="shared" si="5"/>
        <v>6.1896551724137927</v>
      </c>
      <c r="T88" t="str">
        <f t="shared" si="6"/>
        <v>Low Risk</v>
      </c>
      <c r="U88" t="str">
        <f t="shared" si="7"/>
        <v>Maintain Stock</v>
      </c>
    </row>
    <row r="89" spans="1:21" x14ac:dyDescent="0.25">
      <c r="A89">
        <v>88</v>
      </c>
      <c r="B89" t="s">
        <v>73</v>
      </c>
      <c r="C89" t="s">
        <v>117</v>
      </c>
      <c r="D89" t="s">
        <v>122</v>
      </c>
      <c r="E89">
        <v>80</v>
      </c>
      <c r="F89">
        <v>266</v>
      </c>
      <c r="G89">
        <v>291</v>
      </c>
      <c r="H89">
        <v>3910.17</v>
      </c>
      <c r="I89">
        <v>2184.85</v>
      </c>
      <c r="J89">
        <v>104</v>
      </c>
      <c r="K89">
        <v>12</v>
      </c>
      <c r="L89" t="s">
        <v>177</v>
      </c>
      <c r="M89">
        <v>116</v>
      </c>
      <c r="N89">
        <v>1</v>
      </c>
      <c r="O89">
        <v>33</v>
      </c>
      <c r="P89" t="s">
        <v>216</v>
      </c>
      <c r="Q89" t="s">
        <v>218</v>
      </c>
      <c r="R89">
        <f t="shared" si="8"/>
        <v>-25</v>
      </c>
      <c r="S89">
        <f t="shared" si="5"/>
        <v>3.3250000000000002</v>
      </c>
      <c r="T89" t="str">
        <f t="shared" si="6"/>
        <v>Low Risk</v>
      </c>
      <c r="U89" t="str">
        <f t="shared" si="7"/>
        <v>Maintain Stock</v>
      </c>
    </row>
    <row r="90" spans="1:21" x14ac:dyDescent="0.25">
      <c r="A90">
        <v>89</v>
      </c>
      <c r="B90" t="s">
        <v>31</v>
      </c>
      <c r="C90" t="s">
        <v>117</v>
      </c>
      <c r="D90" t="s">
        <v>122</v>
      </c>
      <c r="E90">
        <v>487</v>
      </c>
      <c r="F90">
        <v>60</v>
      </c>
      <c r="G90">
        <v>53</v>
      </c>
      <c r="H90">
        <v>4846.84</v>
      </c>
      <c r="I90">
        <v>2571.56</v>
      </c>
      <c r="J90">
        <v>103</v>
      </c>
      <c r="K90">
        <v>14</v>
      </c>
      <c r="L90" t="s">
        <v>156</v>
      </c>
      <c r="M90">
        <v>97</v>
      </c>
      <c r="N90">
        <v>2</v>
      </c>
      <c r="O90">
        <v>29</v>
      </c>
      <c r="P90" t="s">
        <v>215</v>
      </c>
      <c r="Q90" t="s">
        <v>218</v>
      </c>
      <c r="R90">
        <f t="shared" si="8"/>
        <v>7</v>
      </c>
      <c r="S90">
        <f t="shared" si="5"/>
        <v>0.12320328542094455</v>
      </c>
      <c r="T90" t="str">
        <f t="shared" si="6"/>
        <v>High Risk</v>
      </c>
      <c r="U90" t="str">
        <f t="shared" si="7"/>
        <v>Apply Discount / Promotion</v>
      </c>
    </row>
    <row r="91" spans="1:21" x14ac:dyDescent="0.25">
      <c r="A91">
        <v>90</v>
      </c>
      <c r="B91" t="s">
        <v>29</v>
      </c>
      <c r="C91" t="s">
        <v>119</v>
      </c>
      <c r="D91" t="s">
        <v>122</v>
      </c>
      <c r="E91">
        <v>417</v>
      </c>
      <c r="F91">
        <v>227</v>
      </c>
      <c r="G91">
        <v>264</v>
      </c>
      <c r="H91">
        <v>1352.27</v>
      </c>
      <c r="I91">
        <v>968.91</v>
      </c>
      <c r="J91">
        <v>150</v>
      </c>
      <c r="K91">
        <v>12</v>
      </c>
      <c r="L91" t="s">
        <v>139</v>
      </c>
      <c r="M91">
        <v>227</v>
      </c>
      <c r="N91">
        <v>2</v>
      </c>
      <c r="O91">
        <v>25</v>
      </c>
      <c r="P91" t="s">
        <v>215</v>
      </c>
      <c r="Q91" t="s">
        <v>217</v>
      </c>
      <c r="R91">
        <f t="shared" si="8"/>
        <v>-37</v>
      </c>
      <c r="S91">
        <f t="shared" si="5"/>
        <v>0.54436450839328532</v>
      </c>
      <c r="T91" t="str">
        <f t="shared" si="6"/>
        <v>Medium Risk</v>
      </c>
      <c r="U91" t="str">
        <f t="shared" si="7"/>
        <v>Monitor Sales</v>
      </c>
    </row>
    <row r="92" spans="1:21" x14ac:dyDescent="0.25">
      <c r="A92">
        <v>91</v>
      </c>
      <c r="B92" t="s">
        <v>62</v>
      </c>
      <c r="C92" t="s">
        <v>118</v>
      </c>
      <c r="D92" t="s">
        <v>121</v>
      </c>
      <c r="E92">
        <v>196</v>
      </c>
      <c r="F92">
        <v>48</v>
      </c>
      <c r="G92">
        <v>31</v>
      </c>
      <c r="H92">
        <v>2376.86</v>
      </c>
      <c r="I92">
        <v>1472.52</v>
      </c>
      <c r="J92">
        <v>86</v>
      </c>
      <c r="K92">
        <v>3</v>
      </c>
      <c r="L92" t="s">
        <v>172</v>
      </c>
      <c r="M92">
        <v>187</v>
      </c>
      <c r="N92">
        <v>2</v>
      </c>
      <c r="O92">
        <v>44</v>
      </c>
      <c r="P92" t="s">
        <v>215</v>
      </c>
      <c r="Q92" t="s">
        <v>217</v>
      </c>
      <c r="R92">
        <f t="shared" si="8"/>
        <v>17</v>
      </c>
      <c r="S92">
        <f t="shared" si="5"/>
        <v>0.24489795918367346</v>
      </c>
      <c r="T92" t="str">
        <f t="shared" si="6"/>
        <v>High Risk</v>
      </c>
      <c r="U92" t="str">
        <f t="shared" si="7"/>
        <v>Apply Discount / Promotion</v>
      </c>
    </row>
    <row r="93" spans="1:21" x14ac:dyDescent="0.25">
      <c r="A93">
        <v>92</v>
      </c>
      <c r="B93" t="s">
        <v>18</v>
      </c>
      <c r="C93" t="s">
        <v>118</v>
      </c>
      <c r="D93" t="s">
        <v>123</v>
      </c>
      <c r="E93">
        <v>275</v>
      </c>
      <c r="F93">
        <v>316</v>
      </c>
      <c r="G93">
        <v>307</v>
      </c>
      <c r="H93">
        <v>3085.34</v>
      </c>
      <c r="I93">
        <v>2256.67</v>
      </c>
      <c r="J93">
        <v>104</v>
      </c>
      <c r="K93">
        <v>2</v>
      </c>
      <c r="L93" t="s">
        <v>148</v>
      </c>
      <c r="M93">
        <v>304</v>
      </c>
      <c r="N93">
        <v>3</v>
      </c>
      <c r="O93">
        <v>26</v>
      </c>
      <c r="P93" t="s">
        <v>215</v>
      </c>
      <c r="Q93" t="s">
        <v>218</v>
      </c>
      <c r="R93">
        <f t="shared" si="8"/>
        <v>9</v>
      </c>
      <c r="S93">
        <f t="shared" si="5"/>
        <v>1.1490909090909092</v>
      </c>
      <c r="T93" t="str">
        <f t="shared" si="6"/>
        <v>Low Risk</v>
      </c>
      <c r="U93" t="str">
        <f t="shared" si="7"/>
        <v>Maintain Stock</v>
      </c>
    </row>
    <row r="94" spans="1:21" x14ac:dyDescent="0.25">
      <c r="A94">
        <v>93</v>
      </c>
      <c r="B94" t="s">
        <v>74</v>
      </c>
      <c r="C94" t="s">
        <v>118</v>
      </c>
      <c r="D94" t="s">
        <v>122</v>
      </c>
      <c r="E94">
        <v>440</v>
      </c>
      <c r="F94">
        <v>407</v>
      </c>
      <c r="G94">
        <v>364</v>
      </c>
      <c r="H94">
        <v>4544.99</v>
      </c>
      <c r="I94">
        <v>3096.86</v>
      </c>
      <c r="J94">
        <v>80</v>
      </c>
      <c r="K94">
        <v>11</v>
      </c>
      <c r="L94" t="s">
        <v>137</v>
      </c>
      <c r="M94">
        <v>317</v>
      </c>
      <c r="N94">
        <v>3</v>
      </c>
      <c r="O94">
        <v>11</v>
      </c>
      <c r="P94" t="s">
        <v>216</v>
      </c>
      <c r="Q94" t="s">
        <v>219</v>
      </c>
      <c r="R94">
        <f t="shared" si="8"/>
        <v>43</v>
      </c>
      <c r="S94">
        <f t="shared" si="5"/>
        <v>0.92500000000000004</v>
      </c>
      <c r="T94" t="str">
        <f t="shared" si="6"/>
        <v>Medium Risk</v>
      </c>
      <c r="U94" t="str">
        <f t="shared" si="7"/>
        <v>Monitor Sales</v>
      </c>
    </row>
    <row r="95" spans="1:21" x14ac:dyDescent="0.25">
      <c r="A95">
        <v>94</v>
      </c>
      <c r="B95" t="s">
        <v>75</v>
      </c>
      <c r="C95" t="s">
        <v>118</v>
      </c>
      <c r="D95" t="s">
        <v>121</v>
      </c>
      <c r="E95">
        <v>34</v>
      </c>
      <c r="F95">
        <v>253</v>
      </c>
      <c r="G95">
        <v>238</v>
      </c>
      <c r="H95">
        <v>289.08</v>
      </c>
      <c r="I95">
        <v>151.38</v>
      </c>
      <c r="J95">
        <v>65</v>
      </c>
      <c r="K95">
        <v>3</v>
      </c>
      <c r="L95" t="s">
        <v>161</v>
      </c>
      <c r="M95">
        <v>110</v>
      </c>
      <c r="N95">
        <v>2</v>
      </c>
      <c r="O95">
        <v>21</v>
      </c>
      <c r="P95" t="s">
        <v>215</v>
      </c>
      <c r="Q95" t="s">
        <v>218</v>
      </c>
      <c r="R95">
        <f t="shared" si="8"/>
        <v>15</v>
      </c>
      <c r="S95">
        <f t="shared" si="5"/>
        <v>7.4411764705882355</v>
      </c>
      <c r="T95" t="str">
        <f t="shared" si="6"/>
        <v>Low Risk</v>
      </c>
      <c r="U95" t="str">
        <f t="shared" si="7"/>
        <v>Maintain Stock</v>
      </c>
    </row>
    <row r="96" spans="1:21" x14ac:dyDescent="0.25">
      <c r="A96">
        <v>95</v>
      </c>
      <c r="B96" t="s">
        <v>76</v>
      </c>
      <c r="C96" t="s">
        <v>117</v>
      </c>
      <c r="D96" t="s">
        <v>123</v>
      </c>
      <c r="E96">
        <v>392</v>
      </c>
      <c r="F96">
        <v>99</v>
      </c>
      <c r="G96">
        <v>93</v>
      </c>
      <c r="H96">
        <v>4662.72</v>
      </c>
      <c r="I96">
        <v>3071.66</v>
      </c>
      <c r="J96">
        <v>110</v>
      </c>
      <c r="K96">
        <v>15</v>
      </c>
      <c r="L96" t="s">
        <v>183</v>
      </c>
      <c r="M96">
        <v>301</v>
      </c>
      <c r="N96">
        <v>1</v>
      </c>
      <c r="O96">
        <v>0</v>
      </c>
      <c r="P96" t="s">
        <v>215</v>
      </c>
      <c r="Q96" t="s">
        <v>218</v>
      </c>
      <c r="R96">
        <f t="shared" si="8"/>
        <v>6</v>
      </c>
      <c r="S96">
        <f t="shared" si="5"/>
        <v>0.25255102040816324</v>
      </c>
      <c r="T96" t="str">
        <f t="shared" si="6"/>
        <v>High Risk</v>
      </c>
      <c r="U96" t="str">
        <f t="shared" si="7"/>
        <v>Apply Discount / Promotion</v>
      </c>
    </row>
    <row r="97" spans="1:21" x14ac:dyDescent="0.25">
      <c r="A97">
        <v>96</v>
      </c>
      <c r="B97" t="s">
        <v>58</v>
      </c>
      <c r="C97" t="s">
        <v>120</v>
      </c>
      <c r="D97" t="s">
        <v>123</v>
      </c>
      <c r="E97">
        <v>443</v>
      </c>
      <c r="F97">
        <v>293</v>
      </c>
      <c r="G97">
        <v>341</v>
      </c>
      <c r="H97">
        <v>4445.2299999999996</v>
      </c>
      <c r="I97">
        <v>2556.14</v>
      </c>
      <c r="J97">
        <v>138</v>
      </c>
      <c r="K97">
        <v>2</v>
      </c>
      <c r="L97" t="s">
        <v>171</v>
      </c>
      <c r="M97">
        <v>205</v>
      </c>
      <c r="N97">
        <v>1</v>
      </c>
      <c r="O97">
        <v>26</v>
      </c>
      <c r="P97" t="s">
        <v>215</v>
      </c>
      <c r="Q97" t="s">
        <v>218</v>
      </c>
      <c r="R97">
        <f t="shared" si="8"/>
        <v>-48</v>
      </c>
      <c r="S97">
        <f t="shared" si="5"/>
        <v>0.66139954853273142</v>
      </c>
      <c r="T97" t="str">
        <f t="shared" si="6"/>
        <v>Medium Risk</v>
      </c>
      <c r="U97" t="str">
        <f t="shared" si="7"/>
        <v>Monitor Sales</v>
      </c>
    </row>
    <row r="98" spans="1:21" x14ac:dyDescent="0.25">
      <c r="A98">
        <v>97</v>
      </c>
      <c r="B98" t="s">
        <v>28</v>
      </c>
      <c r="C98" t="s">
        <v>116</v>
      </c>
      <c r="D98" t="s">
        <v>123</v>
      </c>
      <c r="E98">
        <v>203</v>
      </c>
      <c r="F98">
        <v>224</v>
      </c>
      <c r="G98">
        <v>201</v>
      </c>
      <c r="H98">
        <v>3719.44</v>
      </c>
      <c r="I98">
        <v>2725.79</v>
      </c>
      <c r="J98">
        <v>34</v>
      </c>
      <c r="K98">
        <v>10</v>
      </c>
      <c r="L98" t="s">
        <v>126</v>
      </c>
      <c r="M98">
        <v>279</v>
      </c>
      <c r="N98">
        <v>4</v>
      </c>
      <c r="O98">
        <v>9</v>
      </c>
      <c r="P98" t="s">
        <v>215</v>
      </c>
      <c r="Q98" t="s">
        <v>218</v>
      </c>
      <c r="R98">
        <f t="shared" si="8"/>
        <v>23</v>
      </c>
      <c r="S98">
        <f t="shared" si="5"/>
        <v>1.103448275862069</v>
      </c>
      <c r="T98" t="str">
        <f t="shared" si="6"/>
        <v>Low Risk</v>
      </c>
      <c r="U98" t="str">
        <f t="shared" si="7"/>
        <v>Maintain Stock</v>
      </c>
    </row>
    <row r="99" spans="1:21" x14ac:dyDescent="0.25">
      <c r="A99">
        <v>98</v>
      </c>
      <c r="B99" t="s">
        <v>53</v>
      </c>
      <c r="C99" t="s">
        <v>120</v>
      </c>
      <c r="D99" t="s">
        <v>122</v>
      </c>
      <c r="E99">
        <v>79</v>
      </c>
      <c r="F99">
        <v>51</v>
      </c>
      <c r="G99">
        <v>25</v>
      </c>
      <c r="H99">
        <v>1976.01</v>
      </c>
      <c r="I99">
        <v>1118.94</v>
      </c>
      <c r="J99">
        <v>57</v>
      </c>
      <c r="K99">
        <v>1</v>
      </c>
      <c r="L99" t="s">
        <v>184</v>
      </c>
      <c r="M99">
        <v>33</v>
      </c>
      <c r="N99">
        <v>5</v>
      </c>
      <c r="O99">
        <v>45</v>
      </c>
      <c r="P99" t="s">
        <v>216</v>
      </c>
      <c r="Q99" t="s">
        <v>217</v>
      </c>
      <c r="R99">
        <f t="shared" si="8"/>
        <v>26</v>
      </c>
      <c r="S99">
        <f t="shared" si="5"/>
        <v>0.64556962025316456</v>
      </c>
      <c r="T99" t="str">
        <f t="shared" si="6"/>
        <v>Medium Risk</v>
      </c>
      <c r="U99" t="str">
        <f t="shared" si="7"/>
        <v>Monitor Sales</v>
      </c>
    </row>
    <row r="100" spans="1:21" x14ac:dyDescent="0.25">
      <c r="A100">
        <v>99</v>
      </c>
      <c r="B100" t="s">
        <v>40</v>
      </c>
      <c r="C100" t="s">
        <v>116</v>
      </c>
      <c r="D100" t="s">
        <v>123</v>
      </c>
      <c r="E100">
        <v>113</v>
      </c>
      <c r="F100">
        <v>339</v>
      </c>
      <c r="G100">
        <v>291</v>
      </c>
      <c r="H100">
        <v>4406.3</v>
      </c>
      <c r="I100">
        <v>2311.08</v>
      </c>
      <c r="J100">
        <v>104</v>
      </c>
      <c r="K100">
        <v>2</v>
      </c>
      <c r="L100" t="s">
        <v>185</v>
      </c>
      <c r="M100">
        <v>116</v>
      </c>
      <c r="N100">
        <v>5</v>
      </c>
      <c r="O100">
        <v>13</v>
      </c>
      <c r="P100" t="s">
        <v>216</v>
      </c>
      <c r="Q100" t="s">
        <v>219</v>
      </c>
      <c r="R100">
        <f t="shared" si="8"/>
        <v>48</v>
      </c>
      <c r="S100">
        <f t="shared" si="5"/>
        <v>3</v>
      </c>
      <c r="T100" t="str">
        <f t="shared" si="6"/>
        <v>Low Risk</v>
      </c>
      <c r="U100" t="str">
        <f t="shared" si="7"/>
        <v>Maintain Stock</v>
      </c>
    </row>
    <row r="101" spans="1:21" x14ac:dyDescent="0.25">
      <c r="A101">
        <v>100</v>
      </c>
      <c r="B101" t="s">
        <v>62</v>
      </c>
      <c r="C101" t="s">
        <v>118</v>
      </c>
      <c r="D101" t="s">
        <v>123</v>
      </c>
      <c r="E101">
        <v>120</v>
      </c>
      <c r="F101">
        <v>100</v>
      </c>
      <c r="G101">
        <v>132</v>
      </c>
      <c r="H101">
        <v>2984.26</v>
      </c>
      <c r="I101">
        <v>2339.33</v>
      </c>
      <c r="J101">
        <v>57</v>
      </c>
      <c r="K101">
        <v>6</v>
      </c>
      <c r="L101" t="s">
        <v>166</v>
      </c>
      <c r="M101">
        <v>275</v>
      </c>
      <c r="N101">
        <v>2</v>
      </c>
      <c r="O101">
        <v>30</v>
      </c>
      <c r="P101" t="s">
        <v>216</v>
      </c>
      <c r="Q101" t="s">
        <v>217</v>
      </c>
      <c r="R101">
        <f t="shared" si="8"/>
        <v>-32</v>
      </c>
      <c r="S101">
        <f t="shared" si="5"/>
        <v>0.83333333333333337</v>
      </c>
      <c r="T101" t="str">
        <f t="shared" si="6"/>
        <v>Medium Risk</v>
      </c>
      <c r="U101" t="str">
        <f t="shared" si="7"/>
        <v>Monitor Sales</v>
      </c>
    </row>
    <row r="102" spans="1:21" x14ac:dyDescent="0.25">
      <c r="A102">
        <v>101</v>
      </c>
      <c r="B102" t="s">
        <v>33</v>
      </c>
      <c r="C102" t="s">
        <v>119</v>
      </c>
      <c r="D102" t="s">
        <v>122</v>
      </c>
      <c r="E102">
        <v>204</v>
      </c>
      <c r="F102">
        <v>262</v>
      </c>
      <c r="G102">
        <v>239</v>
      </c>
      <c r="H102">
        <v>311.14</v>
      </c>
      <c r="I102">
        <v>190.84</v>
      </c>
      <c r="J102">
        <v>72</v>
      </c>
      <c r="K102">
        <v>12</v>
      </c>
      <c r="L102" t="s">
        <v>152</v>
      </c>
      <c r="M102">
        <v>138</v>
      </c>
      <c r="N102">
        <v>3</v>
      </c>
      <c r="O102">
        <v>25</v>
      </c>
      <c r="P102" t="s">
        <v>216</v>
      </c>
      <c r="Q102" t="s">
        <v>217</v>
      </c>
      <c r="R102">
        <f t="shared" si="8"/>
        <v>23</v>
      </c>
      <c r="S102">
        <f t="shared" si="5"/>
        <v>1.2843137254901962</v>
      </c>
      <c r="T102" t="str">
        <f t="shared" si="6"/>
        <v>Low Risk</v>
      </c>
      <c r="U102" t="str">
        <f t="shared" si="7"/>
        <v>Maintain Stock</v>
      </c>
    </row>
    <row r="103" spans="1:21" x14ac:dyDescent="0.25">
      <c r="A103">
        <v>102</v>
      </c>
      <c r="B103" t="s">
        <v>75</v>
      </c>
      <c r="C103" t="s">
        <v>119</v>
      </c>
      <c r="D103" t="s">
        <v>123</v>
      </c>
      <c r="E103">
        <v>108</v>
      </c>
      <c r="F103">
        <v>234</v>
      </c>
      <c r="G103">
        <v>270</v>
      </c>
      <c r="H103">
        <v>1164.8599999999999</v>
      </c>
      <c r="I103">
        <v>880.48</v>
      </c>
      <c r="J103">
        <v>36</v>
      </c>
      <c r="K103">
        <v>14</v>
      </c>
      <c r="L103" t="s">
        <v>176</v>
      </c>
      <c r="M103">
        <v>346</v>
      </c>
      <c r="N103">
        <v>3</v>
      </c>
      <c r="O103">
        <v>50</v>
      </c>
      <c r="P103" t="s">
        <v>215</v>
      </c>
      <c r="Q103" t="s">
        <v>218</v>
      </c>
      <c r="R103">
        <f t="shared" si="8"/>
        <v>-36</v>
      </c>
      <c r="S103">
        <f t="shared" si="5"/>
        <v>2.1666666666666665</v>
      </c>
      <c r="T103" t="str">
        <f t="shared" si="6"/>
        <v>Low Risk</v>
      </c>
      <c r="U103" t="str">
        <f t="shared" si="7"/>
        <v>Maintain Stock</v>
      </c>
    </row>
    <row r="104" spans="1:21" x14ac:dyDescent="0.25">
      <c r="A104">
        <v>103</v>
      </c>
      <c r="B104" t="s">
        <v>58</v>
      </c>
      <c r="C104" t="s">
        <v>116</v>
      </c>
      <c r="D104" t="s">
        <v>123</v>
      </c>
      <c r="E104">
        <v>412</v>
      </c>
      <c r="F104">
        <v>28</v>
      </c>
      <c r="G104">
        <v>27</v>
      </c>
      <c r="H104">
        <v>4429.12</v>
      </c>
      <c r="I104">
        <v>3198.36</v>
      </c>
      <c r="J104">
        <v>146</v>
      </c>
      <c r="K104">
        <v>8</v>
      </c>
      <c r="L104" t="s">
        <v>164</v>
      </c>
      <c r="M104">
        <v>209</v>
      </c>
      <c r="N104">
        <v>1</v>
      </c>
      <c r="O104">
        <v>5</v>
      </c>
      <c r="P104" t="s">
        <v>215</v>
      </c>
      <c r="Q104" t="s">
        <v>217</v>
      </c>
      <c r="R104">
        <f t="shared" si="8"/>
        <v>1</v>
      </c>
      <c r="S104">
        <f t="shared" si="5"/>
        <v>6.7961165048543687E-2</v>
      </c>
      <c r="T104" t="str">
        <f t="shared" si="6"/>
        <v>High Risk</v>
      </c>
      <c r="U104" t="str">
        <f t="shared" si="7"/>
        <v>Apply Discount / Promotion</v>
      </c>
    </row>
    <row r="105" spans="1:21" x14ac:dyDescent="0.25">
      <c r="A105">
        <v>104</v>
      </c>
      <c r="B105" t="s">
        <v>58</v>
      </c>
      <c r="C105" t="s">
        <v>120</v>
      </c>
      <c r="D105" t="s">
        <v>121</v>
      </c>
      <c r="E105">
        <v>25</v>
      </c>
      <c r="F105">
        <v>169</v>
      </c>
      <c r="G105">
        <v>164</v>
      </c>
      <c r="H105">
        <v>3224.81</v>
      </c>
      <c r="I105">
        <v>2548.08</v>
      </c>
      <c r="J105">
        <v>89</v>
      </c>
      <c r="K105">
        <v>5</v>
      </c>
      <c r="L105" t="s">
        <v>186</v>
      </c>
      <c r="M105">
        <v>334</v>
      </c>
      <c r="N105">
        <v>1</v>
      </c>
      <c r="O105">
        <v>38</v>
      </c>
      <c r="P105" t="s">
        <v>216</v>
      </c>
      <c r="Q105" t="s">
        <v>218</v>
      </c>
      <c r="R105">
        <f t="shared" si="8"/>
        <v>5</v>
      </c>
      <c r="S105">
        <f t="shared" si="5"/>
        <v>6.76</v>
      </c>
      <c r="T105" t="str">
        <f t="shared" si="6"/>
        <v>Low Risk</v>
      </c>
      <c r="U105" t="str">
        <f t="shared" si="7"/>
        <v>Maintain Stock</v>
      </c>
    </row>
    <row r="106" spans="1:21" x14ac:dyDescent="0.25">
      <c r="A106">
        <v>105</v>
      </c>
      <c r="B106" t="s">
        <v>31</v>
      </c>
      <c r="C106" t="s">
        <v>117</v>
      </c>
      <c r="D106" t="s">
        <v>123</v>
      </c>
      <c r="E106">
        <v>41</v>
      </c>
      <c r="F106">
        <v>34</v>
      </c>
      <c r="G106">
        <v>31</v>
      </c>
      <c r="H106">
        <v>3711.56</v>
      </c>
      <c r="I106">
        <v>2309.4299999999998</v>
      </c>
      <c r="J106">
        <v>114</v>
      </c>
      <c r="K106">
        <v>5</v>
      </c>
      <c r="L106" t="s">
        <v>187</v>
      </c>
      <c r="M106">
        <v>117</v>
      </c>
      <c r="N106">
        <v>3</v>
      </c>
      <c r="O106">
        <v>31</v>
      </c>
      <c r="P106" t="s">
        <v>215</v>
      </c>
      <c r="Q106" t="s">
        <v>219</v>
      </c>
      <c r="R106">
        <f t="shared" si="8"/>
        <v>3</v>
      </c>
      <c r="S106">
        <f t="shared" si="5"/>
        <v>0.82926829268292679</v>
      </c>
      <c r="T106" t="str">
        <f t="shared" si="6"/>
        <v>Medium Risk</v>
      </c>
      <c r="U106" t="str">
        <f t="shared" si="7"/>
        <v>Monitor Sales</v>
      </c>
    </row>
    <row r="107" spans="1:21" x14ac:dyDescent="0.25">
      <c r="A107">
        <v>106</v>
      </c>
      <c r="B107" t="s">
        <v>77</v>
      </c>
      <c r="C107" t="s">
        <v>120</v>
      </c>
      <c r="D107" t="s">
        <v>122</v>
      </c>
      <c r="E107">
        <v>39</v>
      </c>
      <c r="F107">
        <v>278</v>
      </c>
      <c r="G107">
        <v>242</v>
      </c>
      <c r="H107">
        <v>2443.75</v>
      </c>
      <c r="I107">
        <v>1808.58</v>
      </c>
      <c r="J107">
        <v>112</v>
      </c>
      <c r="K107">
        <v>4</v>
      </c>
      <c r="L107" t="s">
        <v>188</v>
      </c>
      <c r="M107">
        <v>62</v>
      </c>
      <c r="N107">
        <v>1</v>
      </c>
      <c r="O107">
        <v>47</v>
      </c>
      <c r="P107" t="s">
        <v>216</v>
      </c>
      <c r="Q107" t="s">
        <v>219</v>
      </c>
      <c r="R107">
        <f t="shared" si="8"/>
        <v>36</v>
      </c>
      <c r="S107">
        <f t="shared" si="5"/>
        <v>7.1282051282051286</v>
      </c>
      <c r="T107" t="str">
        <f t="shared" si="6"/>
        <v>Low Risk</v>
      </c>
      <c r="U107" t="str">
        <f t="shared" si="7"/>
        <v>Maintain Stock</v>
      </c>
    </row>
    <row r="108" spans="1:21" x14ac:dyDescent="0.25">
      <c r="A108">
        <v>107</v>
      </c>
      <c r="B108" t="s">
        <v>53</v>
      </c>
      <c r="C108" t="s">
        <v>119</v>
      </c>
      <c r="D108" t="s">
        <v>122</v>
      </c>
      <c r="E108">
        <v>247</v>
      </c>
      <c r="F108">
        <v>190</v>
      </c>
      <c r="G108">
        <v>193</v>
      </c>
      <c r="H108">
        <v>1128.68</v>
      </c>
      <c r="I108">
        <v>735.28</v>
      </c>
      <c r="J108">
        <v>117</v>
      </c>
      <c r="K108">
        <v>2</v>
      </c>
      <c r="L108" t="s">
        <v>150</v>
      </c>
      <c r="M108">
        <v>118</v>
      </c>
      <c r="N108">
        <v>1</v>
      </c>
      <c r="O108">
        <v>41</v>
      </c>
      <c r="P108" t="s">
        <v>216</v>
      </c>
      <c r="Q108" t="s">
        <v>218</v>
      </c>
      <c r="R108">
        <f t="shared" si="8"/>
        <v>-3</v>
      </c>
      <c r="S108">
        <f t="shared" si="5"/>
        <v>0.76923076923076927</v>
      </c>
      <c r="T108" t="str">
        <f t="shared" si="6"/>
        <v>Medium Risk</v>
      </c>
      <c r="U108" t="str">
        <f t="shared" si="7"/>
        <v>Monitor Sales</v>
      </c>
    </row>
    <row r="109" spans="1:21" x14ac:dyDescent="0.25">
      <c r="A109">
        <v>108</v>
      </c>
      <c r="B109" t="s">
        <v>78</v>
      </c>
      <c r="C109" t="s">
        <v>119</v>
      </c>
      <c r="D109" t="s">
        <v>124</v>
      </c>
      <c r="E109">
        <v>230</v>
      </c>
      <c r="F109">
        <v>47</v>
      </c>
      <c r="G109">
        <v>77</v>
      </c>
      <c r="H109">
        <v>3341.89</v>
      </c>
      <c r="I109">
        <v>2404.85</v>
      </c>
      <c r="J109">
        <v>81</v>
      </c>
      <c r="K109">
        <v>3</v>
      </c>
      <c r="L109" t="s">
        <v>158</v>
      </c>
      <c r="M109">
        <v>310</v>
      </c>
      <c r="N109">
        <v>1</v>
      </c>
      <c r="O109">
        <v>30</v>
      </c>
      <c r="P109" t="s">
        <v>215</v>
      </c>
      <c r="Q109" t="s">
        <v>219</v>
      </c>
      <c r="R109">
        <f t="shared" si="8"/>
        <v>-30</v>
      </c>
      <c r="S109">
        <f t="shared" si="5"/>
        <v>0.20434782608695654</v>
      </c>
      <c r="T109" t="str">
        <f t="shared" si="6"/>
        <v>High Risk</v>
      </c>
      <c r="U109" t="str">
        <f t="shared" si="7"/>
        <v>Apply Discount / Promotion</v>
      </c>
    </row>
    <row r="110" spans="1:21" x14ac:dyDescent="0.25">
      <c r="A110">
        <v>109</v>
      </c>
      <c r="B110" t="s">
        <v>20</v>
      </c>
      <c r="C110" t="s">
        <v>120</v>
      </c>
      <c r="D110" t="s">
        <v>121</v>
      </c>
      <c r="E110">
        <v>253</v>
      </c>
      <c r="F110">
        <v>152</v>
      </c>
      <c r="G110">
        <v>157</v>
      </c>
      <c r="H110">
        <v>82.25</v>
      </c>
      <c r="I110">
        <v>60.49</v>
      </c>
      <c r="J110">
        <v>49</v>
      </c>
      <c r="K110">
        <v>10</v>
      </c>
      <c r="L110" t="s">
        <v>180</v>
      </c>
      <c r="M110">
        <v>319</v>
      </c>
      <c r="N110">
        <v>4</v>
      </c>
      <c r="O110">
        <v>20</v>
      </c>
      <c r="P110" t="s">
        <v>216</v>
      </c>
      <c r="Q110" t="s">
        <v>219</v>
      </c>
      <c r="R110">
        <f t="shared" si="8"/>
        <v>-5</v>
      </c>
      <c r="S110">
        <f t="shared" si="5"/>
        <v>0.60079051383399207</v>
      </c>
      <c r="T110" t="str">
        <f t="shared" si="6"/>
        <v>Medium Risk</v>
      </c>
      <c r="U110" t="str">
        <f t="shared" si="7"/>
        <v>Monitor Sales</v>
      </c>
    </row>
    <row r="111" spans="1:21" x14ac:dyDescent="0.25">
      <c r="A111">
        <v>110</v>
      </c>
      <c r="B111" t="s">
        <v>79</v>
      </c>
      <c r="C111" t="s">
        <v>118</v>
      </c>
      <c r="D111" t="s">
        <v>123</v>
      </c>
      <c r="E111">
        <v>379</v>
      </c>
      <c r="F111">
        <v>203</v>
      </c>
      <c r="G111">
        <v>164</v>
      </c>
      <c r="H111">
        <v>2810.5</v>
      </c>
      <c r="I111">
        <v>1938.67</v>
      </c>
      <c r="J111">
        <v>57</v>
      </c>
      <c r="K111">
        <v>15</v>
      </c>
      <c r="L111" t="s">
        <v>140</v>
      </c>
      <c r="M111">
        <v>289</v>
      </c>
      <c r="N111">
        <v>1</v>
      </c>
      <c r="O111">
        <v>17</v>
      </c>
      <c r="P111" t="s">
        <v>215</v>
      </c>
      <c r="Q111" t="s">
        <v>217</v>
      </c>
      <c r="R111">
        <f t="shared" si="8"/>
        <v>39</v>
      </c>
      <c r="S111">
        <f t="shared" si="5"/>
        <v>0.53562005277044855</v>
      </c>
      <c r="T111" t="str">
        <f t="shared" si="6"/>
        <v>Medium Risk</v>
      </c>
      <c r="U111" t="str">
        <f t="shared" si="7"/>
        <v>Monitor Sales</v>
      </c>
    </row>
    <row r="112" spans="1:21" x14ac:dyDescent="0.25">
      <c r="A112">
        <v>111</v>
      </c>
      <c r="B112" t="s">
        <v>19</v>
      </c>
      <c r="C112" t="s">
        <v>117</v>
      </c>
      <c r="D112" t="s">
        <v>123</v>
      </c>
      <c r="E112">
        <v>207</v>
      </c>
      <c r="F112">
        <v>125</v>
      </c>
      <c r="G112">
        <v>174</v>
      </c>
      <c r="H112">
        <v>3323.76</v>
      </c>
      <c r="I112">
        <v>2415.0100000000002</v>
      </c>
      <c r="J112">
        <v>37</v>
      </c>
      <c r="K112">
        <v>14</v>
      </c>
      <c r="L112" t="s">
        <v>189</v>
      </c>
      <c r="M112">
        <v>178</v>
      </c>
      <c r="N112">
        <v>3</v>
      </c>
      <c r="O112">
        <v>21</v>
      </c>
      <c r="P112" t="s">
        <v>216</v>
      </c>
      <c r="Q112" t="s">
        <v>217</v>
      </c>
      <c r="R112">
        <f t="shared" si="8"/>
        <v>-49</v>
      </c>
      <c r="S112">
        <f t="shared" si="5"/>
        <v>0.60386473429951693</v>
      </c>
      <c r="T112" t="str">
        <f t="shared" si="6"/>
        <v>Medium Risk</v>
      </c>
      <c r="U112" t="str">
        <f t="shared" si="7"/>
        <v>Monitor Sales</v>
      </c>
    </row>
    <row r="113" spans="1:21" x14ac:dyDescent="0.25">
      <c r="A113">
        <v>112</v>
      </c>
      <c r="B113" t="s">
        <v>80</v>
      </c>
      <c r="C113" t="s">
        <v>118</v>
      </c>
      <c r="D113" t="s">
        <v>121</v>
      </c>
      <c r="E113">
        <v>348</v>
      </c>
      <c r="F113">
        <v>199</v>
      </c>
      <c r="G113">
        <v>199</v>
      </c>
      <c r="H113">
        <v>4020.03</v>
      </c>
      <c r="I113">
        <v>2334.7199999999998</v>
      </c>
      <c r="J113">
        <v>125</v>
      </c>
      <c r="K113">
        <v>12</v>
      </c>
      <c r="L113" t="s">
        <v>183</v>
      </c>
      <c r="M113">
        <v>318</v>
      </c>
      <c r="N113">
        <v>5</v>
      </c>
      <c r="O113">
        <v>1</v>
      </c>
      <c r="P113" t="s">
        <v>216</v>
      </c>
      <c r="Q113" t="s">
        <v>218</v>
      </c>
      <c r="R113">
        <f t="shared" si="8"/>
        <v>0</v>
      </c>
      <c r="S113">
        <f t="shared" si="5"/>
        <v>0.57183908045977017</v>
      </c>
      <c r="T113" t="str">
        <f t="shared" si="6"/>
        <v>Medium Risk</v>
      </c>
      <c r="U113" t="str">
        <f t="shared" si="7"/>
        <v>Monitor Sales</v>
      </c>
    </row>
    <row r="114" spans="1:21" x14ac:dyDescent="0.25">
      <c r="A114">
        <v>113</v>
      </c>
      <c r="B114" t="s">
        <v>81</v>
      </c>
      <c r="C114" t="s">
        <v>117</v>
      </c>
      <c r="D114" t="s">
        <v>122</v>
      </c>
      <c r="E114">
        <v>218</v>
      </c>
      <c r="F114">
        <v>232</v>
      </c>
      <c r="G114">
        <v>246</v>
      </c>
      <c r="H114">
        <v>196.5</v>
      </c>
      <c r="I114">
        <v>148.58000000000001</v>
      </c>
      <c r="J114">
        <v>54</v>
      </c>
      <c r="K114">
        <v>7</v>
      </c>
      <c r="L114" t="s">
        <v>160</v>
      </c>
      <c r="M114">
        <v>138</v>
      </c>
      <c r="N114">
        <v>5</v>
      </c>
      <c r="O114">
        <v>28</v>
      </c>
      <c r="P114" t="s">
        <v>216</v>
      </c>
      <c r="Q114" t="s">
        <v>218</v>
      </c>
      <c r="R114">
        <f t="shared" si="8"/>
        <v>-14</v>
      </c>
      <c r="S114">
        <f t="shared" si="5"/>
        <v>1.0642201834862386</v>
      </c>
      <c r="T114" t="str">
        <f t="shared" si="6"/>
        <v>Low Risk</v>
      </c>
      <c r="U114" t="str">
        <f t="shared" si="7"/>
        <v>Maintain Stock</v>
      </c>
    </row>
    <row r="115" spans="1:21" x14ac:dyDescent="0.25">
      <c r="A115">
        <v>114</v>
      </c>
      <c r="B115" t="s">
        <v>29</v>
      </c>
      <c r="C115" t="s">
        <v>117</v>
      </c>
      <c r="D115" t="s">
        <v>124</v>
      </c>
      <c r="E115">
        <v>139</v>
      </c>
      <c r="F115">
        <v>256</v>
      </c>
      <c r="G115">
        <v>213</v>
      </c>
      <c r="H115">
        <v>792.88</v>
      </c>
      <c r="I115">
        <v>444.94</v>
      </c>
      <c r="J115">
        <v>107</v>
      </c>
      <c r="K115">
        <v>11</v>
      </c>
      <c r="L115" t="s">
        <v>190</v>
      </c>
      <c r="M115">
        <v>38</v>
      </c>
      <c r="N115">
        <v>5</v>
      </c>
      <c r="O115">
        <v>1</v>
      </c>
      <c r="P115" t="s">
        <v>215</v>
      </c>
      <c r="Q115" t="s">
        <v>219</v>
      </c>
      <c r="R115">
        <f t="shared" si="8"/>
        <v>43</v>
      </c>
      <c r="S115">
        <f t="shared" si="5"/>
        <v>1.8417266187050361</v>
      </c>
      <c r="T115" t="str">
        <f t="shared" si="6"/>
        <v>Low Risk</v>
      </c>
      <c r="U115" t="str">
        <f t="shared" si="7"/>
        <v>Maintain Stock</v>
      </c>
    </row>
    <row r="116" spans="1:21" x14ac:dyDescent="0.25">
      <c r="A116">
        <v>115</v>
      </c>
      <c r="B116" t="s">
        <v>68</v>
      </c>
      <c r="C116" t="s">
        <v>116</v>
      </c>
      <c r="D116" t="s">
        <v>121</v>
      </c>
      <c r="E116">
        <v>22</v>
      </c>
      <c r="F116">
        <v>368</v>
      </c>
      <c r="G116">
        <v>368</v>
      </c>
      <c r="H116">
        <v>1203.8699999999999</v>
      </c>
      <c r="I116">
        <v>850.7</v>
      </c>
      <c r="J116">
        <v>77</v>
      </c>
      <c r="K116">
        <v>8</v>
      </c>
      <c r="L116" t="s">
        <v>129</v>
      </c>
      <c r="M116">
        <v>41</v>
      </c>
      <c r="N116">
        <v>4</v>
      </c>
      <c r="O116">
        <v>32</v>
      </c>
      <c r="P116" t="s">
        <v>215</v>
      </c>
      <c r="Q116" t="s">
        <v>219</v>
      </c>
      <c r="R116">
        <f t="shared" si="8"/>
        <v>0</v>
      </c>
      <c r="S116">
        <f t="shared" si="5"/>
        <v>16.727272727272727</v>
      </c>
      <c r="T116" t="str">
        <f t="shared" si="6"/>
        <v>Low Risk</v>
      </c>
      <c r="U116" t="str">
        <f t="shared" si="7"/>
        <v>Maintain Stock</v>
      </c>
    </row>
    <row r="117" spans="1:21" x14ac:dyDescent="0.25">
      <c r="A117">
        <v>116</v>
      </c>
      <c r="B117" t="s">
        <v>82</v>
      </c>
      <c r="C117" t="s">
        <v>120</v>
      </c>
      <c r="D117" t="s">
        <v>121</v>
      </c>
      <c r="E117">
        <v>375</v>
      </c>
      <c r="F117">
        <v>85</v>
      </c>
      <c r="G117">
        <v>78</v>
      </c>
      <c r="H117">
        <v>4233.29</v>
      </c>
      <c r="I117">
        <v>2503.04</v>
      </c>
      <c r="J117">
        <v>48</v>
      </c>
      <c r="K117">
        <v>6</v>
      </c>
      <c r="L117" t="s">
        <v>187</v>
      </c>
      <c r="M117">
        <v>145</v>
      </c>
      <c r="N117">
        <v>1</v>
      </c>
      <c r="O117">
        <v>12</v>
      </c>
      <c r="P117" t="s">
        <v>216</v>
      </c>
      <c r="Q117" t="s">
        <v>217</v>
      </c>
      <c r="R117">
        <f t="shared" si="8"/>
        <v>7</v>
      </c>
      <c r="S117">
        <f t="shared" si="5"/>
        <v>0.22666666666666666</v>
      </c>
      <c r="T117" t="str">
        <f t="shared" si="6"/>
        <v>High Risk</v>
      </c>
      <c r="U117" t="str">
        <f t="shared" si="7"/>
        <v>Apply Discount / Promotion</v>
      </c>
    </row>
    <row r="118" spans="1:21" x14ac:dyDescent="0.25">
      <c r="A118">
        <v>117</v>
      </c>
      <c r="B118" t="s">
        <v>83</v>
      </c>
      <c r="C118" t="s">
        <v>119</v>
      </c>
      <c r="D118" t="s">
        <v>122</v>
      </c>
      <c r="E118">
        <v>479</v>
      </c>
      <c r="F118">
        <v>193</v>
      </c>
      <c r="G118">
        <v>202</v>
      </c>
      <c r="H118">
        <v>4870.22</v>
      </c>
      <c r="I118">
        <v>2643.01</v>
      </c>
      <c r="J118">
        <v>77</v>
      </c>
      <c r="K118">
        <v>3</v>
      </c>
      <c r="L118" t="s">
        <v>191</v>
      </c>
      <c r="M118">
        <v>79</v>
      </c>
      <c r="N118">
        <v>3</v>
      </c>
      <c r="O118">
        <v>18</v>
      </c>
      <c r="P118" t="s">
        <v>215</v>
      </c>
      <c r="Q118" t="s">
        <v>219</v>
      </c>
      <c r="R118">
        <f t="shared" si="8"/>
        <v>-9</v>
      </c>
      <c r="S118">
        <f t="shared" si="5"/>
        <v>0.40292275574112735</v>
      </c>
      <c r="T118" t="str">
        <f t="shared" si="6"/>
        <v>High Risk</v>
      </c>
      <c r="U118" t="str">
        <f t="shared" si="7"/>
        <v>Apply Discount / Promotion</v>
      </c>
    </row>
    <row r="119" spans="1:21" x14ac:dyDescent="0.25">
      <c r="A119">
        <v>118</v>
      </c>
      <c r="B119" t="s">
        <v>33</v>
      </c>
      <c r="C119" t="s">
        <v>118</v>
      </c>
      <c r="D119" t="s">
        <v>124</v>
      </c>
      <c r="E119">
        <v>63</v>
      </c>
      <c r="F119">
        <v>333</v>
      </c>
      <c r="G119">
        <v>377</v>
      </c>
      <c r="H119">
        <v>1845.42</v>
      </c>
      <c r="I119">
        <v>1212.06</v>
      </c>
      <c r="J119">
        <v>33</v>
      </c>
      <c r="K119">
        <v>14</v>
      </c>
      <c r="L119" t="s">
        <v>152</v>
      </c>
      <c r="M119">
        <v>81</v>
      </c>
      <c r="N119">
        <v>3</v>
      </c>
      <c r="O119">
        <v>21</v>
      </c>
      <c r="P119" t="s">
        <v>216</v>
      </c>
      <c r="Q119" t="s">
        <v>218</v>
      </c>
      <c r="R119">
        <f t="shared" si="8"/>
        <v>-44</v>
      </c>
      <c r="S119">
        <f t="shared" si="5"/>
        <v>5.2857142857142856</v>
      </c>
      <c r="T119" t="str">
        <f t="shared" si="6"/>
        <v>Low Risk</v>
      </c>
      <c r="U119" t="str">
        <f t="shared" si="7"/>
        <v>Maintain Stock</v>
      </c>
    </row>
    <row r="120" spans="1:21" x14ac:dyDescent="0.25">
      <c r="A120">
        <v>119</v>
      </c>
      <c r="B120" t="s">
        <v>84</v>
      </c>
      <c r="C120" t="s">
        <v>120</v>
      </c>
      <c r="D120" t="s">
        <v>124</v>
      </c>
      <c r="E120">
        <v>423</v>
      </c>
      <c r="F120">
        <v>169</v>
      </c>
      <c r="G120">
        <v>141</v>
      </c>
      <c r="H120">
        <v>4346.24</v>
      </c>
      <c r="I120">
        <v>2180.3000000000002</v>
      </c>
      <c r="J120">
        <v>35</v>
      </c>
      <c r="K120">
        <v>6</v>
      </c>
      <c r="L120" t="s">
        <v>136</v>
      </c>
      <c r="M120">
        <v>257</v>
      </c>
      <c r="N120">
        <v>5</v>
      </c>
      <c r="O120">
        <v>45</v>
      </c>
      <c r="P120" t="s">
        <v>215</v>
      </c>
      <c r="Q120" t="s">
        <v>219</v>
      </c>
      <c r="R120">
        <f t="shared" si="8"/>
        <v>28</v>
      </c>
      <c r="S120">
        <f t="shared" si="5"/>
        <v>0.39952718676122934</v>
      </c>
      <c r="T120" t="str">
        <f t="shared" si="6"/>
        <v>High Risk</v>
      </c>
      <c r="U120" t="str">
        <f t="shared" si="7"/>
        <v>Apply Discount / Promotion</v>
      </c>
    </row>
    <row r="121" spans="1:21" x14ac:dyDescent="0.25">
      <c r="A121">
        <v>120</v>
      </c>
      <c r="B121" t="s">
        <v>57</v>
      </c>
      <c r="C121" t="s">
        <v>120</v>
      </c>
      <c r="D121" t="s">
        <v>121</v>
      </c>
      <c r="E121">
        <v>235</v>
      </c>
      <c r="F121">
        <v>37</v>
      </c>
      <c r="G121">
        <v>29</v>
      </c>
      <c r="H121">
        <v>3526.87</v>
      </c>
      <c r="I121">
        <v>2408.77</v>
      </c>
      <c r="J121">
        <v>92</v>
      </c>
      <c r="K121">
        <v>8</v>
      </c>
      <c r="L121" t="s">
        <v>147</v>
      </c>
      <c r="M121">
        <v>356</v>
      </c>
      <c r="N121">
        <v>2</v>
      </c>
      <c r="O121">
        <v>2</v>
      </c>
      <c r="P121" t="s">
        <v>215</v>
      </c>
      <c r="Q121" t="s">
        <v>218</v>
      </c>
      <c r="R121">
        <f t="shared" si="8"/>
        <v>8</v>
      </c>
      <c r="S121">
        <f t="shared" si="5"/>
        <v>0.1574468085106383</v>
      </c>
      <c r="T121" t="str">
        <f t="shared" si="6"/>
        <v>High Risk</v>
      </c>
      <c r="U121" t="str">
        <f t="shared" si="7"/>
        <v>Apply Discount / Promotion</v>
      </c>
    </row>
    <row r="122" spans="1:21" x14ac:dyDescent="0.25">
      <c r="A122">
        <v>121</v>
      </c>
      <c r="B122" t="s">
        <v>17</v>
      </c>
      <c r="C122" t="s">
        <v>119</v>
      </c>
      <c r="D122" t="s">
        <v>124</v>
      </c>
      <c r="E122">
        <v>459</v>
      </c>
      <c r="F122">
        <v>32</v>
      </c>
      <c r="G122">
        <v>79</v>
      </c>
      <c r="H122">
        <v>4728.5600000000004</v>
      </c>
      <c r="I122">
        <v>2557.63</v>
      </c>
      <c r="J122">
        <v>84</v>
      </c>
      <c r="K122">
        <v>15</v>
      </c>
      <c r="L122" t="s">
        <v>177</v>
      </c>
      <c r="M122">
        <v>348</v>
      </c>
      <c r="N122">
        <v>5</v>
      </c>
      <c r="O122">
        <v>22</v>
      </c>
      <c r="P122" t="s">
        <v>216</v>
      </c>
      <c r="Q122" t="s">
        <v>219</v>
      </c>
      <c r="R122">
        <f t="shared" si="8"/>
        <v>-47</v>
      </c>
      <c r="S122">
        <f t="shared" si="5"/>
        <v>6.9716775599128547E-2</v>
      </c>
      <c r="T122" t="str">
        <f t="shared" si="6"/>
        <v>High Risk</v>
      </c>
      <c r="U122" t="str">
        <f t="shared" si="7"/>
        <v>Apply Discount / Promotion</v>
      </c>
    </row>
    <row r="123" spans="1:21" x14ac:dyDescent="0.25">
      <c r="A123">
        <v>122</v>
      </c>
      <c r="B123" t="s">
        <v>85</v>
      </c>
      <c r="C123" t="s">
        <v>118</v>
      </c>
      <c r="D123" t="s">
        <v>122</v>
      </c>
      <c r="E123">
        <v>311</v>
      </c>
      <c r="F123">
        <v>101</v>
      </c>
      <c r="G123">
        <v>55</v>
      </c>
      <c r="H123">
        <v>403.05</v>
      </c>
      <c r="I123">
        <v>306.63</v>
      </c>
      <c r="J123">
        <v>36</v>
      </c>
      <c r="K123">
        <v>8</v>
      </c>
      <c r="L123" t="s">
        <v>181</v>
      </c>
      <c r="M123">
        <v>192</v>
      </c>
      <c r="N123">
        <v>1</v>
      </c>
      <c r="O123">
        <v>30</v>
      </c>
      <c r="P123" t="s">
        <v>215</v>
      </c>
      <c r="Q123" t="s">
        <v>218</v>
      </c>
      <c r="R123">
        <f t="shared" si="8"/>
        <v>46</v>
      </c>
      <c r="S123">
        <f t="shared" si="5"/>
        <v>0.32475884244372988</v>
      </c>
      <c r="T123" t="str">
        <f t="shared" si="6"/>
        <v>High Risk</v>
      </c>
      <c r="U123" t="str">
        <f t="shared" si="7"/>
        <v>Apply Discount / Promotion</v>
      </c>
    </row>
    <row r="124" spans="1:21" x14ac:dyDescent="0.25">
      <c r="A124">
        <v>123</v>
      </c>
      <c r="B124" t="s">
        <v>31</v>
      </c>
      <c r="C124" t="s">
        <v>118</v>
      </c>
      <c r="D124" t="s">
        <v>121</v>
      </c>
      <c r="E124">
        <v>478</v>
      </c>
      <c r="F124">
        <v>281</v>
      </c>
      <c r="G124">
        <v>271</v>
      </c>
      <c r="H124">
        <v>3628.43</v>
      </c>
      <c r="I124">
        <v>2666.47</v>
      </c>
      <c r="J124">
        <v>40</v>
      </c>
      <c r="K124">
        <v>8</v>
      </c>
      <c r="L124" t="s">
        <v>165</v>
      </c>
      <c r="M124">
        <v>130</v>
      </c>
      <c r="N124">
        <v>2</v>
      </c>
      <c r="O124">
        <v>29</v>
      </c>
      <c r="P124" t="s">
        <v>216</v>
      </c>
      <c r="Q124" t="s">
        <v>217</v>
      </c>
      <c r="R124">
        <f t="shared" si="8"/>
        <v>10</v>
      </c>
      <c r="S124">
        <f t="shared" si="5"/>
        <v>0.58786610878661083</v>
      </c>
      <c r="T124" t="str">
        <f t="shared" si="6"/>
        <v>Medium Risk</v>
      </c>
      <c r="U124" t="str">
        <f t="shared" si="7"/>
        <v>Monitor Sales</v>
      </c>
    </row>
    <row r="125" spans="1:21" x14ac:dyDescent="0.25">
      <c r="A125">
        <v>124</v>
      </c>
      <c r="B125" t="s">
        <v>23</v>
      </c>
      <c r="C125" t="s">
        <v>116</v>
      </c>
      <c r="D125" t="s">
        <v>122</v>
      </c>
      <c r="E125">
        <v>463</v>
      </c>
      <c r="F125">
        <v>271</v>
      </c>
      <c r="G125">
        <v>249</v>
      </c>
      <c r="H125">
        <v>903.46</v>
      </c>
      <c r="I125">
        <v>605.46</v>
      </c>
      <c r="J125">
        <v>42</v>
      </c>
      <c r="K125">
        <v>10</v>
      </c>
      <c r="L125" t="s">
        <v>192</v>
      </c>
      <c r="M125">
        <v>94</v>
      </c>
      <c r="N125">
        <v>3</v>
      </c>
      <c r="O125">
        <v>3</v>
      </c>
      <c r="P125" t="s">
        <v>216</v>
      </c>
      <c r="Q125" t="s">
        <v>217</v>
      </c>
      <c r="R125">
        <f t="shared" si="8"/>
        <v>22</v>
      </c>
      <c r="S125">
        <f t="shared" si="5"/>
        <v>0.58531317494600432</v>
      </c>
      <c r="T125" t="str">
        <f t="shared" si="6"/>
        <v>Medium Risk</v>
      </c>
      <c r="U125" t="str">
        <f t="shared" si="7"/>
        <v>Monitor Sales</v>
      </c>
    </row>
    <row r="126" spans="1:21" x14ac:dyDescent="0.25">
      <c r="A126">
        <v>125</v>
      </c>
      <c r="B126" t="s">
        <v>72</v>
      </c>
      <c r="C126" t="s">
        <v>117</v>
      </c>
      <c r="D126" t="s">
        <v>124</v>
      </c>
      <c r="E126">
        <v>459</v>
      </c>
      <c r="F126">
        <v>347</v>
      </c>
      <c r="G126">
        <v>300</v>
      </c>
      <c r="H126">
        <v>1776.97</v>
      </c>
      <c r="I126">
        <v>1226.25</v>
      </c>
      <c r="J126">
        <v>82</v>
      </c>
      <c r="K126">
        <v>7</v>
      </c>
      <c r="L126" t="s">
        <v>193</v>
      </c>
      <c r="M126">
        <v>52</v>
      </c>
      <c r="N126">
        <v>4</v>
      </c>
      <c r="O126">
        <v>25</v>
      </c>
      <c r="P126" t="s">
        <v>216</v>
      </c>
      <c r="Q126" t="s">
        <v>218</v>
      </c>
      <c r="R126">
        <f t="shared" si="8"/>
        <v>47</v>
      </c>
      <c r="S126">
        <f t="shared" si="5"/>
        <v>0.75599128540305016</v>
      </c>
      <c r="T126" t="str">
        <f t="shared" si="6"/>
        <v>Medium Risk</v>
      </c>
      <c r="U126" t="str">
        <f t="shared" si="7"/>
        <v>Monitor Sales</v>
      </c>
    </row>
    <row r="127" spans="1:21" x14ac:dyDescent="0.25">
      <c r="A127">
        <v>126</v>
      </c>
      <c r="B127" t="s">
        <v>37</v>
      </c>
      <c r="C127" t="s">
        <v>116</v>
      </c>
      <c r="D127" t="s">
        <v>124</v>
      </c>
      <c r="E127">
        <v>213</v>
      </c>
      <c r="F127">
        <v>190</v>
      </c>
      <c r="G127">
        <v>222</v>
      </c>
      <c r="H127">
        <v>984.42</v>
      </c>
      <c r="I127">
        <v>742.83</v>
      </c>
      <c r="J127">
        <v>37</v>
      </c>
      <c r="K127">
        <v>10</v>
      </c>
      <c r="L127" t="s">
        <v>194</v>
      </c>
      <c r="M127">
        <v>95</v>
      </c>
      <c r="N127">
        <v>1</v>
      </c>
      <c r="O127">
        <v>36</v>
      </c>
      <c r="P127" t="s">
        <v>215</v>
      </c>
      <c r="Q127" t="s">
        <v>217</v>
      </c>
      <c r="R127">
        <f t="shared" si="8"/>
        <v>-32</v>
      </c>
      <c r="S127">
        <f t="shared" si="5"/>
        <v>0.892018779342723</v>
      </c>
      <c r="T127" t="str">
        <f t="shared" si="6"/>
        <v>Medium Risk</v>
      </c>
      <c r="U127" t="str">
        <f t="shared" si="7"/>
        <v>Monitor Sales</v>
      </c>
    </row>
    <row r="128" spans="1:21" x14ac:dyDescent="0.25">
      <c r="A128">
        <v>127</v>
      </c>
      <c r="B128" t="s">
        <v>74</v>
      </c>
      <c r="C128" t="s">
        <v>116</v>
      </c>
      <c r="D128" t="s">
        <v>122</v>
      </c>
      <c r="E128">
        <v>409</v>
      </c>
      <c r="F128">
        <v>338</v>
      </c>
      <c r="G128">
        <v>312</v>
      </c>
      <c r="H128">
        <v>4807.82</v>
      </c>
      <c r="I128">
        <v>2703.86</v>
      </c>
      <c r="J128">
        <v>100</v>
      </c>
      <c r="K128">
        <v>6</v>
      </c>
      <c r="L128" t="s">
        <v>174</v>
      </c>
      <c r="M128">
        <v>315</v>
      </c>
      <c r="N128">
        <v>2</v>
      </c>
      <c r="O128">
        <v>19</v>
      </c>
      <c r="P128" t="s">
        <v>215</v>
      </c>
      <c r="Q128" t="s">
        <v>218</v>
      </c>
      <c r="R128">
        <f t="shared" si="8"/>
        <v>26</v>
      </c>
      <c r="S128">
        <f t="shared" si="5"/>
        <v>0.82640586797066018</v>
      </c>
      <c r="T128" t="str">
        <f t="shared" si="6"/>
        <v>Medium Risk</v>
      </c>
      <c r="U128" t="str">
        <f t="shared" si="7"/>
        <v>Monitor Sales</v>
      </c>
    </row>
    <row r="129" spans="1:21" x14ac:dyDescent="0.25">
      <c r="A129">
        <v>128</v>
      </c>
      <c r="B129" t="s">
        <v>62</v>
      </c>
      <c r="C129" t="s">
        <v>116</v>
      </c>
      <c r="D129" t="s">
        <v>124</v>
      </c>
      <c r="E129">
        <v>79</v>
      </c>
      <c r="F129">
        <v>208</v>
      </c>
      <c r="G129">
        <v>188</v>
      </c>
      <c r="H129">
        <v>203.31</v>
      </c>
      <c r="I129">
        <v>106.93</v>
      </c>
      <c r="J129">
        <v>137</v>
      </c>
      <c r="K129">
        <v>7</v>
      </c>
      <c r="L129" t="s">
        <v>195</v>
      </c>
      <c r="M129">
        <v>82</v>
      </c>
      <c r="N129">
        <v>3</v>
      </c>
      <c r="O129">
        <v>27</v>
      </c>
      <c r="P129" t="s">
        <v>216</v>
      </c>
      <c r="Q129" t="s">
        <v>217</v>
      </c>
      <c r="R129">
        <f t="shared" si="8"/>
        <v>20</v>
      </c>
      <c r="S129">
        <f t="shared" si="5"/>
        <v>2.6329113924050631</v>
      </c>
      <c r="T129" t="str">
        <f t="shared" si="6"/>
        <v>Low Risk</v>
      </c>
      <c r="U129" t="str">
        <f t="shared" si="7"/>
        <v>Maintain Stock</v>
      </c>
    </row>
    <row r="130" spans="1:21" x14ac:dyDescent="0.25">
      <c r="A130">
        <v>129</v>
      </c>
      <c r="B130" t="s">
        <v>86</v>
      </c>
      <c r="C130" t="s">
        <v>120</v>
      </c>
      <c r="D130" t="s">
        <v>123</v>
      </c>
      <c r="E130">
        <v>37</v>
      </c>
      <c r="F130">
        <v>393</v>
      </c>
      <c r="G130">
        <v>343</v>
      </c>
      <c r="H130">
        <v>710.49</v>
      </c>
      <c r="I130">
        <v>411.47</v>
      </c>
      <c r="J130">
        <v>121</v>
      </c>
      <c r="K130">
        <v>12</v>
      </c>
      <c r="L130" t="s">
        <v>146</v>
      </c>
      <c r="M130">
        <v>63</v>
      </c>
      <c r="N130">
        <v>3</v>
      </c>
      <c r="O130">
        <v>12</v>
      </c>
      <c r="P130" t="s">
        <v>216</v>
      </c>
      <c r="Q130" t="s">
        <v>218</v>
      </c>
      <c r="R130">
        <f t="shared" si="8"/>
        <v>50</v>
      </c>
      <c r="S130">
        <f t="shared" ref="S130:S193" si="9">F130/E130</f>
        <v>10.621621621621621</v>
      </c>
      <c r="T130" t="str">
        <f t="shared" si="6"/>
        <v>Low Risk</v>
      </c>
      <c r="U130" t="str">
        <f t="shared" si="7"/>
        <v>Maintain Stock</v>
      </c>
    </row>
    <row r="131" spans="1:21" x14ac:dyDescent="0.25">
      <c r="A131">
        <v>130</v>
      </c>
      <c r="B131" t="s">
        <v>87</v>
      </c>
      <c r="C131" t="s">
        <v>117</v>
      </c>
      <c r="D131" t="s">
        <v>122</v>
      </c>
      <c r="E131">
        <v>79</v>
      </c>
      <c r="F131">
        <v>287</v>
      </c>
      <c r="G131">
        <v>277</v>
      </c>
      <c r="H131">
        <v>208.32</v>
      </c>
      <c r="I131">
        <v>156.94999999999999</v>
      </c>
      <c r="J131">
        <v>63</v>
      </c>
      <c r="K131">
        <v>1</v>
      </c>
      <c r="L131" t="s">
        <v>155</v>
      </c>
      <c r="M131">
        <v>100</v>
      </c>
      <c r="N131">
        <v>4</v>
      </c>
      <c r="O131">
        <v>41</v>
      </c>
      <c r="P131" t="s">
        <v>215</v>
      </c>
      <c r="Q131" t="s">
        <v>219</v>
      </c>
      <c r="R131">
        <f t="shared" si="8"/>
        <v>10</v>
      </c>
      <c r="S131">
        <f t="shared" si="9"/>
        <v>3.6329113924050631</v>
      </c>
      <c r="T131" t="str">
        <f t="shared" ref="T131:T194" si="10">IF(S131&lt;0.5,"High Risk",IF(S131&lt;1,"Medium Risk","Low Risk"))</f>
        <v>Low Risk</v>
      </c>
      <c r="U131" t="str">
        <f t="shared" ref="U131:U194" si="11">IF(T131="High Risk","Apply Discount / Promotion",
IF(T131="Medium Risk","Monitor Sales",
"Maintain Stock"))</f>
        <v>Maintain Stock</v>
      </c>
    </row>
    <row r="132" spans="1:21" x14ac:dyDescent="0.25">
      <c r="A132">
        <v>131</v>
      </c>
      <c r="B132" t="s">
        <v>88</v>
      </c>
      <c r="C132" t="s">
        <v>117</v>
      </c>
      <c r="D132" t="s">
        <v>123</v>
      </c>
      <c r="E132">
        <v>328</v>
      </c>
      <c r="F132">
        <v>154</v>
      </c>
      <c r="G132">
        <v>192</v>
      </c>
      <c r="H132">
        <v>3085.86</v>
      </c>
      <c r="I132">
        <v>2384.0700000000002</v>
      </c>
      <c r="J132">
        <v>77</v>
      </c>
      <c r="K132">
        <v>13</v>
      </c>
      <c r="L132" t="s">
        <v>145</v>
      </c>
      <c r="M132">
        <v>33</v>
      </c>
      <c r="N132">
        <v>4</v>
      </c>
      <c r="O132">
        <v>28</v>
      </c>
      <c r="P132" t="s">
        <v>216</v>
      </c>
      <c r="Q132" t="s">
        <v>219</v>
      </c>
      <c r="R132">
        <f t="shared" si="8"/>
        <v>-38</v>
      </c>
      <c r="S132">
        <f t="shared" si="9"/>
        <v>0.46951219512195119</v>
      </c>
      <c r="T132" t="str">
        <f t="shared" si="10"/>
        <v>High Risk</v>
      </c>
      <c r="U132" t="str">
        <f t="shared" si="11"/>
        <v>Apply Discount / Promotion</v>
      </c>
    </row>
    <row r="133" spans="1:21" x14ac:dyDescent="0.25">
      <c r="A133">
        <v>132</v>
      </c>
      <c r="B133" t="s">
        <v>77</v>
      </c>
      <c r="C133" t="s">
        <v>118</v>
      </c>
      <c r="D133" t="s">
        <v>122</v>
      </c>
      <c r="E133">
        <v>407</v>
      </c>
      <c r="F133">
        <v>36</v>
      </c>
      <c r="G133">
        <v>48</v>
      </c>
      <c r="H133">
        <v>4975.29</v>
      </c>
      <c r="I133">
        <v>3424.71</v>
      </c>
      <c r="J133">
        <v>112</v>
      </c>
      <c r="K133">
        <v>5</v>
      </c>
      <c r="L133" t="s">
        <v>196</v>
      </c>
      <c r="M133">
        <v>255</v>
      </c>
      <c r="N133">
        <v>3</v>
      </c>
      <c r="O133">
        <v>43</v>
      </c>
      <c r="P133" t="s">
        <v>215</v>
      </c>
      <c r="Q133" t="s">
        <v>219</v>
      </c>
      <c r="R133">
        <f t="shared" si="8"/>
        <v>-12</v>
      </c>
      <c r="S133">
        <f t="shared" si="9"/>
        <v>8.8452088452088448E-2</v>
      </c>
      <c r="T133" t="str">
        <f t="shared" si="10"/>
        <v>High Risk</v>
      </c>
      <c r="U133" t="str">
        <f t="shared" si="11"/>
        <v>Apply Discount / Promotion</v>
      </c>
    </row>
    <row r="134" spans="1:21" x14ac:dyDescent="0.25">
      <c r="A134">
        <v>133</v>
      </c>
      <c r="B134" t="s">
        <v>40</v>
      </c>
      <c r="C134" t="s">
        <v>120</v>
      </c>
      <c r="D134" t="s">
        <v>122</v>
      </c>
      <c r="E134">
        <v>276</v>
      </c>
      <c r="F134">
        <v>339</v>
      </c>
      <c r="G134">
        <v>344</v>
      </c>
      <c r="H134">
        <v>772.12</v>
      </c>
      <c r="I134">
        <v>406.49</v>
      </c>
      <c r="J134">
        <v>142</v>
      </c>
      <c r="K134">
        <v>2</v>
      </c>
      <c r="L134" t="s">
        <v>168</v>
      </c>
      <c r="M134">
        <v>135</v>
      </c>
      <c r="N134">
        <v>1</v>
      </c>
      <c r="O134">
        <v>4</v>
      </c>
      <c r="P134" t="s">
        <v>216</v>
      </c>
      <c r="Q134" t="s">
        <v>217</v>
      </c>
      <c r="R134">
        <f t="shared" si="8"/>
        <v>-5</v>
      </c>
      <c r="S134">
        <f t="shared" si="9"/>
        <v>1.2282608695652173</v>
      </c>
      <c r="T134" t="str">
        <f t="shared" si="10"/>
        <v>Low Risk</v>
      </c>
      <c r="U134" t="str">
        <f t="shared" si="11"/>
        <v>Maintain Stock</v>
      </c>
    </row>
    <row r="135" spans="1:21" x14ac:dyDescent="0.25">
      <c r="A135">
        <v>134</v>
      </c>
      <c r="B135" t="s">
        <v>89</v>
      </c>
      <c r="C135" t="s">
        <v>116</v>
      </c>
      <c r="D135" t="s">
        <v>123</v>
      </c>
      <c r="E135">
        <v>127</v>
      </c>
      <c r="F135">
        <v>186</v>
      </c>
      <c r="G135">
        <v>179</v>
      </c>
      <c r="H135">
        <v>2247.4299999999998</v>
      </c>
      <c r="I135">
        <v>1360.39</v>
      </c>
      <c r="J135">
        <v>88</v>
      </c>
      <c r="K135">
        <v>4</v>
      </c>
      <c r="L135" t="s">
        <v>184</v>
      </c>
      <c r="M135">
        <v>283</v>
      </c>
      <c r="N135">
        <v>1</v>
      </c>
      <c r="O135">
        <v>14</v>
      </c>
      <c r="P135" t="s">
        <v>216</v>
      </c>
      <c r="Q135" t="s">
        <v>219</v>
      </c>
      <c r="R135">
        <f t="shared" si="8"/>
        <v>7</v>
      </c>
      <c r="S135">
        <f t="shared" si="9"/>
        <v>1.4645669291338583</v>
      </c>
      <c r="T135" t="str">
        <f t="shared" si="10"/>
        <v>Low Risk</v>
      </c>
      <c r="U135" t="str">
        <f t="shared" si="11"/>
        <v>Maintain Stock</v>
      </c>
    </row>
    <row r="136" spans="1:21" x14ac:dyDescent="0.25">
      <c r="A136">
        <v>135</v>
      </c>
      <c r="B136" t="s">
        <v>18</v>
      </c>
      <c r="C136" t="s">
        <v>117</v>
      </c>
      <c r="D136" t="s">
        <v>124</v>
      </c>
      <c r="E136">
        <v>262</v>
      </c>
      <c r="F136">
        <v>286</v>
      </c>
      <c r="G136">
        <v>327</v>
      </c>
      <c r="H136">
        <v>3016.62</v>
      </c>
      <c r="I136">
        <v>2207.46</v>
      </c>
      <c r="J136">
        <v>70</v>
      </c>
      <c r="K136">
        <v>3</v>
      </c>
      <c r="L136" t="s">
        <v>154</v>
      </c>
      <c r="M136">
        <v>30</v>
      </c>
      <c r="N136">
        <v>2</v>
      </c>
      <c r="O136">
        <v>33</v>
      </c>
      <c r="P136" t="s">
        <v>216</v>
      </c>
      <c r="Q136" t="s">
        <v>218</v>
      </c>
      <c r="R136">
        <f t="shared" si="8"/>
        <v>-41</v>
      </c>
      <c r="S136">
        <f t="shared" si="9"/>
        <v>1.0916030534351144</v>
      </c>
      <c r="T136" t="str">
        <f t="shared" si="10"/>
        <v>Low Risk</v>
      </c>
      <c r="U136" t="str">
        <f t="shared" si="11"/>
        <v>Maintain Stock</v>
      </c>
    </row>
    <row r="137" spans="1:21" x14ac:dyDescent="0.25">
      <c r="A137">
        <v>136</v>
      </c>
      <c r="B137" t="s">
        <v>20</v>
      </c>
      <c r="C137" t="s">
        <v>117</v>
      </c>
      <c r="D137" t="s">
        <v>121</v>
      </c>
      <c r="E137">
        <v>483</v>
      </c>
      <c r="F137">
        <v>379</v>
      </c>
      <c r="G137">
        <v>390</v>
      </c>
      <c r="H137">
        <v>4162.53</v>
      </c>
      <c r="I137">
        <v>2375.23</v>
      </c>
      <c r="J137">
        <v>59</v>
      </c>
      <c r="K137">
        <v>6</v>
      </c>
      <c r="L137" t="s">
        <v>150</v>
      </c>
      <c r="M137">
        <v>298</v>
      </c>
      <c r="N137">
        <v>1</v>
      </c>
      <c r="O137">
        <v>42</v>
      </c>
      <c r="P137" t="s">
        <v>215</v>
      </c>
      <c r="Q137" t="s">
        <v>219</v>
      </c>
      <c r="R137">
        <f t="shared" si="8"/>
        <v>-11</v>
      </c>
      <c r="S137">
        <f t="shared" si="9"/>
        <v>0.78467908902691508</v>
      </c>
      <c r="T137" t="str">
        <f t="shared" si="10"/>
        <v>Medium Risk</v>
      </c>
      <c r="U137" t="str">
        <f t="shared" si="11"/>
        <v>Monitor Sales</v>
      </c>
    </row>
    <row r="138" spans="1:21" x14ac:dyDescent="0.25">
      <c r="A138">
        <v>137</v>
      </c>
      <c r="B138" t="s">
        <v>20</v>
      </c>
      <c r="C138" t="s">
        <v>119</v>
      </c>
      <c r="D138" t="s">
        <v>121</v>
      </c>
      <c r="E138">
        <v>81</v>
      </c>
      <c r="F138">
        <v>258</v>
      </c>
      <c r="G138">
        <v>241</v>
      </c>
      <c r="H138">
        <v>1486.17</v>
      </c>
      <c r="I138">
        <v>958.19</v>
      </c>
      <c r="J138">
        <v>74</v>
      </c>
      <c r="K138">
        <v>7</v>
      </c>
      <c r="L138" t="s">
        <v>182</v>
      </c>
      <c r="M138">
        <v>38</v>
      </c>
      <c r="N138">
        <v>4</v>
      </c>
      <c r="O138">
        <v>35</v>
      </c>
      <c r="P138" t="s">
        <v>216</v>
      </c>
      <c r="Q138" t="s">
        <v>218</v>
      </c>
      <c r="R138">
        <f t="shared" si="8"/>
        <v>17</v>
      </c>
      <c r="S138">
        <f t="shared" si="9"/>
        <v>3.1851851851851851</v>
      </c>
      <c r="T138" t="str">
        <f t="shared" si="10"/>
        <v>Low Risk</v>
      </c>
      <c r="U138" t="str">
        <f t="shared" si="11"/>
        <v>Maintain Stock</v>
      </c>
    </row>
    <row r="139" spans="1:21" x14ac:dyDescent="0.25">
      <c r="A139">
        <v>138</v>
      </c>
      <c r="B139" t="s">
        <v>17</v>
      </c>
      <c r="C139" t="s">
        <v>116</v>
      </c>
      <c r="D139" t="s">
        <v>124</v>
      </c>
      <c r="E139">
        <v>297</v>
      </c>
      <c r="F139">
        <v>369</v>
      </c>
      <c r="G139">
        <v>380</v>
      </c>
      <c r="H139">
        <v>3021.4</v>
      </c>
      <c r="I139">
        <v>2210.1999999999998</v>
      </c>
      <c r="J139">
        <v>96</v>
      </c>
      <c r="K139">
        <v>14</v>
      </c>
      <c r="L139" t="s">
        <v>182</v>
      </c>
      <c r="M139">
        <v>143</v>
      </c>
      <c r="N139">
        <v>4</v>
      </c>
      <c r="O139">
        <v>39</v>
      </c>
      <c r="P139" t="s">
        <v>215</v>
      </c>
      <c r="Q139" t="s">
        <v>218</v>
      </c>
      <c r="R139">
        <f t="shared" ref="R139:R202" si="12">F139-G139</f>
        <v>-11</v>
      </c>
      <c r="S139">
        <f t="shared" si="9"/>
        <v>1.2424242424242424</v>
      </c>
      <c r="T139" t="str">
        <f t="shared" si="10"/>
        <v>Low Risk</v>
      </c>
      <c r="U139" t="str">
        <f t="shared" si="11"/>
        <v>Maintain Stock</v>
      </c>
    </row>
    <row r="140" spans="1:21" x14ac:dyDescent="0.25">
      <c r="A140">
        <v>139</v>
      </c>
      <c r="B140" t="s">
        <v>76</v>
      </c>
      <c r="C140" t="s">
        <v>116</v>
      </c>
      <c r="D140" t="s">
        <v>123</v>
      </c>
      <c r="E140">
        <v>50</v>
      </c>
      <c r="F140">
        <v>7</v>
      </c>
      <c r="G140">
        <v>11</v>
      </c>
      <c r="H140">
        <v>2066.42</v>
      </c>
      <c r="I140">
        <v>1474.32</v>
      </c>
      <c r="J140">
        <v>109</v>
      </c>
      <c r="K140">
        <v>13</v>
      </c>
      <c r="L140" t="s">
        <v>153</v>
      </c>
      <c r="M140">
        <v>61</v>
      </c>
      <c r="N140">
        <v>4</v>
      </c>
      <c r="O140">
        <v>16</v>
      </c>
      <c r="P140" t="s">
        <v>215</v>
      </c>
      <c r="Q140" t="s">
        <v>219</v>
      </c>
      <c r="R140">
        <f t="shared" si="12"/>
        <v>-4</v>
      </c>
      <c r="S140">
        <f t="shared" si="9"/>
        <v>0.14000000000000001</v>
      </c>
      <c r="T140" t="str">
        <f t="shared" si="10"/>
        <v>High Risk</v>
      </c>
      <c r="U140" t="str">
        <f t="shared" si="11"/>
        <v>Apply Discount / Promotion</v>
      </c>
    </row>
    <row r="141" spans="1:21" x14ac:dyDescent="0.25">
      <c r="A141">
        <v>140</v>
      </c>
      <c r="B141" t="s">
        <v>26</v>
      </c>
      <c r="C141" t="s">
        <v>119</v>
      </c>
      <c r="D141" t="s">
        <v>123</v>
      </c>
      <c r="E141">
        <v>307</v>
      </c>
      <c r="F141">
        <v>298</v>
      </c>
      <c r="G141">
        <v>288</v>
      </c>
      <c r="H141">
        <v>2624.48</v>
      </c>
      <c r="I141">
        <v>1699.76</v>
      </c>
      <c r="J141">
        <v>120</v>
      </c>
      <c r="K141">
        <v>2</v>
      </c>
      <c r="L141" t="s">
        <v>165</v>
      </c>
      <c r="M141">
        <v>119</v>
      </c>
      <c r="N141">
        <v>4</v>
      </c>
      <c r="O141">
        <v>47</v>
      </c>
      <c r="P141" t="s">
        <v>215</v>
      </c>
      <c r="Q141" t="s">
        <v>217</v>
      </c>
      <c r="R141">
        <f t="shared" si="12"/>
        <v>10</v>
      </c>
      <c r="S141">
        <f t="shared" si="9"/>
        <v>0.97068403908794787</v>
      </c>
      <c r="T141" t="str">
        <f t="shared" si="10"/>
        <v>Medium Risk</v>
      </c>
      <c r="U141" t="str">
        <f t="shared" si="11"/>
        <v>Monitor Sales</v>
      </c>
    </row>
    <row r="142" spans="1:21" x14ac:dyDescent="0.25">
      <c r="A142">
        <v>141</v>
      </c>
      <c r="B142" t="s">
        <v>51</v>
      </c>
      <c r="C142" t="s">
        <v>117</v>
      </c>
      <c r="D142" t="s">
        <v>124</v>
      </c>
      <c r="E142">
        <v>136</v>
      </c>
      <c r="F142">
        <v>157</v>
      </c>
      <c r="G142">
        <v>121</v>
      </c>
      <c r="H142">
        <v>3501.27</v>
      </c>
      <c r="I142">
        <v>2182.3200000000002</v>
      </c>
      <c r="J142">
        <v>60</v>
      </c>
      <c r="K142">
        <v>13</v>
      </c>
      <c r="L142" t="s">
        <v>136</v>
      </c>
      <c r="M142">
        <v>47</v>
      </c>
      <c r="N142">
        <v>4</v>
      </c>
      <c r="O142">
        <v>4</v>
      </c>
      <c r="P142" t="s">
        <v>216</v>
      </c>
      <c r="Q142" t="s">
        <v>218</v>
      </c>
      <c r="R142">
        <f t="shared" si="12"/>
        <v>36</v>
      </c>
      <c r="S142">
        <f t="shared" si="9"/>
        <v>1.1544117647058822</v>
      </c>
      <c r="T142" t="str">
        <f t="shared" si="10"/>
        <v>Low Risk</v>
      </c>
      <c r="U142" t="str">
        <f t="shared" si="11"/>
        <v>Maintain Stock</v>
      </c>
    </row>
    <row r="143" spans="1:21" x14ac:dyDescent="0.25">
      <c r="A143">
        <v>142</v>
      </c>
      <c r="B143" t="s">
        <v>90</v>
      </c>
      <c r="C143" t="s">
        <v>118</v>
      </c>
      <c r="D143" t="s">
        <v>122</v>
      </c>
      <c r="E143">
        <v>115</v>
      </c>
      <c r="F143">
        <v>186</v>
      </c>
      <c r="G143">
        <v>212</v>
      </c>
      <c r="H143">
        <v>4334.8999999999996</v>
      </c>
      <c r="I143">
        <v>3298.07</v>
      </c>
      <c r="J143">
        <v>72</v>
      </c>
      <c r="K143">
        <v>11</v>
      </c>
      <c r="L143" t="s">
        <v>165</v>
      </c>
      <c r="M143">
        <v>224</v>
      </c>
      <c r="N143">
        <v>1</v>
      </c>
      <c r="O143">
        <v>2</v>
      </c>
      <c r="P143" t="s">
        <v>216</v>
      </c>
      <c r="Q143" t="s">
        <v>217</v>
      </c>
      <c r="R143">
        <f t="shared" si="12"/>
        <v>-26</v>
      </c>
      <c r="S143">
        <f t="shared" si="9"/>
        <v>1.6173913043478261</v>
      </c>
      <c r="T143" t="str">
        <f t="shared" si="10"/>
        <v>Low Risk</v>
      </c>
      <c r="U143" t="str">
        <f t="shared" si="11"/>
        <v>Maintain Stock</v>
      </c>
    </row>
    <row r="144" spans="1:21" x14ac:dyDescent="0.25">
      <c r="A144">
        <v>143</v>
      </c>
      <c r="B144" t="s">
        <v>69</v>
      </c>
      <c r="C144" t="s">
        <v>120</v>
      </c>
      <c r="D144" t="s">
        <v>121</v>
      </c>
      <c r="E144">
        <v>68</v>
      </c>
      <c r="F144">
        <v>50</v>
      </c>
      <c r="G144">
        <v>36</v>
      </c>
      <c r="H144">
        <v>1861.74</v>
      </c>
      <c r="I144">
        <v>1200.03</v>
      </c>
      <c r="J144">
        <v>130</v>
      </c>
      <c r="K144">
        <v>13</v>
      </c>
      <c r="L144" t="s">
        <v>195</v>
      </c>
      <c r="M144">
        <v>274</v>
      </c>
      <c r="N144">
        <v>2</v>
      </c>
      <c r="O144">
        <v>14</v>
      </c>
      <c r="P144" t="s">
        <v>216</v>
      </c>
      <c r="Q144" t="s">
        <v>218</v>
      </c>
      <c r="R144">
        <f t="shared" si="12"/>
        <v>14</v>
      </c>
      <c r="S144">
        <f t="shared" si="9"/>
        <v>0.73529411764705888</v>
      </c>
      <c r="T144" t="str">
        <f t="shared" si="10"/>
        <v>Medium Risk</v>
      </c>
      <c r="U144" t="str">
        <f t="shared" si="11"/>
        <v>Monitor Sales</v>
      </c>
    </row>
    <row r="145" spans="1:21" x14ac:dyDescent="0.25">
      <c r="A145">
        <v>144</v>
      </c>
      <c r="B145" t="s">
        <v>42</v>
      </c>
      <c r="C145" t="s">
        <v>116</v>
      </c>
      <c r="D145" t="s">
        <v>121</v>
      </c>
      <c r="E145">
        <v>143</v>
      </c>
      <c r="F145">
        <v>270</v>
      </c>
      <c r="G145">
        <v>228</v>
      </c>
      <c r="H145">
        <v>561.08000000000004</v>
      </c>
      <c r="I145">
        <v>345.23</v>
      </c>
      <c r="J145">
        <v>31</v>
      </c>
      <c r="K145">
        <v>6</v>
      </c>
      <c r="L145" t="s">
        <v>163</v>
      </c>
      <c r="M145">
        <v>357</v>
      </c>
      <c r="N145">
        <v>1</v>
      </c>
      <c r="O145">
        <v>17</v>
      </c>
      <c r="P145" t="s">
        <v>216</v>
      </c>
      <c r="Q145" t="s">
        <v>218</v>
      </c>
      <c r="R145">
        <f t="shared" si="12"/>
        <v>42</v>
      </c>
      <c r="S145">
        <f t="shared" si="9"/>
        <v>1.8881118881118881</v>
      </c>
      <c r="T145" t="str">
        <f t="shared" si="10"/>
        <v>Low Risk</v>
      </c>
      <c r="U145" t="str">
        <f t="shared" si="11"/>
        <v>Maintain Stock</v>
      </c>
    </row>
    <row r="146" spans="1:21" x14ac:dyDescent="0.25">
      <c r="A146">
        <v>145</v>
      </c>
      <c r="B146" t="s">
        <v>91</v>
      </c>
      <c r="C146" t="s">
        <v>118</v>
      </c>
      <c r="D146" t="s">
        <v>124</v>
      </c>
      <c r="E146">
        <v>241</v>
      </c>
      <c r="F146">
        <v>409</v>
      </c>
      <c r="G146">
        <v>377</v>
      </c>
      <c r="H146">
        <v>3051.31</v>
      </c>
      <c r="I146">
        <v>1870</v>
      </c>
      <c r="J146">
        <v>52</v>
      </c>
      <c r="K146">
        <v>5</v>
      </c>
      <c r="L146" t="s">
        <v>196</v>
      </c>
      <c r="M146">
        <v>364</v>
      </c>
      <c r="N146">
        <v>5</v>
      </c>
      <c r="O146">
        <v>46</v>
      </c>
      <c r="P146" t="s">
        <v>215</v>
      </c>
      <c r="Q146" t="s">
        <v>217</v>
      </c>
      <c r="R146">
        <f t="shared" si="12"/>
        <v>32</v>
      </c>
      <c r="S146">
        <f t="shared" si="9"/>
        <v>1.6970954356846473</v>
      </c>
      <c r="T146" t="str">
        <f t="shared" si="10"/>
        <v>Low Risk</v>
      </c>
      <c r="U146" t="str">
        <f t="shared" si="11"/>
        <v>Maintain Stock</v>
      </c>
    </row>
    <row r="147" spans="1:21" x14ac:dyDescent="0.25">
      <c r="A147">
        <v>146</v>
      </c>
      <c r="B147" t="s">
        <v>25</v>
      </c>
      <c r="C147" t="s">
        <v>116</v>
      </c>
      <c r="D147" t="s">
        <v>123</v>
      </c>
      <c r="E147">
        <v>469</v>
      </c>
      <c r="F147">
        <v>379</v>
      </c>
      <c r="G147">
        <v>396</v>
      </c>
      <c r="H147">
        <v>2331.48</v>
      </c>
      <c r="I147">
        <v>1322.63</v>
      </c>
      <c r="J147">
        <v>101</v>
      </c>
      <c r="K147">
        <v>15</v>
      </c>
      <c r="L147" t="s">
        <v>125</v>
      </c>
      <c r="M147">
        <v>312</v>
      </c>
      <c r="N147">
        <v>4</v>
      </c>
      <c r="O147">
        <v>23</v>
      </c>
      <c r="P147" t="s">
        <v>215</v>
      </c>
      <c r="Q147" t="s">
        <v>219</v>
      </c>
      <c r="R147">
        <f t="shared" si="12"/>
        <v>-17</v>
      </c>
      <c r="S147">
        <f t="shared" si="9"/>
        <v>0.8081023454157783</v>
      </c>
      <c r="T147" t="str">
        <f t="shared" si="10"/>
        <v>Medium Risk</v>
      </c>
      <c r="U147" t="str">
        <f t="shared" si="11"/>
        <v>Monitor Sales</v>
      </c>
    </row>
    <row r="148" spans="1:21" x14ac:dyDescent="0.25">
      <c r="A148">
        <v>147</v>
      </c>
      <c r="B148" t="s">
        <v>92</v>
      </c>
      <c r="C148" t="s">
        <v>117</v>
      </c>
      <c r="D148" t="s">
        <v>124</v>
      </c>
      <c r="E148">
        <v>69</v>
      </c>
      <c r="F148">
        <v>114</v>
      </c>
      <c r="G148">
        <v>151</v>
      </c>
      <c r="H148">
        <v>2301.63</v>
      </c>
      <c r="I148">
        <v>1221.3800000000001</v>
      </c>
      <c r="J148">
        <v>149</v>
      </c>
      <c r="K148">
        <v>10</v>
      </c>
      <c r="L148" t="s">
        <v>177</v>
      </c>
      <c r="M148">
        <v>76</v>
      </c>
      <c r="N148">
        <v>2</v>
      </c>
      <c r="O148">
        <v>44</v>
      </c>
      <c r="P148" t="s">
        <v>215</v>
      </c>
      <c r="Q148" t="s">
        <v>217</v>
      </c>
      <c r="R148">
        <f t="shared" si="12"/>
        <v>-37</v>
      </c>
      <c r="S148">
        <f t="shared" si="9"/>
        <v>1.6521739130434783</v>
      </c>
      <c r="T148" t="str">
        <f t="shared" si="10"/>
        <v>Low Risk</v>
      </c>
      <c r="U148" t="str">
        <f t="shared" si="11"/>
        <v>Maintain Stock</v>
      </c>
    </row>
    <row r="149" spans="1:21" x14ac:dyDescent="0.25">
      <c r="A149">
        <v>148</v>
      </c>
      <c r="B149" t="s">
        <v>81</v>
      </c>
      <c r="C149" t="s">
        <v>116</v>
      </c>
      <c r="D149" t="s">
        <v>123</v>
      </c>
      <c r="E149">
        <v>102</v>
      </c>
      <c r="F149">
        <v>3</v>
      </c>
      <c r="G149">
        <v>38</v>
      </c>
      <c r="H149">
        <v>2231.06</v>
      </c>
      <c r="I149">
        <v>1444.83</v>
      </c>
      <c r="J149">
        <v>148</v>
      </c>
      <c r="K149">
        <v>14</v>
      </c>
      <c r="L149" t="s">
        <v>191</v>
      </c>
      <c r="M149">
        <v>226</v>
      </c>
      <c r="N149">
        <v>1</v>
      </c>
      <c r="O149">
        <v>14</v>
      </c>
      <c r="P149" t="s">
        <v>216</v>
      </c>
      <c r="Q149" t="s">
        <v>217</v>
      </c>
      <c r="R149">
        <f t="shared" si="12"/>
        <v>-35</v>
      </c>
      <c r="S149">
        <f t="shared" si="9"/>
        <v>2.9411764705882353E-2</v>
      </c>
      <c r="T149" t="str">
        <f t="shared" si="10"/>
        <v>High Risk</v>
      </c>
      <c r="U149" t="str">
        <f t="shared" si="11"/>
        <v>Apply Discount / Promotion</v>
      </c>
    </row>
    <row r="150" spans="1:21" x14ac:dyDescent="0.25">
      <c r="A150">
        <v>149</v>
      </c>
      <c r="B150" t="s">
        <v>38</v>
      </c>
      <c r="C150" t="s">
        <v>119</v>
      </c>
      <c r="D150" t="s">
        <v>124</v>
      </c>
      <c r="E150">
        <v>369</v>
      </c>
      <c r="F150">
        <v>349</v>
      </c>
      <c r="G150">
        <v>352</v>
      </c>
      <c r="H150">
        <v>818.38</v>
      </c>
      <c r="I150">
        <v>528.9</v>
      </c>
      <c r="J150">
        <v>84</v>
      </c>
      <c r="K150">
        <v>14</v>
      </c>
      <c r="L150" t="s">
        <v>173</v>
      </c>
      <c r="M150">
        <v>330</v>
      </c>
      <c r="N150">
        <v>5</v>
      </c>
      <c r="O150">
        <v>29</v>
      </c>
      <c r="P150" t="s">
        <v>215</v>
      </c>
      <c r="Q150" t="s">
        <v>219</v>
      </c>
      <c r="R150">
        <f t="shared" si="12"/>
        <v>-3</v>
      </c>
      <c r="S150">
        <f t="shared" si="9"/>
        <v>0.94579945799457998</v>
      </c>
      <c r="T150" t="str">
        <f t="shared" si="10"/>
        <v>Medium Risk</v>
      </c>
      <c r="U150" t="str">
        <f t="shared" si="11"/>
        <v>Monitor Sales</v>
      </c>
    </row>
    <row r="151" spans="1:21" x14ac:dyDescent="0.25">
      <c r="A151">
        <v>150</v>
      </c>
      <c r="B151" t="s">
        <v>74</v>
      </c>
      <c r="C151" t="s">
        <v>118</v>
      </c>
      <c r="D151" t="s">
        <v>122</v>
      </c>
      <c r="E151">
        <v>24</v>
      </c>
      <c r="F151">
        <v>87</v>
      </c>
      <c r="G151">
        <v>101</v>
      </c>
      <c r="H151">
        <v>252.48</v>
      </c>
      <c r="I151">
        <v>183.24</v>
      </c>
      <c r="J151">
        <v>138</v>
      </c>
      <c r="K151">
        <v>11</v>
      </c>
      <c r="L151" t="s">
        <v>197</v>
      </c>
      <c r="M151">
        <v>343</v>
      </c>
      <c r="N151">
        <v>2</v>
      </c>
      <c r="O151">
        <v>23</v>
      </c>
      <c r="P151" t="s">
        <v>215</v>
      </c>
      <c r="Q151" t="s">
        <v>217</v>
      </c>
      <c r="R151">
        <f t="shared" si="12"/>
        <v>-14</v>
      </c>
      <c r="S151">
        <f t="shared" si="9"/>
        <v>3.625</v>
      </c>
      <c r="T151" t="str">
        <f t="shared" si="10"/>
        <v>Low Risk</v>
      </c>
      <c r="U151" t="str">
        <f t="shared" si="11"/>
        <v>Maintain Stock</v>
      </c>
    </row>
    <row r="152" spans="1:21" x14ac:dyDescent="0.25">
      <c r="A152">
        <v>151</v>
      </c>
      <c r="B152" t="s">
        <v>72</v>
      </c>
      <c r="C152" t="s">
        <v>118</v>
      </c>
      <c r="D152" t="s">
        <v>124</v>
      </c>
      <c r="E152">
        <v>206</v>
      </c>
      <c r="F152">
        <v>401</v>
      </c>
      <c r="G152">
        <v>360</v>
      </c>
      <c r="H152">
        <v>3097.63</v>
      </c>
      <c r="I152">
        <v>1695.87</v>
      </c>
      <c r="J152">
        <v>56</v>
      </c>
      <c r="K152">
        <v>1</v>
      </c>
      <c r="L152" t="s">
        <v>138</v>
      </c>
      <c r="M152">
        <v>342</v>
      </c>
      <c r="N152">
        <v>3</v>
      </c>
      <c r="O152">
        <v>48</v>
      </c>
      <c r="P152" t="s">
        <v>215</v>
      </c>
      <c r="Q152" t="s">
        <v>217</v>
      </c>
      <c r="R152">
        <f t="shared" si="12"/>
        <v>41</v>
      </c>
      <c r="S152">
        <f t="shared" si="9"/>
        <v>1.9466019417475728</v>
      </c>
      <c r="T152" t="str">
        <f t="shared" si="10"/>
        <v>Low Risk</v>
      </c>
      <c r="U152" t="str">
        <f t="shared" si="11"/>
        <v>Maintain Stock</v>
      </c>
    </row>
    <row r="153" spans="1:21" x14ac:dyDescent="0.25">
      <c r="A153">
        <v>152</v>
      </c>
      <c r="B153" t="s">
        <v>30</v>
      </c>
      <c r="C153" t="s">
        <v>120</v>
      </c>
      <c r="D153" t="s">
        <v>124</v>
      </c>
      <c r="E153">
        <v>185</v>
      </c>
      <c r="F153">
        <v>318</v>
      </c>
      <c r="G153">
        <v>334</v>
      </c>
      <c r="H153">
        <v>732.95</v>
      </c>
      <c r="I153">
        <v>470.92</v>
      </c>
      <c r="J153">
        <v>64</v>
      </c>
      <c r="K153">
        <v>14</v>
      </c>
      <c r="L153" t="s">
        <v>127</v>
      </c>
      <c r="M153">
        <v>113</v>
      </c>
      <c r="N153">
        <v>1</v>
      </c>
      <c r="O153">
        <v>47</v>
      </c>
      <c r="P153" t="s">
        <v>215</v>
      </c>
      <c r="Q153" t="s">
        <v>219</v>
      </c>
      <c r="R153">
        <f t="shared" si="12"/>
        <v>-16</v>
      </c>
      <c r="S153">
        <f t="shared" si="9"/>
        <v>1.7189189189189189</v>
      </c>
      <c r="T153" t="str">
        <f t="shared" si="10"/>
        <v>Low Risk</v>
      </c>
      <c r="U153" t="str">
        <f t="shared" si="11"/>
        <v>Maintain Stock</v>
      </c>
    </row>
    <row r="154" spans="1:21" x14ac:dyDescent="0.25">
      <c r="A154">
        <v>153</v>
      </c>
      <c r="B154" t="s">
        <v>19</v>
      </c>
      <c r="C154" t="s">
        <v>120</v>
      </c>
      <c r="D154" t="s">
        <v>124</v>
      </c>
      <c r="E154">
        <v>296</v>
      </c>
      <c r="F154">
        <v>121</v>
      </c>
      <c r="G154">
        <v>91</v>
      </c>
      <c r="H154">
        <v>4182.53</v>
      </c>
      <c r="I154">
        <v>2932.85</v>
      </c>
      <c r="J154">
        <v>107</v>
      </c>
      <c r="K154">
        <v>3</v>
      </c>
      <c r="L154" t="s">
        <v>151</v>
      </c>
      <c r="M154">
        <v>319</v>
      </c>
      <c r="N154">
        <v>4</v>
      </c>
      <c r="O154">
        <v>10</v>
      </c>
      <c r="P154" t="s">
        <v>215</v>
      </c>
      <c r="Q154" t="s">
        <v>219</v>
      </c>
      <c r="R154">
        <f t="shared" si="12"/>
        <v>30</v>
      </c>
      <c r="S154">
        <f t="shared" si="9"/>
        <v>0.40878378378378377</v>
      </c>
      <c r="T154" t="str">
        <f t="shared" si="10"/>
        <v>High Risk</v>
      </c>
      <c r="U154" t="str">
        <f t="shared" si="11"/>
        <v>Apply Discount / Promotion</v>
      </c>
    </row>
    <row r="155" spans="1:21" x14ac:dyDescent="0.25">
      <c r="A155">
        <v>154</v>
      </c>
      <c r="B155" t="s">
        <v>93</v>
      </c>
      <c r="C155" t="s">
        <v>119</v>
      </c>
      <c r="D155" t="s">
        <v>124</v>
      </c>
      <c r="E155">
        <v>72</v>
      </c>
      <c r="F155">
        <v>80</v>
      </c>
      <c r="G155">
        <v>125</v>
      </c>
      <c r="H155">
        <v>1370.8</v>
      </c>
      <c r="I155">
        <v>702.01</v>
      </c>
      <c r="J155">
        <v>49</v>
      </c>
      <c r="K155">
        <v>1</v>
      </c>
      <c r="L155" t="s">
        <v>187</v>
      </c>
      <c r="M155">
        <v>190</v>
      </c>
      <c r="N155">
        <v>3</v>
      </c>
      <c r="O155">
        <v>43</v>
      </c>
      <c r="P155" t="s">
        <v>215</v>
      </c>
      <c r="Q155" t="s">
        <v>219</v>
      </c>
      <c r="R155">
        <f t="shared" si="12"/>
        <v>-45</v>
      </c>
      <c r="S155">
        <f t="shared" si="9"/>
        <v>1.1111111111111112</v>
      </c>
      <c r="T155" t="str">
        <f t="shared" si="10"/>
        <v>Low Risk</v>
      </c>
      <c r="U155" t="str">
        <f t="shared" si="11"/>
        <v>Maintain Stock</v>
      </c>
    </row>
    <row r="156" spans="1:21" x14ac:dyDescent="0.25">
      <c r="A156">
        <v>155</v>
      </c>
      <c r="B156" t="s">
        <v>41</v>
      </c>
      <c r="C156" t="s">
        <v>120</v>
      </c>
      <c r="D156" t="s">
        <v>124</v>
      </c>
      <c r="E156">
        <v>329</v>
      </c>
      <c r="F156">
        <v>183</v>
      </c>
      <c r="G156">
        <v>182</v>
      </c>
      <c r="H156">
        <v>4876.04</v>
      </c>
      <c r="I156">
        <v>3818.2</v>
      </c>
      <c r="J156">
        <v>82</v>
      </c>
      <c r="K156">
        <v>1</v>
      </c>
      <c r="L156" t="s">
        <v>133</v>
      </c>
      <c r="M156">
        <v>108</v>
      </c>
      <c r="N156">
        <v>5</v>
      </c>
      <c r="O156">
        <v>49</v>
      </c>
      <c r="P156" t="s">
        <v>215</v>
      </c>
      <c r="Q156" t="s">
        <v>217</v>
      </c>
      <c r="R156">
        <f t="shared" si="12"/>
        <v>1</v>
      </c>
      <c r="S156">
        <f t="shared" si="9"/>
        <v>0.55623100303951367</v>
      </c>
      <c r="T156" t="str">
        <f t="shared" si="10"/>
        <v>Medium Risk</v>
      </c>
      <c r="U156" t="str">
        <f t="shared" si="11"/>
        <v>Monitor Sales</v>
      </c>
    </row>
    <row r="157" spans="1:21" x14ac:dyDescent="0.25">
      <c r="A157">
        <v>156</v>
      </c>
      <c r="B157" t="s">
        <v>49</v>
      </c>
      <c r="C157" t="s">
        <v>119</v>
      </c>
      <c r="D157" t="s">
        <v>124</v>
      </c>
      <c r="E157">
        <v>374</v>
      </c>
      <c r="F157">
        <v>223</v>
      </c>
      <c r="G157">
        <v>184</v>
      </c>
      <c r="H157">
        <v>1657.72</v>
      </c>
      <c r="I157">
        <v>1239.24</v>
      </c>
      <c r="J157">
        <v>94</v>
      </c>
      <c r="K157">
        <v>7</v>
      </c>
      <c r="L157" t="s">
        <v>165</v>
      </c>
      <c r="M157">
        <v>62</v>
      </c>
      <c r="N157">
        <v>5</v>
      </c>
      <c r="O157">
        <v>34</v>
      </c>
      <c r="P157" t="s">
        <v>215</v>
      </c>
      <c r="Q157" t="s">
        <v>218</v>
      </c>
      <c r="R157">
        <f t="shared" si="12"/>
        <v>39</v>
      </c>
      <c r="S157">
        <f t="shared" si="9"/>
        <v>0.59625668449197866</v>
      </c>
      <c r="T157" t="str">
        <f t="shared" si="10"/>
        <v>Medium Risk</v>
      </c>
      <c r="U157" t="str">
        <f t="shared" si="11"/>
        <v>Monitor Sales</v>
      </c>
    </row>
    <row r="158" spans="1:21" x14ac:dyDescent="0.25">
      <c r="A158">
        <v>157</v>
      </c>
      <c r="B158" t="s">
        <v>74</v>
      </c>
      <c r="C158" t="s">
        <v>120</v>
      </c>
      <c r="D158" t="s">
        <v>124</v>
      </c>
      <c r="E158">
        <v>435</v>
      </c>
      <c r="F158">
        <v>342</v>
      </c>
      <c r="G158">
        <v>333</v>
      </c>
      <c r="H158">
        <v>1984.71</v>
      </c>
      <c r="I158">
        <v>1531.28</v>
      </c>
      <c r="J158">
        <v>150</v>
      </c>
      <c r="K158">
        <v>8</v>
      </c>
      <c r="L158" t="s">
        <v>187</v>
      </c>
      <c r="M158">
        <v>134</v>
      </c>
      <c r="N158">
        <v>4</v>
      </c>
      <c r="O158">
        <v>45</v>
      </c>
      <c r="P158" t="s">
        <v>215</v>
      </c>
      <c r="Q158" t="s">
        <v>218</v>
      </c>
      <c r="R158">
        <f t="shared" si="12"/>
        <v>9</v>
      </c>
      <c r="S158">
        <f t="shared" si="9"/>
        <v>0.78620689655172415</v>
      </c>
      <c r="T158" t="str">
        <f t="shared" si="10"/>
        <v>Medium Risk</v>
      </c>
      <c r="U158" t="str">
        <f t="shared" si="11"/>
        <v>Monitor Sales</v>
      </c>
    </row>
    <row r="159" spans="1:21" x14ac:dyDescent="0.25">
      <c r="A159">
        <v>158</v>
      </c>
      <c r="B159" t="s">
        <v>92</v>
      </c>
      <c r="C159" t="s">
        <v>120</v>
      </c>
      <c r="D159" t="s">
        <v>121</v>
      </c>
      <c r="E159">
        <v>385</v>
      </c>
      <c r="F159">
        <v>23</v>
      </c>
      <c r="G159">
        <v>34</v>
      </c>
      <c r="H159">
        <v>3749.64</v>
      </c>
      <c r="I159">
        <v>1951.12</v>
      </c>
      <c r="J159">
        <v>31</v>
      </c>
      <c r="K159">
        <v>15</v>
      </c>
      <c r="L159" t="s">
        <v>139</v>
      </c>
      <c r="M159">
        <v>225</v>
      </c>
      <c r="N159">
        <v>2</v>
      </c>
      <c r="O159">
        <v>31</v>
      </c>
      <c r="P159" t="s">
        <v>215</v>
      </c>
      <c r="Q159" t="s">
        <v>219</v>
      </c>
      <c r="R159">
        <f t="shared" si="12"/>
        <v>-11</v>
      </c>
      <c r="S159">
        <f t="shared" si="9"/>
        <v>5.9740259740259739E-2</v>
      </c>
      <c r="T159" t="str">
        <f t="shared" si="10"/>
        <v>High Risk</v>
      </c>
      <c r="U159" t="str">
        <f t="shared" si="11"/>
        <v>Apply Discount / Promotion</v>
      </c>
    </row>
    <row r="160" spans="1:21" x14ac:dyDescent="0.25">
      <c r="A160">
        <v>159</v>
      </c>
      <c r="B160" t="s">
        <v>87</v>
      </c>
      <c r="C160" t="s">
        <v>120</v>
      </c>
      <c r="D160" t="s">
        <v>124</v>
      </c>
      <c r="E160">
        <v>322</v>
      </c>
      <c r="F160">
        <v>288</v>
      </c>
      <c r="G160">
        <v>251</v>
      </c>
      <c r="H160">
        <v>2203.19</v>
      </c>
      <c r="I160">
        <v>1740.74</v>
      </c>
      <c r="J160">
        <v>94</v>
      </c>
      <c r="K160">
        <v>7</v>
      </c>
      <c r="L160" t="s">
        <v>178</v>
      </c>
      <c r="M160">
        <v>234</v>
      </c>
      <c r="N160">
        <v>2</v>
      </c>
      <c r="O160">
        <v>28</v>
      </c>
      <c r="P160" t="s">
        <v>215</v>
      </c>
      <c r="Q160" t="s">
        <v>219</v>
      </c>
      <c r="R160">
        <f t="shared" si="12"/>
        <v>37</v>
      </c>
      <c r="S160">
        <f t="shared" si="9"/>
        <v>0.89440993788819878</v>
      </c>
      <c r="T160" t="str">
        <f t="shared" si="10"/>
        <v>Medium Risk</v>
      </c>
      <c r="U160" t="str">
        <f t="shared" si="11"/>
        <v>Monitor Sales</v>
      </c>
    </row>
    <row r="161" spans="1:21" x14ac:dyDescent="0.25">
      <c r="A161">
        <v>160</v>
      </c>
      <c r="B161" t="s">
        <v>60</v>
      </c>
      <c r="C161" t="s">
        <v>120</v>
      </c>
      <c r="D161" t="s">
        <v>121</v>
      </c>
      <c r="E161">
        <v>271</v>
      </c>
      <c r="F161">
        <v>228</v>
      </c>
      <c r="G161">
        <v>230</v>
      </c>
      <c r="H161">
        <v>2234.46</v>
      </c>
      <c r="I161">
        <v>1480.87</v>
      </c>
      <c r="J161">
        <v>46</v>
      </c>
      <c r="K161">
        <v>9</v>
      </c>
      <c r="L161" t="s">
        <v>144</v>
      </c>
      <c r="M161">
        <v>200</v>
      </c>
      <c r="N161">
        <v>1</v>
      </c>
      <c r="O161">
        <v>17</v>
      </c>
      <c r="P161" t="s">
        <v>215</v>
      </c>
      <c r="Q161" t="s">
        <v>219</v>
      </c>
      <c r="R161">
        <f t="shared" si="12"/>
        <v>-2</v>
      </c>
      <c r="S161">
        <f t="shared" si="9"/>
        <v>0.84132841328413288</v>
      </c>
      <c r="T161" t="str">
        <f t="shared" si="10"/>
        <v>Medium Risk</v>
      </c>
      <c r="U161" t="str">
        <f t="shared" si="11"/>
        <v>Monitor Sales</v>
      </c>
    </row>
    <row r="162" spans="1:21" x14ac:dyDescent="0.25">
      <c r="A162">
        <v>161</v>
      </c>
      <c r="B162" t="s">
        <v>20</v>
      </c>
      <c r="C162" t="s">
        <v>120</v>
      </c>
      <c r="D162" t="s">
        <v>122</v>
      </c>
      <c r="E162">
        <v>367</v>
      </c>
      <c r="F162">
        <v>265</v>
      </c>
      <c r="G162">
        <v>216</v>
      </c>
      <c r="H162">
        <v>1337.9</v>
      </c>
      <c r="I162">
        <v>908.92</v>
      </c>
      <c r="J162">
        <v>48</v>
      </c>
      <c r="K162">
        <v>12</v>
      </c>
      <c r="L162" t="s">
        <v>167</v>
      </c>
      <c r="M162">
        <v>136</v>
      </c>
      <c r="N162">
        <v>1</v>
      </c>
      <c r="O162">
        <v>4</v>
      </c>
      <c r="P162" t="s">
        <v>216</v>
      </c>
      <c r="Q162" t="s">
        <v>217</v>
      </c>
      <c r="R162">
        <f t="shared" si="12"/>
        <v>49</v>
      </c>
      <c r="S162">
        <f t="shared" si="9"/>
        <v>0.72207084468664851</v>
      </c>
      <c r="T162" t="str">
        <f t="shared" si="10"/>
        <v>Medium Risk</v>
      </c>
      <c r="U162" t="str">
        <f t="shared" si="11"/>
        <v>Monitor Sales</v>
      </c>
    </row>
    <row r="163" spans="1:21" x14ac:dyDescent="0.25">
      <c r="A163">
        <v>162</v>
      </c>
      <c r="B163" t="s">
        <v>63</v>
      </c>
      <c r="C163" t="s">
        <v>116</v>
      </c>
      <c r="D163" t="s">
        <v>122</v>
      </c>
      <c r="E163">
        <v>85</v>
      </c>
      <c r="F163">
        <v>228</v>
      </c>
      <c r="G163">
        <v>246</v>
      </c>
      <c r="H163">
        <v>75.92</v>
      </c>
      <c r="I163">
        <v>45.84</v>
      </c>
      <c r="J163">
        <v>87</v>
      </c>
      <c r="K163">
        <v>13</v>
      </c>
      <c r="L163" t="s">
        <v>153</v>
      </c>
      <c r="M163">
        <v>168</v>
      </c>
      <c r="N163">
        <v>1</v>
      </c>
      <c r="O163">
        <v>5</v>
      </c>
      <c r="P163" t="s">
        <v>216</v>
      </c>
      <c r="Q163" t="s">
        <v>219</v>
      </c>
      <c r="R163">
        <f t="shared" si="12"/>
        <v>-18</v>
      </c>
      <c r="S163">
        <f t="shared" si="9"/>
        <v>2.6823529411764704</v>
      </c>
      <c r="T163" t="str">
        <f t="shared" si="10"/>
        <v>Low Risk</v>
      </c>
      <c r="U163" t="str">
        <f t="shared" si="11"/>
        <v>Maintain Stock</v>
      </c>
    </row>
    <row r="164" spans="1:21" x14ac:dyDescent="0.25">
      <c r="A164">
        <v>163</v>
      </c>
      <c r="B164" t="s">
        <v>76</v>
      </c>
      <c r="C164" t="s">
        <v>120</v>
      </c>
      <c r="D164" t="s">
        <v>121</v>
      </c>
      <c r="E164">
        <v>173</v>
      </c>
      <c r="F164">
        <v>281</v>
      </c>
      <c r="G164">
        <v>235</v>
      </c>
      <c r="H164">
        <v>934.26</v>
      </c>
      <c r="I164">
        <v>702.67</v>
      </c>
      <c r="J164">
        <v>79</v>
      </c>
      <c r="K164">
        <v>1</v>
      </c>
      <c r="L164" t="s">
        <v>140</v>
      </c>
      <c r="M164">
        <v>249</v>
      </c>
      <c r="N164">
        <v>4</v>
      </c>
      <c r="O164">
        <v>39</v>
      </c>
      <c r="P164" t="s">
        <v>215</v>
      </c>
      <c r="Q164" t="s">
        <v>219</v>
      </c>
      <c r="R164">
        <f t="shared" si="12"/>
        <v>46</v>
      </c>
      <c r="S164">
        <f t="shared" si="9"/>
        <v>1.6242774566473988</v>
      </c>
      <c r="T164" t="str">
        <f t="shared" si="10"/>
        <v>Low Risk</v>
      </c>
      <c r="U164" t="str">
        <f t="shared" si="11"/>
        <v>Maintain Stock</v>
      </c>
    </row>
    <row r="165" spans="1:21" x14ac:dyDescent="0.25">
      <c r="A165">
        <v>164</v>
      </c>
      <c r="B165" t="s">
        <v>76</v>
      </c>
      <c r="C165" t="s">
        <v>120</v>
      </c>
      <c r="D165" t="s">
        <v>123</v>
      </c>
      <c r="E165">
        <v>82</v>
      </c>
      <c r="F165">
        <v>32</v>
      </c>
      <c r="G165">
        <v>42</v>
      </c>
      <c r="H165">
        <v>2660.96</v>
      </c>
      <c r="I165">
        <v>1724.18</v>
      </c>
      <c r="J165">
        <v>59</v>
      </c>
      <c r="K165">
        <v>9</v>
      </c>
      <c r="L165" t="s">
        <v>176</v>
      </c>
      <c r="M165">
        <v>35</v>
      </c>
      <c r="N165">
        <v>1</v>
      </c>
      <c r="O165">
        <v>7</v>
      </c>
      <c r="P165" t="s">
        <v>215</v>
      </c>
      <c r="Q165" t="s">
        <v>217</v>
      </c>
      <c r="R165">
        <f t="shared" si="12"/>
        <v>-10</v>
      </c>
      <c r="S165">
        <f t="shared" si="9"/>
        <v>0.3902439024390244</v>
      </c>
      <c r="T165" t="str">
        <f t="shared" si="10"/>
        <v>High Risk</v>
      </c>
      <c r="U165" t="str">
        <f t="shared" si="11"/>
        <v>Apply Discount / Promotion</v>
      </c>
    </row>
    <row r="166" spans="1:21" x14ac:dyDescent="0.25">
      <c r="A166">
        <v>165</v>
      </c>
      <c r="B166" t="s">
        <v>94</v>
      </c>
      <c r="C166" t="s">
        <v>119</v>
      </c>
      <c r="D166" t="s">
        <v>122</v>
      </c>
      <c r="E166">
        <v>117</v>
      </c>
      <c r="F166">
        <v>132</v>
      </c>
      <c r="G166">
        <v>164</v>
      </c>
      <c r="H166">
        <v>3785.27</v>
      </c>
      <c r="I166">
        <v>2124.12</v>
      </c>
      <c r="J166">
        <v>45</v>
      </c>
      <c r="K166">
        <v>9</v>
      </c>
      <c r="L166" t="s">
        <v>184</v>
      </c>
      <c r="M166">
        <v>101</v>
      </c>
      <c r="N166">
        <v>1</v>
      </c>
      <c r="O166">
        <v>35</v>
      </c>
      <c r="P166" t="s">
        <v>216</v>
      </c>
      <c r="Q166" t="s">
        <v>219</v>
      </c>
      <c r="R166">
        <f t="shared" si="12"/>
        <v>-32</v>
      </c>
      <c r="S166">
        <f t="shared" si="9"/>
        <v>1.1282051282051282</v>
      </c>
      <c r="T166" t="str">
        <f t="shared" si="10"/>
        <v>Low Risk</v>
      </c>
      <c r="U166" t="str">
        <f t="shared" si="11"/>
        <v>Maintain Stock</v>
      </c>
    </row>
    <row r="167" spans="1:21" x14ac:dyDescent="0.25">
      <c r="A167">
        <v>166</v>
      </c>
      <c r="B167" t="s">
        <v>95</v>
      </c>
      <c r="C167" t="s">
        <v>120</v>
      </c>
      <c r="D167" t="s">
        <v>121</v>
      </c>
      <c r="E167">
        <v>382</v>
      </c>
      <c r="F167">
        <v>287</v>
      </c>
      <c r="G167">
        <v>237</v>
      </c>
      <c r="H167">
        <v>4936.05</v>
      </c>
      <c r="I167">
        <v>2521.59</v>
      </c>
      <c r="J167">
        <v>124</v>
      </c>
      <c r="K167">
        <v>3</v>
      </c>
      <c r="L167" t="s">
        <v>131</v>
      </c>
      <c r="M167">
        <v>131</v>
      </c>
      <c r="N167">
        <v>1</v>
      </c>
      <c r="O167">
        <v>17</v>
      </c>
      <c r="P167" t="s">
        <v>216</v>
      </c>
      <c r="Q167" t="s">
        <v>218</v>
      </c>
      <c r="R167">
        <f t="shared" si="12"/>
        <v>50</v>
      </c>
      <c r="S167">
        <f t="shared" si="9"/>
        <v>0.75130890052356025</v>
      </c>
      <c r="T167" t="str">
        <f t="shared" si="10"/>
        <v>Medium Risk</v>
      </c>
      <c r="U167" t="str">
        <f t="shared" si="11"/>
        <v>Monitor Sales</v>
      </c>
    </row>
    <row r="168" spans="1:21" x14ac:dyDescent="0.25">
      <c r="A168">
        <v>167</v>
      </c>
      <c r="B168" t="s">
        <v>52</v>
      </c>
      <c r="C168" t="s">
        <v>117</v>
      </c>
      <c r="D168" t="s">
        <v>121</v>
      </c>
      <c r="E168">
        <v>166</v>
      </c>
      <c r="F168">
        <v>18</v>
      </c>
      <c r="G168">
        <v>12</v>
      </c>
      <c r="H168">
        <v>314.92</v>
      </c>
      <c r="I168">
        <v>158.88</v>
      </c>
      <c r="J168">
        <v>70</v>
      </c>
      <c r="K168">
        <v>14</v>
      </c>
      <c r="L168" t="s">
        <v>195</v>
      </c>
      <c r="M168">
        <v>285</v>
      </c>
      <c r="N168">
        <v>3</v>
      </c>
      <c r="O168">
        <v>11</v>
      </c>
      <c r="P168" t="s">
        <v>215</v>
      </c>
      <c r="Q168" t="s">
        <v>218</v>
      </c>
      <c r="R168">
        <f t="shared" si="12"/>
        <v>6</v>
      </c>
      <c r="S168">
        <f t="shared" si="9"/>
        <v>0.10843373493975904</v>
      </c>
      <c r="T168" t="str">
        <f t="shared" si="10"/>
        <v>High Risk</v>
      </c>
      <c r="U168" t="str">
        <f t="shared" si="11"/>
        <v>Apply Discount / Promotion</v>
      </c>
    </row>
    <row r="169" spans="1:21" x14ac:dyDescent="0.25">
      <c r="A169">
        <v>168</v>
      </c>
      <c r="B169" t="s">
        <v>83</v>
      </c>
      <c r="C169" t="s">
        <v>116</v>
      </c>
      <c r="D169" t="s">
        <v>123</v>
      </c>
      <c r="E169">
        <v>268</v>
      </c>
      <c r="F169">
        <v>325</v>
      </c>
      <c r="G169">
        <v>302</v>
      </c>
      <c r="H169">
        <v>4574.97</v>
      </c>
      <c r="I169">
        <v>2568.5300000000002</v>
      </c>
      <c r="J169">
        <v>81</v>
      </c>
      <c r="K169">
        <v>3</v>
      </c>
      <c r="L169" t="s">
        <v>166</v>
      </c>
      <c r="M169">
        <v>129</v>
      </c>
      <c r="N169">
        <v>5</v>
      </c>
      <c r="O169">
        <v>41</v>
      </c>
      <c r="P169" t="s">
        <v>215</v>
      </c>
      <c r="Q169" t="s">
        <v>217</v>
      </c>
      <c r="R169">
        <f t="shared" si="12"/>
        <v>23</v>
      </c>
      <c r="S169">
        <f t="shared" si="9"/>
        <v>1.2126865671641791</v>
      </c>
      <c r="T169" t="str">
        <f t="shared" si="10"/>
        <v>Low Risk</v>
      </c>
      <c r="U169" t="str">
        <f t="shared" si="11"/>
        <v>Maintain Stock</v>
      </c>
    </row>
    <row r="170" spans="1:21" x14ac:dyDescent="0.25">
      <c r="A170">
        <v>169</v>
      </c>
      <c r="B170" t="s">
        <v>35</v>
      </c>
      <c r="C170" t="s">
        <v>119</v>
      </c>
      <c r="D170" t="s">
        <v>122</v>
      </c>
      <c r="E170">
        <v>284</v>
      </c>
      <c r="F170">
        <v>259</v>
      </c>
      <c r="G170">
        <v>294</v>
      </c>
      <c r="H170">
        <v>1510.65</v>
      </c>
      <c r="I170">
        <v>968.78</v>
      </c>
      <c r="J170">
        <v>112</v>
      </c>
      <c r="K170">
        <v>13</v>
      </c>
      <c r="L170" t="s">
        <v>185</v>
      </c>
      <c r="M170">
        <v>41</v>
      </c>
      <c r="N170">
        <v>2</v>
      </c>
      <c r="O170">
        <v>34</v>
      </c>
      <c r="P170" t="s">
        <v>216</v>
      </c>
      <c r="Q170" t="s">
        <v>217</v>
      </c>
      <c r="R170">
        <f t="shared" si="12"/>
        <v>-35</v>
      </c>
      <c r="S170">
        <f t="shared" si="9"/>
        <v>0.9119718309859155</v>
      </c>
      <c r="T170" t="str">
        <f t="shared" si="10"/>
        <v>Medium Risk</v>
      </c>
      <c r="U170" t="str">
        <f t="shared" si="11"/>
        <v>Monitor Sales</v>
      </c>
    </row>
    <row r="171" spans="1:21" x14ac:dyDescent="0.25">
      <c r="A171">
        <v>170</v>
      </c>
      <c r="B171" t="s">
        <v>65</v>
      </c>
      <c r="C171" t="s">
        <v>116</v>
      </c>
      <c r="D171" t="s">
        <v>124</v>
      </c>
      <c r="E171">
        <v>95</v>
      </c>
      <c r="F171">
        <v>50</v>
      </c>
      <c r="G171">
        <v>19</v>
      </c>
      <c r="H171">
        <v>3832.04</v>
      </c>
      <c r="I171">
        <v>2761.49</v>
      </c>
      <c r="J171">
        <v>49</v>
      </c>
      <c r="K171">
        <v>15</v>
      </c>
      <c r="L171" t="s">
        <v>152</v>
      </c>
      <c r="M171">
        <v>55</v>
      </c>
      <c r="N171">
        <v>1</v>
      </c>
      <c r="O171">
        <v>32</v>
      </c>
      <c r="P171" t="s">
        <v>215</v>
      </c>
      <c r="Q171" t="s">
        <v>219</v>
      </c>
      <c r="R171">
        <f t="shared" si="12"/>
        <v>31</v>
      </c>
      <c r="S171">
        <f t="shared" si="9"/>
        <v>0.52631578947368418</v>
      </c>
      <c r="T171" t="str">
        <f t="shared" si="10"/>
        <v>Medium Risk</v>
      </c>
      <c r="U171" t="str">
        <f t="shared" si="11"/>
        <v>Monitor Sales</v>
      </c>
    </row>
    <row r="172" spans="1:21" x14ac:dyDescent="0.25">
      <c r="A172">
        <v>171</v>
      </c>
      <c r="B172" t="s">
        <v>39</v>
      </c>
      <c r="C172" t="s">
        <v>120</v>
      </c>
      <c r="D172" t="s">
        <v>122</v>
      </c>
      <c r="E172">
        <v>219</v>
      </c>
      <c r="F172">
        <v>74</v>
      </c>
      <c r="G172">
        <v>70</v>
      </c>
      <c r="H172">
        <v>3362.14</v>
      </c>
      <c r="I172">
        <v>2307.4499999999998</v>
      </c>
      <c r="J172">
        <v>47</v>
      </c>
      <c r="K172">
        <v>9</v>
      </c>
      <c r="L172" t="s">
        <v>149</v>
      </c>
      <c r="M172">
        <v>185</v>
      </c>
      <c r="N172">
        <v>4</v>
      </c>
      <c r="O172">
        <v>23</v>
      </c>
      <c r="P172" t="s">
        <v>215</v>
      </c>
      <c r="Q172" t="s">
        <v>218</v>
      </c>
      <c r="R172">
        <f t="shared" si="12"/>
        <v>4</v>
      </c>
      <c r="S172">
        <f t="shared" si="9"/>
        <v>0.33789954337899542</v>
      </c>
      <c r="T172" t="str">
        <f t="shared" si="10"/>
        <v>High Risk</v>
      </c>
      <c r="U172" t="str">
        <f t="shared" si="11"/>
        <v>Apply Discount / Promotion</v>
      </c>
    </row>
    <row r="173" spans="1:21" x14ac:dyDescent="0.25">
      <c r="A173">
        <v>172</v>
      </c>
      <c r="B173" t="s">
        <v>17</v>
      </c>
      <c r="C173" t="s">
        <v>117</v>
      </c>
      <c r="D173" t="s">
        <v>123</v>
      </c>
      <c r="E173">
        <v>420</v>
      </c>
      <c r="F173">
        <v>284</v>
      </c>
      <c r="G173">
        <v>313</v>
      </c>
      <c r="H173">
        <v>4950.01</v>
      </c>
      <c r="I173">
        <v>3529.7</v>
      </c>
      <c r="J173">
        <v>122</v>
      </c>
      <c r="K173">
        <v>2</v>
      </c>
      <c r="L173" t="s">
        <v>198</v>
      </c>
      <c r="M173">
        <v>259</v>
      </c>
      <c r="N173">
        <v>4</v>
      </c>
      <c r="O173">
        <v>13</v>
      </c>
      <c r="P173" t="s">
        <v>215</v>
      </c>
      <c r="Q173" t="s">
        <v>217</v>
      </c>
      <c r="R173">
        <f t="shared" si="12"/>
        <v>-29</v>
      </c>
      <c r="S173">
        <f t="shared" si="9"/>
        <v>0.67619047619047623</v>
      </c>
      <c r="T173" t="str">
        <f t="shared" si="10"/>
        <v>Medium Risk</v>
      </c>
      <c r="U173" t="str">
        <f t="shared" si="11"/>
        <v>Monitor Sales</v>
      </c>
    </row>
    <row r="174" spans="1:21" x14ac:dyDescent="0.25">
      <c r="A174">
        <v>173</v>
      </c>
      <c r="B174" t="s">
        <v>32</v>
      </c>
      <c r="C174" t="s">
        <v>119</v>
      </c>
      <c r="D174" t="s">
        <v>122</v>
      </c>
      <c r="E174">
        <v>416</v>
      </c>
      <c r="F174">
        <v>53</v>
      </c>
      <c r="G174">
        <v>12</v>
      </c>
      <c r="H174">
        <v>4876.6899999999996</v>
      </c>
      <c r="I174">
        <v>3510.37</v>
      </c>
      <c r="J174">
        <v>94</v>
      </c>
      <c r="K174">
        <v>6</v>
      </c>
      <c r="L174" t="s">
        <v>156</v>
      </c>
      <c r="M174">
        <v>347</v>
      </c>
      <c r="N174">
        <v>3</v>
      </c>
      <c r="O174">
        <v>46</v>
      </c>
      <c r="P174" t="s">
        <v>215</v>
      </c>
      <c r="Q174" t="s">
        <v>219</v>
      </c>
      <c r="R174">
        <f t="shared" si="12"/>
        <v>41</v>
      </c>
      <c r="S174">
        <f t="shared" si="9"/>
        <v>0.12740384615384615</v>
      </c>
      <c r="T174" t="str">
        <f t="shared" si="10"/>
        <v>High Risk</v>
      </c>
      <c r="U174" t="str">
        <f t="shared" si="11"/>
        <v>Apply Discount / Promotion</v>
      </c>
    </row>
    <row r="175" spans="1:21" x14ac:dyDescent="0.25">
      <c r="A175">
        <v>174</v>
      </c>
      <c r="B175" t="s">
        <v>42</v>
      </c>
      <c r="C175" t="s">
        <v>119</v>
      </c>
      <c r="D175" t="s">
        <v>121</v>
      </c>
      <c r="E175">
        <v>174</v>
      </c>
      <c r="F175">
        <v>356</v>
      </c>
      <c r="G175">
        <v>330</v>
      </c>
      <c r="H175">
        <v>1449.95</v>
      </c>
      <c r="I175">
        <v>811.94</v>
      </c>
      <c r="J175">
        <v>109</v>
      </c>
      <c r="K175">
        <v>13</v>
      </c>
      <c r="L175" t="s">
        <v>199</v>
      </c>
      <c r="M175">
        <v>337</v>
      </c>
      <c r="N175">
        <v>3</v>
      </c>
      <c r="O175">
        <v>30</v>
      </c>
      <c r="P175" t="s">
        <v>215</v>
      </c>
      <c r="Q175" t="s">
        <v>219</v>
      </c>
      <c r="R175">
        <f t="shared" si="12"/>
        <v>26</v>
      </c>
      <c r="S175">
        <f t="shared" si="9"/>
        <v>2.0459770114942528</v>
      </c>
      <c r="T175" t="str">
        <f t="shared" si="10"/>
        <v>Low Risk</v>
      </c>
      <c r="U175" t="str">
        <f t="shared" si="11"/>
        <v>Maintain Stock</v>
      </c>
    </row>
    <row r="176" spans="1:21" x14ac:dyDescent="0.25">
      <c r="A176">
        <v>175</v>
      </c>
      <c r="B176" t="s">
        <v>58</v>
      </c>
      <c r="C176" t="s">
        <v>120</v>
      </c>
      <c r="D176" t="s">
        <v>124</v>
      </c>
      <c r="E176">
        <v>57</v>
      </c>
      <c r="F176">
        <v>372</v>
      </c>
      <c r="G176">
        <v>374</v>
      </c>
      <c r="H176">
        <v>964.51</v>
      </c>
      <c r="I176">
        <v>625.08000000000004</v>
      </c>
      <c r="J176">
        <v>123</v>
      </c>
      <c r="K176">
        <v>3</v>
      </c>
      <c r="L176" t="s">
        <v>158</v>
      </c>
      <c r="M176">
        <v>99</v>
      </c>
      <c r="N176">
        <v>1</v>
      </c>
      <c r="O176">
        <v>42</v>
      </c>
      <c r="P176" t="s">
        <v>215</v>
      </c>
      <c r="Q176" t="s">
        <v>217</v>
      </c>
      <c r="R176">
        <f t="shared" si="12"/>
        <v>-2</v>
      </c>
      <c r="S176">
        <f t="shared" si="9"/>
        <v>6.5263157894736841</v>
      </c>
      <c r="T176" t="str">
        <f t="shared" si="10"/>
        <v>Low Risk</v>
      </c>
      <c r="U176" t="str">
        <f t="shared" si="11"/>
        <v>Maintain Stock</v>
      </c>
    </row>
    <row r="177" spans="1:21" x14ac:dyDescent="0.25">
      <c r="A177">
        <v>176</v>
      </c>
      <c r="B177" t="s">
        <v>31</v>
      </c>
      <c r="C177" t="s">
        <v>118</v>
      </c>
      <c r="D177" t="s">
        <v>123</v>
      </c>
      <c r="E177">
        <v>437</v>
      </c>
      <c r="F177">
        <v>147</v>
      </c>
      <c r="G177">
        <v>194</v>
      </c>
      <c r="H177">
        <v>1573.73</v>
      </c>
      <c r="I177">
        <v>1087.56</v>
      </c>
      <c r="J177">
        <v>62</v>
      </c>
      <c r="K177">
        <v>15</v>
      </c>
      <c r="L177" t="s">
        <v>170</v>
      </c>
      <c r="M177">
        <v>54</v>
      </c>
      <c r="N177">
        <v>1</v>
      </c>
      <c r="O177">
        <v>41</v>
      </c>
      <c r="P177" t="s">
        <v>215</v>
      </c>
      <c r="Q177" t="s">
        <v>218</v>
      </c>
      <c r="R177">
        <f t="shared" si="12"/>
        <v>-47</v>
      </c>
      <c r="S177">
        <f t="shared" si="9"/>
        <v>0.33638443935926776</v>
      </c>
      <c r="T177" t="str">
        <f t="shared" si="10"/>
        <v>High Risk</v>
      </c>
      <c r="U177" t="str">
        <f t="shared" si="11"/>
        <v>Apply Discount / Promotion</v>
      </c>
    </row>
    <row r="178" spans="1:21" x14ac:dyDescent="0.25">
      <c r="A178">
        <v>177</v>
      </c>
      <c r="B178" t="s">
        <v>46</v>
      </c>
      <c r="C178" t="s">
        <v>117</v>
      </c>
      <c r="D178" t="s">
        <v>122</v>
      </c>
      <c r="E178">
        <v>325</v>
      </c>
      <c r="F178">
        <v>177</v>
      </c>
      <c r="G178">
        <v>190</v>
      </c>
      <c r="H178">
        <v>4625.54</v>
      </c>
      <c r="I178">
        <v>2394.11</v>
      </c>
      <c r="J178">
        <v>50</v>
      </c>
      <c r="K178">
        <v>3</v>
      </c>
      <c r="L178" t="s">
        <v>170</v>
      </c>
      <c r="M178">
        <v>87</v>
      </c>
      <c r="N178">
        <v>5</v>
      </c>
      <c r="O178">
        <v>21</v>
      </c>
      <c r="P178" t="s">
        <v>216</v>
      </c>
      <c r="Q178" t="s">
        <v>218</v>
      </c>
      <c r="R178">
        <f t="shared" si="12"/>
        <v>-13</v>
      </c>
      <c r="S178">
        <f t="shared" si="9"/>
        <v>0.54461538461538461</v>
      </c>
      <c r="T178" t="str">
        <f t="shared" si="10"/>
        <v>Medium Risk</v>
      </c>
      <c r="U178" t="str">
        <f t="shared" si="11"/>
        <v>Monitor Sales</v>
      </c>
    </row>
    <row r="179" spans="1:21" x14ac:dyDescent="0.25">
      <c r="A179">
        <v>178</v>
      </c>
      <c r="B179" t="s">
        <v>68</v>
      </c>
      <c r="C179" t="s">
        <v>117</v>
      </c>
      <c r="D179" t="s">
        <v>121</v>
      </c>
      <c r="E179">
        <v>436</v>
      </c>
      <c r="F179">
        <v>243</v>
      </c>
      <c r="G179">
        <v>229</v>
      </c>
      <c r="H179">
        <v>1720.5</v>
      </c>
      <c r="I179">
        <v>1211.5</v>
      </c>
      <c r="J179">
        <v>83</v>
      </c>
      <c r="K179">
        <v>2</v>
      </c>
      <c r="L179" t="s">
        <v>200</v>
      </c>
      <c r="M179">
        <v>246</v>
      </c>
      <c r="N179">
        <v>2</v>
      </c>
      <c r="O179">
        <v>35</v>
      </c>
      <c r="P179" t="s">
        <v>215</v>
      </c>
      <c r="Q179" t="s">
        <v>217</v>
      </c>
      <c r="R179">
        <f t="shared" si="12"/>
        <v>14</v>
      </c>
      <c r="S179">
        <f t="shared" si="9"/>
        <v>0.55733944954128445</v>
      </c>
      <c r="T179" t="str">
        <f t="shared" si="10"/>
        <v>Medium Risk</v>
      </c>
      <c r="U179" t="str">
        <f t="shared" si="11"/>
        <v>Monitor Sales</v>
      </c>
    </row>
    <row r="180" spans="1:21" x14ac:dyDescent="0.25">
      <c r="A180">
        <v>179</v>
      </c>
      <c r="B180" t="s">
        <v>96</v>
      </c>
      <c r="C180" t="s">
        <v>118</v>
      </c>
      <c r="D180" t="s">
        <v>124</v>
      </c>
      <c r="E180">
        <v>318</v>
      </c>
      <c r="F180">
        <v>37</v>
      </c>
      <c r="G180">
        <v>74</v>
      </c>
      <c r="H180">
        <v>3643.85</v>
      </c>
      <c r="I180">
        <v>2624.61</v>
      </c>
      <c r="J180">
        <v>130</v>
      </c>
      <c r="K180">
        <v>6</v>
      </c>
      <c r="L180" t="s">
        <v>171</v>
      </c>
      <c r="M180">
        <v>109</v>
      </c>
      <c r="N180">
        <v>2</v>
      </c>
      <c r="O180">
        <v>19</v>
      </c>
      <c r="P180" t="s">
        <v>215</v>
      </c>
      <c r="Q180" t="s">
        <v>219</v>
      </c>
      <c r="R180">
        <f t="shared" si="12"/>
        <v>-37</v>
      </c>
      <c r="S180">
        <f t="shared" si="9"/>
        <v>0.11635220125786164</v>
      </c>
      <c r="T180" t="str">
        <f t="shared" si="10"/>
        <v>High Risk</v>
      </c>
      <c r="U180" t="str">
        <f t="shared" si="11"/>
        <v>Apply Discount / Promotion</v>
      </c>
    </row>
    <row r="181" spans="1:21" x14ac:dyDescent="0.25">
      <c r="A181">
        <v>180</v>
      </c>
      <c r="B181" t="s">
        <v>89</v>
      </c>
      <c r="C181" t="s">
        <v>118</v>
      </c>
      <c r="D181" t="s">
        <v>122</v>
      </c>
      <c r="E181">
        <v>93</v>
      </c>
      <c r="F181">
        <v>172</v>
      </c>
      <c r="G181">
        <v>174</v>
      </c>
      <c r="H181">
        <v>4015.79</v>
      </c>
      <c r="I181">
        <v>2253.31</v>
      </c>
      <c r="J181">
        <v>68</v>
      </c>
      <c r="K181">
        <v>9</v>
      </c>
      <c r="L181" t="s">
        <v>146</v>
      </c>
      <c r="M181">
        <v>273</v>
      </c>
      <c r="N181">
        <v>2</v>
      </c>
      <c r="O181">
        <v>12</v>
      </c>
      <c r="P181" t="s">
        <v>215</v>
      </c>
      <c r="Q181" t="s">
        <v>219</v>
      </c>
      <c r="R181">
        <f t="shared" si="12"/>
        <v>-2</v>
      </c>
      <c r="S181">
        <f t="shared" si="9"/>
        <v>1.8494623655913978</v>
      </c>
      <c r="T181" t="str">
        <f t="shared" si="10"/>
        <v>Low Risk</v>
      </c>
      <c r="U181" t="str">
        <f t="shared" si="11"/>
        <v>Maintain Stock</v>
      </c>
    </row>
    <row r="182" spans="1:21" x14ac:dyDescent="0.25">
      <c r="A182">
        <v>181</v>
      </c>
      <c r="B182" t="s">
        <v>16</v>
      </c>
      <c r="C182" t="s">
        <v>118</v>
      </c>
      <c r="D182" t="s">
        <v>121</v>
      </c>
      <c r="E182">
        <v>335</v>
      </c>
      <c r="F182">
        <v>114</v>
      </c>
      <c r="G182">
        <v>90</v>
      </c>
      <c r="H182">
        <v>679.56</v>
      </c>
      <c r="I182">
        <v>432.27</v>
      </c>
      <c r="J182">
        <v>55</v>
      </c>
      <c r="K182">
        <v>6</v>
      </c>
      <c r="L182" t="s">
        <v>171</v>
      </c>
      <c r="M182">
        <v>256</v>
      </c>
      <c r="N182">
        <v>4</v>
      </c>
      <c r="O182">
        <v>37</v>
      </c>
      <c r="P182" t="s">
        <v>216</v>
      </c>
      <c r="Q182" t="s">
        <v>219</v>
      </c>
      <c r="R182">
        <f t="shared" si="12"/>
        <v>24</v>
      </c>
      <c r="S182">
        <f t="shared" si="9"/>
        <v>0.34029850746268658</v>
      </c>
      <c r="T182" t="str">
        <f t="shared" si="10"/>
        <v>High Risk</v>
      </c>
      <c r="U182" t="str">
        <f t="shared" si="11"/>
        <v>Apply Discount / Promotion</v>
      </c>
    </row>
    <row r="183" spans="1:21" x14ac:dyDescent="0.25">
      <c r="A183">
        <v>182</v>
      </c>
      <c r="B183" t="s">
        <v>70</v>
      </c>
      <c r="C183" t="s">
        <v>118</v>
      </c>
      <c r="D183" t="s">
        <v>121</v>
      </c>
      <c r="E183">
        <v>373</v>
      </c>
      <c r="F183">
        <v>107</v>
      </c>
      <c r="G183">
        <v>150</v>
      </c>
      <c r="H183">
        <v>4089.65</v>
      </c>
      <c r="I183">
        <v>2492</v>
      </c>
      <c r="J183">
        <v>107</v>
      </c>
      <c r="K183">
        <v>12</v>
      </c>
      <c r="L183" t="s">
        <v>153</v>
      </c>
      <c r="M183">
        <v>337</v>
      </c>
      <c r="N183">
        <v>3</v>
      </c>
      <c r="O183">
        <v>27</v>
      </c>
      <c r="P183" t="s">
        <v>216</v>
      </c>
      <c r="Q183" t="s">
        <v>217</v>
      </c>
      <c r="R183">
        <f t="shared" si="12"/>
        <v>-43</v>
      </c>
      <c r="S183">
        <f t="shared" si="9"/>
        <v>0.28686327077747992</v>
      </c>
      <c r="T183" t="str">
        <f t="shared" si="10"/>
        <v>High Risk</v>
      </c>
      <c r="U183" t="str">
        <f t="shared" si="11"/>
        <v>Apply Discount / Promotion</v>
      </c>
    </row>
    <row r="184" spans="1:21" x14ac:dyDescent="0.25">
      <c r="A184">
        <v>183</v>
      </c>
      <c r="B184" t="s">
        <v>31</v>
      </c>
      <c r="C184" t="s">
        <v>120</v>
      </c>
      <c r="D184" t="s">
        <v>122</v>
      </c>
      <c r="E184">
        <v>357</v>
      </c>
      <c r="F184">
        <v>411</v>
      </c>
      <c r="G184">
        <v>366</v>
      </c>
      <c r="H184">
        <v>3905.65</v>
      </c>
      <c r="I184">
        <v>2431.46</v>
      </c>
      <c r="J184">
        <v>127</v>
      </c>
      <c r="K184">
        <v>14</v>
      </c>
      <c r="L184" t="s">
        <v>187</v>
      </c>
      <c r="M184">
        <v>109</v>
      </c>
      <c r="N184">
        <v>3</v>
      </c>
      <c r="O184">
        <v>24</v>
      </c>
      <c r="P184" t="s">
        <v>216</v>
      </c>
      <c r="Q184" t="s">
        <v>219</v>
      </c>
      <c r="R184">
        <f t="shared" si="12"/>
        <v>45</v>
      </c>
      <c r="S184">
        <f t="shared" si="9"/>
        <v>1.1512605042016806</v>
      </c>
      <c r="T184" t="str">
        <f t="shared" si="10"/>
        <v>Low Risk</v>
      </c>
      <c r="U184" t="str">
        <f t="shared" si="11"/>
        <v>Maintain Stock</v>
      </c>
    </row>
    <row r="185" spans="1:21" x14ac:dyDescent="0.25">
      <c r="A185">
        <v>184</v>
      </c>
      <c r="B185" t="s">
        <v>97</v>
      </c>
      <c r="C185" t="s">
        <v>118</v>
      </c>
      <c r="D185" t="s">
        <v>122</v>
      </c>
      <c r="E185">
        <v>298</v>
      </c>
      <c r="F185">
        <v>105</v>
      </c>
      <c r="G185">
        <v>120</v>
      </c>
      <c r="H185">
        <v>3764.11</v>
      </c>
      <c r="I185">
        <v>2012.09</v>
      </c>
      <c r="J185">
        <v>42</v>
      </c>
      <c r="K185">
        <v>8</v>
      </c>
      <c r="L185" t="s">
        <v>201</v>
      </c>
      <c r="M185">
        <v>173</v>
      </c>
      <c r="N185">
        <v>3</v>
      </c>
      <c r="O185">
        <v>25</v>
      </c>
      <c r="P185" t="s">
        <v>215</v>
      </c>
      <c r="Q185" t="s">
        <v>217</v>
      </c>
      <c r="R185">
        <f t="shared" si="12"/>
        <v>-15</v>
      </c>
      <c r="S185">
        <f t="shared" si="9"/>
        <v>0.3523489932885906</v>
      </c>
      <c r="T185" t="str">
        <f t="shared" si="10"/>
        <v>High Risk</v>
      </c>
      <c r="U185" t="str">
        <f t="shared" si="11"/>
        <v>Apply Discount / Promotion</v>
      </c>
    </row>
    <row r="186" spans="1:21" x14ac:dyDescent="0.25">
      <c r="A186">
        <v>185</v>
      </c>
      <c r="B186" t="s">
        <v>73</v>
      </c>
      <c r="C186" t="s">
        <v>117</v>
      </c>
      <c r="D186" t="s">
        <v>124</v>
      </c>
      <c r="E186">
        <v>488</v>
      </c>
      <c r="F186">
        <v>306</v>
      </c>
      <c r="G186">
        <v>335</v>
      </c>
      <c r="H186">
        <v>4474.71</v>
      </c>
      <c r="I186">
        <v>2629.27</v>
      </c>
      <c r="J186">
        <v>116</v>
      </c>
      <c r="K186">
        <v>7</v>
      </c>
      <c r="L186" t="s">
        <v>183</v>
      </c>
      <c r="M186">
        <v>199</v>
      </c>
      <c r="N186">
        <v>1</v>
      </c>
      <c r="O186">
        <v>37</v>
      </c>
      <c r="P186" t="s">
        <v>216</v>
      </c>
      <c r="Q186" t="s">
        <v>219</v>
      </c>
      <c r="R186">
        <f t="shared" si="12"/>
        <v>-29</v>
      </c>
      <c r="S186">
        <f t="shared" si="9"/>
        <v>0.62704918032786883</v>
      </c>
      <c r="T186" t="str">
        <f t="shared" si="10"/>
        <v>Medium Risk</v>
      </c>
      <c r="U186" t="str">
        <f t="shared" si="11"/>
        <v>Monitor Sales</v>
      </c>
    </row>
    <row r="187" spans="1:21" x14ac:dyDescent="0.25">
      <c r="A187">
        <v>186</v>
      </c>
      <c r="B187" t="s">
        <v>74</v>
      </c>
      <c r="C187" t="s">
        <v>119</v>
      </c>
      <c r="D187" t="s">
        <v>123</v>
      </c>
      <c r="E187">
        <v>433</v>
      </c>
      <c r="F187">
        <v>246</v>
      </c>
      <c r="G187">
        <v>217</v>
      </c>
      <c r="H187">
        <v>910.19</v>
      </c>
      <c r="I187">
        <v>618.80999999999995</v>
      </c>
      <c r="J187">
        <v>73</v>
      </c>
      <c r="K187">
        <v>7</v>
      </c>
      <c r="L187" t="s">
        <v>184</v>
      </c>
      <c r="M187">
        <v>265</v>
      </c>
      <c r="N187">
        <v>5</v>
      </c>
      <c r="O187">
        <v>32</v>
      </c>
      <c r="P187" t="s">
        <v>215</v>
      </c>
      <c r="Q187" t="s">
        <v>217</v>
      </c>
      <c r="R187">
        <f t="shared" si="12"/>
        <v>29</v>
      </c>
      <c r="S187">
        <f t="shared" si="9"/>
        <v>0.56812933025404155</v>
      </c>
      <c r="T187" t="str">
        <f t="shared" si="10"/>
        <v>Medium Risk</v>
      </c>
      <c r="U187" t="str">
        <f t="shared" si="11"/>
        <v>Monitor Sales</v>
      </c>
    </row>
    <row r="188" spans="1:21" x14ac:dyDescent="0.25">
      <c r="A188">
        <v>187</v>
      </c>
      <c r="B188" t="s">
        <v>59</v>
      </c>
      <c r="C188" t="s">
        <v>116</v>
      </c>
      <c r="D188" t="s">
        <v>123</v>
      </c>
      <c r="E188">
        <v>282</v>
      </c>
      <c r="F188">
        <v>328</v>
      </c>
      <c r="G188">
        <v>345</v>
      </c>
      <c r="H188">
        <v>3725.47</v>
      </c>
      <c r="I188">
        <v>2321.34</v>
      </c>
      <c r="J188">
        <v>30</v>
      </c>
      <c r="K188">
        <v>13</v>
      </c>
      <c r="L188" t="s">
        <v>126</v>
      </c>
      <c r="M188">
        <v>310</v>
      </c>
      <c r="N188">
        <v>2</v>
      </c>
      <c r="O188">
        <v>41</v>
      </c>
      <c r="P188" t="s">
        <v>216</v>
      </c>
      <c r="Q188" t="s">
        <v>218</v>
      </c>
      <c r="R188">
        <f t="shared" si="12"/>
        <v>-17</v>
      </c>
      <c r="S188">
        <f t="shared" si="9"/>
        <v>1.1631205673758864</v>
      </c>
      <c r="T188" t="str">
        <f t="shared" si="10"/>
        <v>Low Risk</v>
      </c>
      <c r="U188" t="str">
        <f t="shared" si="11"/>
        <v>Maintain Stock</v>
      </c>
    </row>
    <row r="189" spans="1:21" x14ac:dyDescent="0.25">
      <c r="A189">
        <v>188</v>
      </c>
      <c r="B189" t="s">
        <v>81</v>
      </c>
      <c r="C189" t="s">
        <v>118</v>
      </c>
      <c r="D189" t="s">
        <v>124</v>
      </c>
      <c r="E189">
        <v>315</v>
      </c>
      <c r="F189">
        <v>7</v>
      </c>
      <c r="G189">
        <v>10</v>
      </c>
      <c r="H189">
        <v>4886.8900000000003</v>
      </c>
      <c r="I189">
        <v>3717.51</v>
      </c>
      <c r="J189">
        <v>58</v>
      </c>
      <c r="K189">
        <v>11</v>
      </c>
      <c r="L189" t="s">
        <v>202</v>
      </c>
      <c r="M189">
        <v>306</v>
      </c>
      <c r="N189">
        <v>2</v>
      </c>
      <c r="O189">
        <v>17</v>
      </c>
      <c r="P189" t="s">
        <v>215</v>
      </c>
      <c r="Q189" t="s">
        <v>219</v>
      </c>
      <c r="R189">
        <f t="shared" si="12"/>
        <v>-3</v>
      </c>
      <c r="S189">
        <f t="shared" si="9"/>
        <v>2.2222222222222223E-2</v>
      </c>
      <c r="T189" t="str">
        <f t="shared" si="10"/>
        <v>High Risk</v>
      </c>
      <c r="U189" t="str">
        <f t="shared" si="11"/>
        <v>Apply Discount / Promotion</v>
      </c>
    </row>
    <row r="190" spans="1:21" x14ac:dyDescent="0.25">
      <c r="A190">
        <v>189</v>
      </c>
      <c r="B190" t="s">
        <v>18</v>
      </c>
      <c r="C190" t="s">
        <v>119</v>
      </c>
      <c r="D190" t="s">
        <v>124</v>
      </c>
      <c r="E190">
        <v>42</v>
      </c>
      <c r="F190">
        <v>279</v>
      </c>
      <c r="G190">
        <v>243</v>
      </c>
      <c r="H190">
        <v>3982.03</v>
      </c>
      <c r="I190">
        <v>2095.2399999999998</v>
      </c>
      <c r="J190">
        <v>150</v>
      </c>
      <c r="K190">
        <v>7</v>
      </c>
      <c r="L190" t="s">
        <v>152</v>
      </c>
      <c r="M190">
        <v>145</v>
      </c>
      <c r="N190">
        <v>3</v>
      </c>
      <c r="O190">
        <v>46</v>
      </c>
      <c r="P190" t="s">
        <v>215</v>
      </c>
      <c r="Q190" t="s">
        <v>218</v>
      </c>
      <c r="R190">
        <f t="shared" si="12"/>
        <v>36</v>
      </c>
      <c r="S190">
        <f t="shared" si="9"/>
        <v>6.6428571428571432</v>
      </c>
      <c r="T190" t="str">
        <f t="shared" si="10"/>
        <v>Low Risk</v>
      </c>
      <c r="U190" t="str">
        <f t="shared" si="11"/>
        <v>Maintain Stock</v>
      </c>
    </row>
    <row r="191" spans="1:21" x14ac:dyDescent="0.25">
      <c r="A191">
        <v>190</v>
      </c>
      <c r="B191" t="s">
        <v>43</v>
      </c>
      <c r="C191" t="s">
        <v>116</v>
      </c>
      <c r="D191" t="s">
        <v>122</v>
      </c>
      <c r="E191">
        <v>148</v>
      </c>
      <c r="F191">
        <v>277</v>
      </c>
      <c r="G191">
        <v>300</v>
      </c>
      <c r="H191">
        <v>2375.59</v>
      </c>
      <c r="I191">
        <v>1890.74</v>
      </c>
      <c r="J191">
        <v>93</v>
      </c>
      <c r="K191">
        <v>1</v>
      </c>
      <c r="L191" t="s">
        <v>134</v>
      </c>
      <c r="M191">
        <v>253</v>
      </c>
      <c r="N191">
        <v>1</v>
      </c>
      <c r="O191">
        <v>43</v>
      </c>
      <c r="P191" t="s">
        <v>216</v>
      </c>
      <c r="Q191" t="s">
        <v>217</v>
      </c>
      <c r="R191">
        <f t="shared" si="12"/>
        <v>-23</v>
      </c>
      <c r="S191">
        <f t="shared" si="9"/>
        <v>1.8716216216216217</v>
      </c>
      <c r="T191" t="str">
        <f t="shared" si="10"/>
        <v>Low Risk</v>
      </c>
      <c r="U191" t="str">
        <f t="shared" si="11"/>
        <v>Maintain Stock</v>
      </c>
    </row>
    <row r="192" spans="1:21" x14ac:dyDescent="0.25">
      <c r="A192">
        <v>191</v>
      </c>
      <c r="B192" t="s">
        <v>59</v>
      </c>
      <c r="C192" t="s">
        <v>116</v>
      </c>
      <c r="D192" t="s">
        <v>121</v>
      </c>
      <c r="E192">
        <v>76</v>
      </c>
      <c r="F192">
        <v>136</v>
      </c>
      <c r="G192">
        <v>186</v>
      </c>
      <c r="H192">
        <v>2874.8</v>
      </c>
      <c r="I192">
        <v>1807.56</v>
      </c>
      <c r="J192">
        <v>37</v>
      </c>
      <c r="K192">
        <v>1</v>
      </c>
      <c r="L192" t="s">
        <v>145</v>
      </c>
      <c r="M192">
        <v>307</v>
      </c>
      <c r="N192">
        <v>3</v>
      </c>
      <c r="O192">
        <v>24</v>
      </c>
      <c r="P192" t="s">
        <v>216</v>
      </c>
      <c r="Q192" t="s">
        <v>217</v>
      </c>
      <c r="R192">
        <f t="shared" si="12"/>
        <v>-50</v>
      </c>
      <c r="S192">
        <f t="shared" si="9"/>
        <v>1.7894736842105263</v>
      </c>
      <c r="T192" t="str">
        <f t="shared" si="10"/>
        <v>Low Risk</v>
      </c>
      <c r="U192" t="str">
        <f t="shared" si="11"/>
        <v>Maintain Stock</v>
      </c>
    </row>
    <row r="193" spans="1:21" x14ac:dyDescent="0.25">
      <c r="A193">
        <v>192</v>
      </c>
      <c r="B193" t="s">
        <v>79</v>
      </c>
      <c r="C193" t="s">
        <v>116</v>
      </c>
      <c r="D193" t="s">
        <v>121</v>
      </c>
      <c r="E193">
        <v>406</v>
      </c>
      <c r="F193">
        <v>67</v>
      </c>
      <c r="G193">
        <v>19</v>
      </c>
      <c r="H193">
        <v>1403.31</v>
      </c>
      <c r="I193">
        <v>846.33</v>
      </c>
      <c r="J193">
        <v>80</v>
      </c>
      <c r="K193">
        <v>6</v>
      </c>
      <c r="L193" t="s">
        <v>174</v>
      </c>
      <c r="M193">
        <v>359</v>
      </c>
      <c r="N193">
        <v>5</v>
      </c>
      <c r="O193">
        <v>6</v>
      </c>
      <c r="P193" t="s">
        <v>215</v>
      </c>
      <c r="Q193" t="s">
        <v>218</v>
      </c>
      <c r="R193">
        <f t="shared" si="12"/>
        <v>48</v>
      </c>
      <c r="S193">
        <f t="shared" si="9"/>
        <v>0.16502463054187191</v>
      </c>
      <c r="T193" t="str">
        <f t="shared" si="10"/>
        <v>High Risk</v>
      </c>
      <c r="U193" t="str">
        <f t="shared" si="11"/>
        <v>Apply Discount / Promotion</v>
      </c>
    </row>
    <row r="194" spans="1:21" x14ac:dyDescent="0.25">
      <c r="A194">
        <v>193</v>
      </c>
      <c r="B194" t="s">
        <v>94</v>
      </c>
      <c r="C194" t="s">
        <v>117</v>
      </c>
      <c r="D194" t="s">
        <v>123</v>
      </c>
      <c r="E194">
        <v>201</v>
      </c>
      <c r="F194">
        <v>137</v>
      </c>
      <c r="G194">
        <v>158</v>
      </c>
      <c r="H194">
        <v>4505.99</v>
      </c>
      <c r="I194">
        <v>2943.01</v>
      </c>
      <c r="J194">
        <v>142</v>
      </c>
      <c r="K194">
        <v>11</v>
      </c>
      <c r="L194" t="s">
        <v>141</v>
      </c>
      <c r="M194">
        <v>232</v>
      </c>
      <c r="N194">
        <v>4</v>
      </c>
      <c r="O194">
        <v>29</v>
      </c>
      <c r="P194" t="s">
        <v>216</v>
      </c>
      <c r="Q194" t="s">
        <v>218</v>
      </c>
      <c r="R194">
        <f t="shared" si="12"/>
        <v>-21</v>
      </c>
      <c r="S194">
        <f t="shared" ref="S194:S257" si="13">F194/E194</f>
        <v>0.68159203980099503</v>
      </c>
      <c r="T194" t="str">
        <f t="shared" si="10"/>
        <v>Medium Risk</v>
      </c>
      <c r="U194" t="str">
        <f t="shared" si="11"/>
        <v>Monitor Sales</v>
      </c>
    </row>
    <row r="195" spans="1:21" x14ac:dyDescent="0.25">
      <c r="A195">
        <v>194</v>
      </c>
      <c r="B195" t="s">
        <v>33</v>
      </c>
      <c r="C195" t="s">
        <v>116</v>
      </c>
      <c r="D195" t="s">
        <v>122</v>
      </c>
      <c r="E195">
        <v>498</v>
      </c>
      <c r="F195">
        <v>267</v>
      </c>
      <c r="G195">
        <v>286</v>
      </c>
      <c r="H195">
        <v>3186.42</v>
      </c>
      <c r="I195">
        <v>2508.13</v>
      </c>
      <c r="J195">
        <v>124</v>
      </c>
      <c r="K195">
        <v>12</v>
      </c>
      <c r="L195" t="s">
        <v>153</v>
      </c>
      <c r="M195">
        <v>45</v>
      </c>
      <c r="N195">
        <v>4</v>
      </c>
      <c r="O195">
        <v>5</v>
      </c>
      <c r="P195" t="s">
        <v>215</v>
      </c>
      <c r="Q195" t="s">
        <v>218</v>
      </c>
      <c r="R195">
        <f t="shared" si="12"/>
        <v>-19</v>
      </c>
      <c r="S195">
        <f t="shared" si="13"/>
        <v>0.53614457831325302</v>
      </c>
      <c r="T195" t="str">
        <f t="shared" ref="T195:T258" si="14">IF(S195&lt;0.5,"High Risk",IF(S195&lt;1,"Medium Risk","Low Risk"))</f>
        <v>Medium Risk</v>
      </c>
      <c r="U195" t="str">
        <f t="shared" ref="U195:U258" si="15">IF(T195="High Risk","Apply Discount / Promotion",
IF(T195="Medium Risk","Monitor Sales",
"Maintain Stock"))</f>
        <v>Monitor Sales</v>
      </c>
    </row>
    <row r="196" spans="1:21" x14ac:dyDescent="0.25">
      <c r="A196">
        <v>195</v>
      </c>
      <c r="B196" t="s">
        <v>39</v>
      </c>
      <c r="C196" t="s">
        <v>118</v>
      </c>
      <c r="D196" t="s">
        <v>123</v>
      </c>
      <c r="E196">
        <v>270</v>
      </c>
      <c r="F196">
        <v>79</v>
      </c>
      <c r="G196">
        <v>59</v>
      </c>
      <c r="H196">
        <v>3569.88</v>
      </c>
      <c r="I196">
        <v>1986.35</v>
      </c>
      <c r="J196">
        <v>137</v>
      </c>
      <c r="K196">
        <v>11</v>
      </c>
      <c r="L196" t="s">
        <v>182</v>
      </c>
      <c r="M196">
        <v>65</v>
      </c>
      <c r="N196">
        <v>1</v>
      </c>
      <c r="O196">
        <v>29</v>
      </c>
      <c r="P196" t="s">
        <v>216</v>
      </c>
      <c r="Q196" t="s">
        <v>218</v>
      </c>
      <c r="R196">
        <f t="shared" si="12"/>
        <v>20</v>
      </c>
      <c r="S196">
        <f t="shared" si="13"/>
        <v>0.29259259259259257</v>
      </c>
      <c r="T196" t="str">
        <f t="shared" si="14"/>
        <v>High Risk</v>
      </c>
      <c r="U196" t="str">
        <f t="shared" si="15"/>
        <v>Apply Discount / Promotion</v>
      </c>
    </row>
    <row r="197" spans="1:21" x14ac:dyDescent="0.25">
      <c r="A197">
        <v>196</v>
      </c>
      <c r="B197" t="s">
        <v>69</v>
      </c>
      <c r="C197" t="s">
        <v>117</v>
      </c>
      <c r="D197" t="s">
        <v>123</v>
      </c>
      <c r="E197">
        <v>60</v>
      </c>
      <c r="F197">
        <v>288</v>
      </c>
      <c r="G197">
        <v>290</v>
      </c>
      <c r="H197">
        <v>1648.19</v>
      </c>
      <c r="I197">
        <v>980.55</v>
      </c>
      <c r="J197">
        <v>63</v>
      </c>
      <c r="K197">
        <v>10</v>
      </c>
      <c r="L197" t="s">
        <v>159</v>
      </c>
      <c r="M197">
        <v>315</v>
      </c>
      <c r="N197">
        <v>2</v>
      </c>
      <c r="O197">
        <v>48</v>
      </c>
      <c r="P197" t="s">
        <v>216</v>
      </c>
      <c r="Q197" t="s">
        <v>218</v>
      </c>
      <c r="R197">
        <f t="shared" si="12"/>
        <v>-2</v>
      </c>
      <c r="S197">
        <f t="shared" si="13"/>
        <v>4.8</v>
      </c>
      <c r="T197" t="str">
        <f t="shared" si="14"/>
        <v>Low Risk</v>
      </c>
      <c r="U197" t="str">
        <f t="shared" si="15"/>
        <v>Maintain Stock</v>
      </c>
    </row>
    <row r="198" spans="1:21" x14ac:dyDescent="0.25">
      <c r="A198">
        <v>197</v>
      </c>
      <c r="B198" t="s">
        <v>32</v>
      </c>
      <c r="C198" t="s">
        <v>120</v>
      </c>
      <c r="D198" t="s">
        <v>123</v>
      </c>
      <c r="E198">
        <v>46</v>
      </c>
      <c r="F198">
        <v>192</v>
      </c>
      <c r="G198">
        <v>231</v>
      </c>
      <c r="H198">
        <v>2981.74</v>
      </c>
      <c r="I198">
        <v>2021.71</v>
      </c>
      <c r="J198">
        <v>69</v>
      </c>
      <c r="K198">
        <v>3</v>
      </c>
      <c r="L198" t="s">
        <v>137</v>
      </c>
      <c r="M198">
        <v>224</v>
      </c>
      <c r="N198">
        <v>2</v>
      </c>
      <c r="O198">
        <v>20</v>
      </c>
      <c r="P198" t="s">
        <v>215</v>
      </c>
      <c r="Q198" t="s">
        <v>219</v>
      </c>
      <c r="R198">
        <f t="shared" si="12"/>
        <v>-39</v>
      </c>
      <c r="S198">
        <f t="shared" si="13"/>
        <v>4.1739130434782608</v>
      </c>
      <c r="T198" t="str">
        <f t="shared" si="14"/>
        <v>Low Risk</v>
      </c>
      <c r="U198" t="str">
        <f t="shared" si="15"/>
        <v>Maintain Stock</v>
      </c>
    </row>
    <row r="199" spans="1:21" x14ac:dyDescent="0.25">
      <c r="A199">
        <v>198</v>
      </c>
      <c r="B199" t="s">
        <v>90</v>
      </c>
      <c r="C199" t="s">
        <v>120</v>
      </c>
      <c r="D199" t="s">
        <v>121</v>
      </c>
      <c r="E199">
        <v>342</v>
      </c>
      <c r="F199">
        <v>105</v>
      </c>
      <c r="G199">
        <v>153</v>
      </c>
      <c r="H199">
        <v>2992.38</v>
      </c>
      <c r="I199">
        <v>1886.61</v>
      </c>
      <c r="J199">
        <v>99</v>
      </c>
      <c r="K199">
        <v>10</v>
      </c>
      <c r="L199" t="s">
        <v>168</v>
      </c>
      <c r="M199">
        <v>30</v>
      </c>
      <c r="N199">
        <v>2</v>
      </c>
      <c r="O199">
        <v>6</v>
      </c>
      <c r="P199" t="s">
        <v>216</v>
      </c>
      <c r="Q199" t="s">
        <v>218</v>
      </c>
      <c r="R199">
        <f t="shared" si="12"/>
        <v>-48</v>
      </c>
      <c r="S199">
        <f t="shared" si="13"/>
        <v>0.30701754385964913</v>
      </c>
      <c r="T199" t="str">
        <f t="shared" si="14"/>
        <v>High Risk</v>
      </c>
      <c r="U199" t="str">
        <f t="shared" si="15"/>
        <v>Apply Discount / Promotion</v>
      </c>
    </row>
    <row r="200" spans="1:21" x14ac:dyDescent="0.25">
      <c r="A200">
        <v>199</v>
      </c>
      <c r="B200" t="s">
        <v>71</v>
      </c>
      <c r="C200" t="s">
        <v>118</v>
      </c>
      <c r="D200" t="s">
        <v>123</v>
      </c>
      <c r="E200">
        <v>288</v>
      </c>
      <c r="F200">
        <v>69</v>
      </c>
      <c r="G200">
        <v>105</v>
      </c>
      <c r="H200">
        <v>4861.1000000000004</v>
      </c>
      <c r="I200">
        <v>3583.27</v>
      </c>
      <c r="J200">
        <v>132</v>
      </c>
      <c r="K200">
        <v>15</v>
      </c>
      <c r="L200" t="s">
        <v>196</v>
      </c>
      <c r="M200">
        <v>235</v>
      </c>
      <c r="N200">
        <v>1</v>
      </c>
      <c r="O200">
        <v>31</v>
      </c>
      <c r="P200" t="s">
        <v>215</v>
      </c>
      <c r="Q200" t="s">
        <v>218</v>
      </c>
      <c r="R200">
        <f t="shared" si="12"/>
        <v>-36</v>
      </c>
      <c r="S200">
        <f t="shared" si="13"/>
        <v>0.23958333333333334</v>
      </c>
      <c r="T200" t="str">
        <f t="shared" si="14"/>
        <v>High Risk</v>
      </c>
      <c r="U200" t="str">
        <f t="shared" si="15"/>
        <v>Apply Discount / Promotion</v>
      </c>
    </row>
    <row r="201" spans="1:21" x14ac:dyDescent="0.25">
      <c r="A201">
        <v>200</v>
      </c>
      <c r="B201" t="s">
        <v>64</v>
      </c>
      <c r="C201" t="s">
        <v>118</v>
      </c>
      <c r="D201" t="s">
        <v>124</v>
      </c>
      <c r="E201">
        <v>246</v>
      </c>
      <c r="F201">
        <v>77</v>
      </c>
      <c r="G201">
        <v>89</v>
      </c>
      <c r="H201">
        <v>2480.9299999999998</v>
      </c>
      <c r="I201">
        <v>1830.24</v>
      </c>
      <c r="J201">
        <v>129</v>
      </c>
      <c r="K201">
        <v>1</v>
      </c>
      <c r="L201" t="s">
        <v>203</v>
      </c>
      <c r="M201">
        <v>168</v>
      </c>
      <c r="N201">
        <v>2</v>
      </c>
      <c r="O201">
        <v>38</v>
      </c>
      <c r="P201" t="s">
        <v>216</v>
      </c>
      <c r="Q201" t="s">
        <v>217</v>
      </c>
      <c r="R201">
        <f t="shared" si="12"/>
        <v>-12</v>
      </c>
      <c r="S201">
        <f t="shared" si="13"/>
        <v>0.31300813008130079</v>
      </c>
      <c r="T201" t="str">
        <f t="shared" si="14"/>
        <v>High Risk</v>
      </c>
      <c r="U201" t="str">
        <f t="shared" si="15"/>
        <v>Apply Discount / Promotion</v>
      </c>
    </row>
    <row r="202" spans="1:21" x14ac:dyDescent="0.25">
      <c r="A202">
        <v>201</v>
      </c>
      <c r="B202" t="s">
        <v>94</v>
      </c>
      <c r="C202" t="s">
        <v>118</v>
      </c>
      <c r="D202" t="s">
        <v>123</v>
      </c>
      <c r="E202">
        <v>286</v>
      </c>
      <c r="F202">
        <v>0</v>
      </c>
      <c r="G202">
        <v>31</v>
      </c>
      <c r="H202">
        <v>4926.68</v>
      </c>
      <c r="I202">
        <v>3285.18</v>
      </c>
      <c r="J202">
        <v>88</v>
      </c>
      <c r="K202">
        <v>14</v>
      </c>
      <c r="L202" t="s">
        <v>150</v>
      </c>
      <c r="M202">
        <v>75</v>
      </c>
      <c r="N202">
        <v>2</v>
      </c>
      <c r="O202">
        <v>7</v>
      </c>
      <c r="P202" t="s">
        <v>216</v>
      </c>
      <c r="Q202" t="s">
        <v>218</v>
      </c>
      <c r="R202">
        <f t="shared" si="12"/>
        <v>-31</v>
      </c>
      <c r="S202">
        <f t="shared" si="13"/>
        <v>0</v>
      </c>
      <c r="T202" t="str">
        <f t="shared" si="14"/>
        <v>High Risk</v>
      </c>
      <c r="U202" t="str">
        <f t="shared" si="15"/>
        <v>Apply Discount / Promotion</v>
      </c>
    </row>
    <row r="203" spans="1:21" x14ac:dyDescent="0.25">
      <c r="A203">
        <v>202</v>
      </c>
      <c r="B203" t="s">
        <v>98</v>
      </c>
      <c r="C203" t="s">
        <v>118</v>
      </c>
      <c r="D203" t="s">
        <v>123</v>
      </c>
      <c r="E203">
        <v>368</v>
      </c>
      <c r="F203">
        <v>341</v>
      </c>
      <c r="G203">
        <v>347</v>
      </c>
      <c r="H203">
        <v>4442.17</v>
      </c>
      <c r="I203">
        <v>2900.85</v>
      </c>
      <c r="J203">
        <v>62</v>
      </c>
      <c r="K203">
        <v>8</v>
      </c>
      <c r="L203" t="s">
        <v>134</v>
      </c>
      <c r="M203">
        <v>205</v>
      </c>
      <c r="N203">
        <v>5</v>
      </c>
      <c r="O203">
        <v>35</v>
      </c>
      <c r="P203" t="s">
        <v>215</v>
      </c>
      <c r="Q203" t="s">
        <v>217</v>
      </c>
      <c r="R203">
        <f t="shared" ref="R203:R266" si="16">F203-G203</f>
        <v>-6</v>
      </c>
      <c r="S203">
        <f t="shared" si="13"/>
        <v>0.92663043478260865</v>
      </c>
      <c r="T203" t="str">
        <f t="shared" si="14"/>
        <v>Medium Risk</v>
      </c>
      <c r="U203" t="str">
        <f t="shared" si="15"/>
        <v>Monitor Sales</v>
      </c>
    </row>
    <row r="204" spans="1:21" x14ac:dyDescent="0.25">
      <c r="A204">
        <v>203</v>
      </c>
      <c r="B204" t="s">
        <v>99</v>
      </c>
      <c r="C204" t="s">
        <v>116</v>
      </c>
      <c r="D204" t="s">
        <v>122</v>
      </c>
      <c r="E204">
        <v>308</v>
      </c>
      <c r="F204">
        <v>341</v>
      </c>
      <c r="G204">
        <v>388</v>
      </c>
      <c r="H204">
        <v>3394.46</v>
      </c>
      <c r="I204">
        <v>2619.3200000000002</v>
      </c>
      <c r="J204">
        <v>32</v>
      </c>
      <c r="K204">
        <v>9</v>
      </c>
      <c r="L204" t="s">
        <v>177</v>
      </c>
      <c r="M204">
        <v>320</v>
      </c>
      <c r="N204">
        <v>5</v>
      </c>
      <c r="O204">
        <v>31</v>
      </c>
      <c r="P204" t="s">
        <v>216</v>
      </c>
      <c r="Q204" t="s">
        <v>219</v>
      </c>
      <c r="R204">
        <f t="shared" si="16"/>
        <v>-47</v>
      </c>
      <c r="S204">
        <f t="shared" si="13"/>
        <v>1.1071428571428572</v>
      </c>
      <c r="T204" t="str">
        <f t="shared" si="14"/>
        <v>Low Risk</v>
      </c>
      <c r="U204" t="str">
        <f t="shared" si="15"/>
        <v>Maintain Stock</v>
      </c>
    </row>
    <row r="205" spans="1:21" x14ac:dyDescent="0.25">
      <c r="A205">
        <v>204</v>
      </c>
      <c r="B205" t="s">
        <v>56</v>
      </c>
      <c r="C205" t="s">
        <v>117</v>
      </c>
      <c r="D205" t="s">
        <v>124</v>
      </c>
      <c r="E205">
        <v>158</v>
      </c>
      <c r="F205">
        <v>0</v>
      </c>
      <c r="G205">
        <v>29</v>
      </c>
      <c r="H205">
        <v>2700.11</v>
      </c>
      <c r="I205">
        <v>1356.22</v>
      </c>
      <c r="J205">
        <v>100</v>
      </c>
      <c r="K205">
        <v>12</v>
      </c>
      <c r="L205" t="s">
        <v>194</v>
      </c>
      <c r="M205">
        <v>103</v>
      </c>
      <c r="N205">
        <v>3</v>
      </c>
      <c r="O205">
        <v>41</v>
      </c>
      <c r="P205" t="s">
        <v>216</v>
      </c>
      <c r="Q205" t="s">
        <v>218</v>
      </c>
      <c r="R205">
        <f t="shared" si="16"/>
        <v>-29</v>
      </c>
      <c r="S205">
        <f t="shared" si="13"/>
        <v>0</v>
      </c>
      <c r="T205" t="str">
        <f t="shared" si="14"/>
        <v>High Risk</v>
      </c>
      <c r="U205" t="str">
        <f t="shared" si="15"/>
        <v>Apply Discount / Promotion</v>
      </c>
    </row>
    <row r="206" spans="1:21" x14ac:dyDescent="0.25">
      <c r="A206">
        <v>205</v>
      </c>
      <c r="B206" t="s">
        <v>100</v>
      </c>
      <c r="C206" t="s">
        <v>117</v>
      </c>
      <c r="D206" t="s">
        <v>122</v>
      </c>
      <c r="E206">
        <v>223</v>
      </c>
      <c r="F206">
        <v>219</v>
      </c>
      <c r="G206">
        <v>226</v>
      </c>
      <c r="H206">
        <v>4235.8900000000003</v>
      </c>
      <c r="I206">
        <v>2168.6</v>
      </c>
      <c r="J206">
        <v>128</v>
      </c>
      <c r="K206">
        <v>5</v>
      </c>
      <c r="L206" t="s">
        <v>142</v>
      </c>
      <c r="M206">
        <v>39</v>
      </c>
      <c r="N206">
        <v>2</v>
      </c>
      <c r="O206">
        <v>14</v>
      </c>
      <c r="P206" t="s">
        <v>216</v>
      </c>
      <c r="Q206" t="s">
        <v>217</v>
      </c>
      <c r="R206">
        <f t="shared" si="16"/>
        <v>-7</v>
      </c>
      <c r="S206">
        <f t="shared" si="13"/>
        <v>0.98206278026905824</v>
      </c>
      <c r="T206" t="str">
        <f t="shared" si="14"/>
        <v>Medium Risk</v>
      </c>
      <c r="U206" t="str">
        <f t="shared" si="15"/>
        <v>Monitor Sales</v>
      </c>
    </row>
    <row r="207" spans="1:21" x14ac:dyDescent="0.25">
      <c r="A207">
        <v>206</v>
      </c>
      <c r="B207" t="s">
        <v>101</v>
      </c>
      <c r="C207" t="s">
        <v>117</v>
      </c>
      <c r="D207" t="s">
        <v>121</v>
      </c>
      <c r="E207">
        <v>194</v>
      </c>
      <c r="F207">
        <v>191</v>
      </c>
      <c r="G207">
        <v>219</v>
      </c>
      <c r="H207">
        <v>3437.28</v>
      </c>
      <c r="I207">
        <v>2533.52</v>
      </c>
      <c r="J207">
        <v>148</v>
      </c>
      <c r="K207">
        <v>6</v>
      </c>
      <c r="L207" t="s">
        <v>130</v>
      </c>
      <c r="M207">
        <v>297</v>
      </c>
      <c r="N207">
        <v>4</v>
      </c>
      <c r="O207">
        <v>50</v>
      </c>
      <c r="P207" t="s">
        <v>215</v>
      </c>
      <c r="Q207" t="s">
        <v>218</v>
      </c>
      <c r="R207">
        <f t="shared" si="16"/>
        <v>-28</v>
      </c>
      <c r="S207">
        <f t="shared" si="13"/>
        <v>0.98453608247422686</v>
      </c>
      <c r="T207" t="str">
        <f t="shared" si="14"/>
        <v>Medium Risk</v>
      </c>
      <c r="U207" t="str">
        <f t="shared" si="15"/>
        <v>Monitor Sales</v>
      </c>
    </row>
    <row r="208" spans="1:21" x14ac:dyDescent="0.25">
      <c r="A208">
        <v>207</v>
      </c>
      <c r="B208" t="s">
        <v>49</v>
      </c>
      <c r="C208" t="s">
        <v>119</v>
      </c>
      <c r="D208" t="s">
        <v>124</v>
      </c>
      <c r="E208">
        <v>441</v>
      </c>
      <c r="F208">
        <v>405</v>
      </c>
      <c r="G208">
        <v>377</v>
      </c>
      <c r="H208">
        <v>3545.14</v>
      </c>
      <c r="I208">
        <v>2026.96</v>
      </c>
      <c r="J208">
        <v>46</v>
      </c>
      <c r="K208">
        <v>15</v>
      </c>
      <c r="L208" t="s">
        <v>145</v>
      </c>
      <c r="M208">
        <v>284</v>
      </c>
      <c r="N208">
        <v>4</v>
      </c>
      <c r="O208">
        <v>21</v>
      </c>
      <c r="P208" t="s">
        <v>215</v>
      </c>
      <c r="Q208" t="s">
        <v>218</v>
      </c>
      <c r="R208">
        <f t="shared" si="16"/>
        <v>28</v>
      </c>
      <c r="S208">
        <f t="shared" si="13"/>
        <v>0.91836734693877553</v>
      </c>
      <c r="T208" t="str">
        <f t="shared" si="14"/>
        <v>Medium Risk</v>
      </c>
      <c r="U208" t="str">
        <f t="shared" si="15"/>
        <v>Monitor Sales</v>
      </c>
    </row>
    <row r="209" spans="1:21" x14ac:dyDescent="0.25">
      <c r="A209">
        <v>208</v>
      </c>
      <c r="B209" t="s">
        <v>19</v>
      </c>
      <c r="C209" t="s">
        <v>117</v>
      </c>
      <c r="D209" t="s">
        <v>124</v>
      </c>
      <c r="E209">
        <v>439</v>
      </c>
      <c r="F209">
        <v>254</v>
      </c>
      <c r="G209">
        <v>257</v>
      </c>
      <c r="H209">
        <v>3150.3</v>
      </c>
      <c r="I209">
        <v>1968.18</v>
      </c>
      <c r="J209">
        <v>130</v>
      </c>
      <c r="K209">
        <v>14</v>
      </c>
      <c r="L209" t="s">
        <v>132</v>
      </c>
      <c r="M209">
        <v>200</v>
      </c>
      <c r="N209">
        <v>1</v>
      </c>
      <c r="O209">
        <v>13</v>
      </c>
      <c r="P209" t="s">
        <v>215</v>
      </c>
      <c r="Q209" t="s">
        <v>219</v>
      </c>
      <c r="R209">
        <f t="shared" si="16"/>
        <v>-3</v>
      </c>
      <c r="S209">
        <f t="shared" si="13"/>
        <v>0.57858769931662868</v>
      </c>
      <c r="T209" t="str">
        <f t="shared" si="14"/>
        <v>Medium Risk</v>
      </c>
      <c r="U209" t="str">
        <f t="shared" si="15"/>
        <v>Monitor Sales</v>
      </c>
    </row>
    <row r="210" spans="1:21" x14ac:dyDescent="0.25">
      <c r="A210">
        <v>209</v>
      </c>
      <c r="B210" t="s">
        <v>27</v>
      </c>
      <c r="C210" t="s">
        <v>120</v>
      </c>
      <c r="D210" t="s">
        <v>121</v>
      </c>
      <c r="E210">
        <v>75</v>
      </c>
      <c r="F210">
        <v>422</v>
      </c>
      <c r="G210">
        <v>388</v>
      </c>
      <c r="H210">
        <v>3574.94</v>
      </c>
      <c r="I210">
        <v>2714.03</v>
      </c>
      <c r="J210">
        <v>68</v>
      </c>
      <c r="K210">
        <v>11</v>
      </c>
      <c r="L210" t="s">
        <v>139</v>
      </c>
      <c r="M210">
        <v>41</v>
      </c>
      <c r="N210">
        <v>1</v>
      </c>
      <c r="O210">
        <v>3</v>
      </c>
      <c r="P210" t="s">
        <v>215</v>
      </c>
      <c r="Q210" t="s">
        <v>219</v>
      </c>
      <c r="R210">
        <f t="shared" si="16"/>
        <v>34</v>
      </c>
      <c r="S210">
        <f t="shared" si="13"/>
        <v>5.6266666666666669</v>
      </c>
      <c r="T210" t="str">
        <f t="shared" si="14"/>
        <v>Low Risk</v>
      </c>
      <c r="U210" t="str">
        <f t="shared" si="15"/>
        <v>Maintain Stock</v>
      </c>
    </row>
    <row r="211" spans="1:21" x14ac:dyDescent="0.25">
      <c r="A211">
        <v>210</v>
      </c>
      <c r="B211" t="s">
        <v>65</v>
      </c>
      <c r="C211" t="s">
        <v>120</v>
      </c>
      <c r="D211" t="s">
        <v>121</v>
      </c>
      <c r="E211">
        <v>370</v>
      </c>
      <c r="F211">
        <v>202</v>
      </c>
      <c r="G211">
        <v>152</v>
      </c>
      <c r="H211">
        <v>2004.16</v>
      </c>
      <c r="I211">
        <v>1284.4000000000001</v>
      </c>
      <c r="J211">
        <v>65</v>
      </c>
      <c r="K211">
        <v>10</v>
      </c>
      <c r="L211" t="s">
        <v>145</v>
      </c>
      <c r="M211">
        <v>242</v>
      </c>
      <c r="N211">
        <v>2</v>
      </c>
      <c r="O211">
        <v>47</v>
      </c>
      <c r="P211" t="s">
        <v>215</v>
      </c>
      <c r="Q211" t="s">
        <v>219</v>
      </c>
      <c r="R211">
        <f t="shared" si="16"/>
        <v>50</v>
      </c>
      <c r="S211">
        <f t="shared" si="13"/>
        <v>0.54594594594594592</v>
      </c>
      <c r="T211" t="str">
        <f t="shared" si="14"/>
        <v>Medium Risk</v>
      </c>
      <c r="U211" t="str">
        <f t="shared" si="15"/>
        <v>Monitor Sales</v>
      </c>
    </row>
    <row r="212" spans="1:21" x14ac:dyDescent="0.25">
      <c r="A212">
        <v>211</v>
      </c>
      <c r="B212" t="s">
        <v>86</v>
      </c>
      <c r="C212" t="s">
        <v>117</v>
      </c>
      <c r="D212" t="s">
        <v>123</v>
      </c>
      <c r="E212">
        <v>252</v>
      </c>
      <c r="F212">
        <v>107</v>
      </c>
      <c r="G212">
        <v>109</v>
      </c>
      <c r="H212">
        <v>3246.23</v>
      </c>
      <c r="I212">
        <v>2043.05</v>
      </c>
      <c r="J212">
        <v>116</v>
      </c>
      <c r="K212">
        <v>5</v>
      </c>
      <c r="L212" t="s">
        <v>201</v>
      </c>
      <c r="M212">
        <v>51</v>
      </c>
      <c r="N212">
        <v>2</v>
      </c>
      <c r="O212">
        <v>39</v>
      </c>
      <c r="P212" t="s">
        <v>216</v>
      </c>
      <c r="Q212" t="s">
        <v>217</v>
      </c>
      <c r="R212">
        <f t="shared" si="16"/>
        <v>-2</v>
      </c>
      <c r="S212">
        <f t="shared" si="13"/>
        <v>0.42460317460317459</v>
      </c>
      <c r="T212" t="str">
        <f t="shared" si="14"/>
        <v>High Risk</v>
      </c>
      <c r="U212" t="str">
        <f t="shared" si="15"/>
        <v>Apply Discount / Promotion</v>
      </c>
    </row>
    <row r="213" spans="1:21" x14ac:dyDescent="0.25">
      <c r="A213">
        <v>212</v>
      </c>
      <c r="B213" t="s">
        <v>88</v>
      </c>
      <c r="C213" t="s">
        <v>118</v>
      </c>
      <c r="D213" t="s">
        <v>121</v>
      </c>
      <c r="E213">
        <v>359</v>
      </c>
      <c r="F213">
        <v>122</v>
      </c>
      <c r="G213">
        <v>104</v>
      </c>
      <c r="H213">
        <v>621.54</v>
      </c>
      <c r="I213">
        <v>486.69</v>
      </c>
      <c r="J213">
        <v>64</v>
      </c>
      <c r="K213">
        <v>4</v>
      </c>
      <c r="L213" t="s">
        <v>140</v>
      </c>
      <c r="M213">
        <v>163</v>
      </c>
      <c r="N213">
        <v>1</v>
      </c>
      <c r="O213">
        <v>32</v>
      </c>
      <c r="P213" t="s">
        <v>215</v>
      </c>
      <c r="Q213" t="s">
        <v>219</v>
      </c>
      <c r="R213">
        <f t="shared" si="16"/>
        <v>18</v>
      </c>
      <c r="S213">
        <f t="shared" si="13"/>
        <v>0.33983286908077992</v>
      </c>
      <c r="T213" t="str">
        <f t="shared" si="14"/>
        <v>High Risk</v>
      </c>
      <c r="U213" t="str">
        <f t="shared" si="15"/>
        <v>Apply Discount / Promotion</v>
      </c>
    </row>
    <row r="214" spans="1:21" x14ac:dyDescent="0.25">
      <c r="A214">
        <v>213</v>
      </c>
      <c r="B214" t="s">
        <v>36</v>
      </c>
      <c r="C214" t="s">
        <v>119</v>
      </c>
      <c r="D214" t="s">
        <v>123</v>
      </c>
      <c r="E214">
        <v>145</v>
      </c>
      <c r="F214">
        <v>388</v>
      </c>
      <c r="G214">
        <v>385</v>
      </c>
      <c r="H214">
        <v>4792.43</v>
      </c>
      <c r="I214">
        <v>2805.05</v>
      </c>
      <c r="J214">
        <v>45</v>
      </c>
      <c r="K214">
        <v>12</v>
      </c>
      <c r="L214" t="s">
        <v>129</v>
      </c>
      <c r="M214">
        <v>125</v>
      </c>
      <c r="N214">
        <v>3</v>
      </c>
      <c r="O214">
        <v>16</v>
      </c>
      <c r="P214" t="s">
        <v>215</v>
      </c>
      <c r="Q214" t="s">
        <v>217</v>
      </c>
      <c r="R214">
        <f t="shared" si="16"/>
        <v>3</v>
      </c>
      <c r="S214">
        <f t="shared" si="13"/>
        <v>2.6758620689655173</v>
      </c>
      <c r="T214" t="str">
        <f t="shared" si="14"/>
        <v>Low Risk</v>
      </c>
      <c r="U214" t="str">
        <f t="shared" si="15"/>
        <v>Maintain Stock</v>
      </c>
    </row>
    <row r="215" spans="1:21" x14ac:dyDescent="0.25">
      <c r="A215">
        <v>214</v>
      </c>
      <c r="B215" t="s">
        <v>88</v>
      </c>
      <c r="C215" t="s">
        <v>118</v>
      </c>
      <c r="D215" t="s">
        <v>122</v>
      </c>
      <c r="E215">
        <v>37</v>
      </c>
      <c r="F215">
        <v>254</v>
      </c>
      <c r="G215">
        <v>283</v>
      </c>
      <c r="H215">
        <v>1662.46</v>
      </c>
      <c r="I215">
        <v>906.42</v>
      </c>
      <c r="J215">
        <v>55</v>
      </c>
      <c r="K215">
        <v>10</v>
      </c>
      <c r="L215" t="s">
        <v>131</v>
      </c>
      <c r="M215">
        <v>40</v>
      </c>
      <c r="N215">
        <v>3</v>
      </c>
      <c r="O215">
        <v>6</v>
      </c>
      <c r="P215" t="s">
        <v>216</v>
      </c>
      <c r="Q215" t="s">
        <v>219</v>
      </c>
      <c r="R215">
        <f t="shared" si="16"/>
        <v>-29</v>
      </c>
      <c r="S215">
        <f t="shared" si="13"/>
        <v>6.8648648648648649</v>
      </c>
      <c r="T215" t="str">
        <f t="shared" si="14"/>
        <v>Low Risk</v>
      </c>
      <c r="U215" t="str">
        <f t="shared" si="15"/>
        <v>Maintain Stock</v>
      </c>
    </row>
    <row r="216" spans="1:21" x14ac:dyDescent="0.25">
      <c r="A216">
        <v>215</v>
      </c>
      <c r="B216" t="s">
        <v>47</v>
      </c>
      <c r="C216" t="s">
        <v>118</v>
      </c>
      <c r="D216" t="s">
        <v>123</v>
      </c>
      <c r="E216">
        <v>363</v>
      </c>
      <c r="F216">
        <v>0</v>
      </c>
      <c r="G216">
        <v>25</v>
      </c>
      <c r="H216">
        <v>1640.41</v>
      </c>
      <c r="I216">
        <v>1222.8399999999999</v>
      </c>
      <c r="J216">
        <v>105</v>
      </c>
      <c r="K216">
        <v>3</v>
      </c>
      <c r="L216" t="s">
        <v>171</v>
      </c>
      <c r="M216">
        <v>62</v>
      </c>
      <c r="N216">
        <v>4</v>
      </c>
      <c r="O216">
        <v>39</v>
      </c>
      <c r="P216" t="s">
        <v>215</v>
      </c>
      <c r="Q216" t="s">
        <v>219</v>
      </c>
      <c r="R216">
        <f t="shared" si="16"/>
        <v>-25</v>
      </c>
      <c r="S216">
        <f t="shared" si="13"/>
        <v>0</v>
      </c>
      <c r="T216" t="str">
        <f t="shared" si="14"/>
        <v>High Risk</v>
      </c>
      <c r="U216" t="str">
        <f t="shared" si="15"/>
        <v>Apply Discount / Promotion</v>
      </c>
    </row>
    <row r="217" spans="1:21" x14ac:dyDescent="0.25">
      <c r="A217">
        <v>216</v>
      </c>
      <c r="B217" t="s">
        <v>65</v>
      </c>
      <c r="C217" t="s">
        <v>118</v>
      </c>
      <c r="D217" t="s">
        <v>121</v>
      </c>
      <c r="E217">
        <v>386</v>
      </c>
      <c r="F217">
        <v>0</v>
      </c>
      <c r="G217">
        <v>17</v>
      </c>
      <c r="H217">
        <v>1132.06</v>
      </c>
      <c r="I217">
        <v>757.2</v>
      </c>
      <c r="J217">
        <v>54</v>
      </c>
      <c r="K217">
        <v>6</v>
      </c>
      <c r="L217" t="s">
        <v>148</v>
      </c>
      <c r="M217">
        <v>55</v>
      </c>
      <c r="N217">
        <v>2</v>
      </c>
      <c r="O217">
        <v>4</v>
      </c>
      <c r="P217" t="s">
        <v>216</v>
      </c>
      <c r="Q217" t="s">
        <v>217</v>
      </c>
      <c r="R217">
        <f t="shared" si="16"/>
        <v>-17</v>
      </c>
      <c r="S217">
        <f t="shared" si="13"/>
        <v>0</v>
      </c>
      <c r="T217" t="str">
        <f t="shared" si="14"/>
        <v>High Risk</v>
      </c>
      <c r="U217" t="str">
        <f t="shared" si="15"/>
        <v>Apply Discount / Promotion</v>
      </c>
    </row>
    <row r="218" spans="1:21" x14ac:dyDescent="0.25">
      <c r="A218">
        <v>217</v>
      </c>
      <c r="B218" t="s">
        <v>84</v>
      </c>
      <c r="C218" t="s">
        <v>117</v>
      </c>
      <c r="D218" t="s">
        <v>124</v>
      </c>
      <c r="E218">
        <v>24</v>
      </c>
      <c r="F218">
        <v>245</v>
      </c>
      <c r="G218">
        <v>253</v>
      </c>
      <c r="H218">
        <v>701.29</v>
      </c>
      <c r="I218">
        <v>532.07000000000005</v>
      </c>
      <c r="J218">
        <v>72</v>
      </c>
      <c r="K218">
        <v>7</v>
      </c>
      <c r="L218" t="s">
        <v>195</v>
      </c>
      <c r="M218">
        <v>252</v>
      </c>
      <c r="N218">
        <v>4</v>
      </c>
      <c r="O218">
        <v>31</v>
      </c>
      <c r="P218" t="s">
        <v>216</v>
      </c>
      <c r="Q218" t="s">
        <v>218</v>
      </c>
      <c r="R218">
        <f t="shared" si="16"/>
        <v>-8</v>
      </c>
      <c r="S218">
        <f t="shared" si="13"/>
        <v>10.208333333333334</v>
      </c>
      <c r="T218" t="str">
        <f t="shared" si="14"/>
        <v>Low Risk</v>
      </c>
      <c r="U218" t="str">
        <f t="shared" si="15"/>
        <v>Maintain Stock</v>
      </c>
    </row>
    <row r="219" spans="1:21" x14ac:dyDescent="0.25">
      <c r="A219">
        <v>218</v>
      </c>
      <c r="B219" t="s">
        <v>27</v>
      </c>
      <c r="C219" t="s">
        <v>119</v>
      </c>
      <c r="D219" t="s">
        <v>123</v>
      </c>
      <c r="E219">
        <v>486</v>
      </c>
      <c r="F219">
        <v>4</v>
      </c>
      <c r="G219">
        <v>32</v>
      </c>
      <c r="H219">
        <v>1300.76</v>
      </c>
      <c r="I219">
        <v>859.05</v>
      </c>
      <c r="J219">
        <v>45</v>
      </c>
      <c r="K219">
        <v>10</v>
      </c>
      <c r="L219" t="s">
        <v>162</v>
      </c>
      <c r="M219">
        <v>190</v>
      </c>
      <c r="N219">
        <v>2</v>
      </c>
      <c r="O219">
        <v>20</v>
      </c>
      <c r="P219" t="s">
        <v>215</v>
      </c>
      <c r="Q219" t="s">
        <v>217</v>
      </c>
      <c r="R219">
        <f t="shared" si="16"/>
        <v>-28</v>
      </c>
      <c r="S219">
        <f t="shared" si="13"/>
        <v>8.23045267489712E-3</v>
      </c>
      <c r="T219" t="str">
        <f t="shared" si="14"/>
        <v>High Risk</v>
      </c>
      <c r="U219" t="str">
        <f t="shared" si="15"/>
        <v>Apply Discount / Promotion</v>
      </c>
    </row>
    <row r="220" spans="1:21" x14ac:dyDescent="0.25">
      <c r="A220">
        <v>219</v>
      </c>
      <c r="B220" t="s">
        <v>44</v>
      </c>
      <c r="C220" t="s">
        <v>119</v>
      </c>
      <c r="D220" t="s">
        <v>121</v>
      </c>
      <c r="E220">
        <v>374</v>
      </c>
      <c r="F220">
        <v>156</v>
      </c>
      <c r="G220">
        <v>113</v>
      </c>
      <c r="H220">
        <v>1921.47</v>
      </c>
      <c r="I220">
        <v>1218.8699999999999</v>
      </c>
      <c r="J220">
        <v>70</v>
      </c>
      <c r="K220">
        <v>4</v>
      </c>
      <c r="L220" t="s">
        <v>204</v>
      </c>
      <c r="M220">
        <v>79</v>
      </c>
      <c r="N220">
        <v>5</v>
      </c>
      <c r="O220">
        <v>34</v>
      </c>
      <c r="P220" t="s">
        <v>215</v>
      </c>
      <c r="Q220" t="s">
        <v>217</v>
      </c>
      <c r="R220">
        <f t="shared" si="16"/>
        <v>43</v>
      </c>
      <c r="S220">
        <f t="shared" si="13"/>
        <v>0.41711229946524064</v>
      </c>
      <c r="T220" t="str">
        <f t="shared" si="14"/>
        <v>High Risk</v>
      </c>
      <c r="U220" t="str">
        <f t="shared" si="15"/>
        <v>Apply Discount / Promotion</v>
      </c>
    </row>
    <row r="221" spans="1:21" x14ac:dyDescent="0.25">
      <c r="A221">
        <v>220</v>
      </c>
      <c r="B221" t="s">
        <v>54</v>
      </c>
      <c r="C221" t="s">
        <v>119</v>
      </c>
      <c r="D221" t="s">
        <v>122</v>
      </c>
      <c r="E221">
        <v>41</v>
      </c>
      <c r="F221">
        <v>11</v>
      </c>
      <c r="G221">
        <v>41</v>
      </c>
      <c r="H221">
        <v>3474.29</v>
      </c>
      <c r="I221">
        <v>2005.37</v>
      </c>
      <c r="J221">
        <v>66</v>
      </c>
      <c r="K221">
        <v>4</v>
      </c>
      <c r="L221" t="s">
        <v>176</v>
      </c>
      <c r="M221">
        <v>274</v>
      </c>
      <c r="N221">
        <v>5</v>
      </c>
      <c r="O221">
        <v>11</v>
      </c>
      <c r="P221" t="s">
        <v>216</v>
      </c>
      <c r="Q221" t="s">
        <v>217</v>
      </c>
      <c r="R221">
        <f t="shared" si="16"/>
        <v>-30</v>
      </c>
      <c r="S221">
        <f t="shared" si="13"/>
        <v>0.26829268292682928</v>
      </c>
      <c r="T221" t="str">
        <f t="shared" si="14"/>
        <v>High Risk</v>
      </c>
      <c r="U221" t="str">
        <f t="shared" si="15"/>
        <v>Apply Discount / Promotion</v>
      </c>
    </row>
    <row r="222" spans="1:21" x14ac:dyDescent="0.25">
      <c r="A222">
        <v>221</v>
      </c>
      <c r="B222" t="s">
        <v>78</v>
      </c>
      <c r="C222" t="s">
        <v>119</v>
      </c>
      <c r="D222" t="s">
        <v>122</v>
      </c>
      <c r="E222">
        <v>292</v>
      </c>
      <c r="F222">
        <v>251</v>
      </c>
      <c r="G222">
        <v>267</v>
      </c>
      <c r="H222">
        <v>1765.1</v>
      </c>
      <c r="I222">
        <v>917.06</v>
      </c>
      <c r="J222">
        <v>63</v>
      </c>
      <c r="K222">
        <v>12</v>
      </c>
      <c r="L222" t="s">
        <v>205</v>
      </c>
      <c r="M222">
        <v>238</v>
      </c>
      <c r="N222">
        <v>1</v>
      </c>
      <c r="O222">
        <v>40</v>
      </c>
      <c r="P222" t="s">
        <v>216</v>
      </c>
      <c r="Q222" t="s">
        <v>217</v>
      </c>
      <c r="R222">
        <f t="shared" si="16"/>
        <v>-16</v>
      </c>
      <c r="S222">
        <f t="shared" si="13"/>
        <v>0.8595890410958904</v>
      </c>
      <c r="T222" t="str">
        <f t="shared" si="14"/>
        <v>Medium Risk</v>
      </c>
      <c r="U222" t="str">
        <f t="shared" si="15"/>
        <v>Monitor Sales</v>
      </c>
    </row>
    <row r="223" spans="1:21" x14ac:dyDescent="0.25">
      <c r="A223">
        <v>222</v>
      </c>
      <c r="B223" t="s">
        <v>102</v>
      </c>
      <c r="C223" t="s">
        <v>119</v>
      </c>
      <c r="D223" t="s">
        <v>122</v>
      </c>
      <c r="E223">
        <v>273</v>
      </c>
      <c r="F223">
        <v>104</v>
      </c>
      <c r="G223">
        <v>146</v>
      </c>
      <c r="H223">
        <v>1131.8699999999999</v>
      </c>
      <c r="I223">
        <v>893.6</v>
      </c>
      <c r="J223">
        <v>113</v>
      </c>
      <c r="K223">
        <v>15</v>
      </c>
      <c r="L223" t="s">
        <v>136</v>
      </c>
      <c r="M223">
        <v>230</v>
      </c>
      <c r="N223">
        <v>1</v>
      </c>
      <c r="O223">
        <v>30</v>
      </c>
      <c r="P223" t="s">
        <v>216</v>
      </c>
      <c r="Q223" t="s">
        <v>218</v>
      </c>
      <c r="R223">
        <f t="shared" si="16"/>
        <v>-42</v>
      </c>
      <c r="S223">
        <f t="shared" si="13"/>
        <v>0.38095238095238093</v>
      </c>
      <c r="T223" t="str">
        <f t="shared" si="14"/>
        <v>High Risk</v>
      </c>
      <c r="U223" t="str">
        <f t="shared" si="15"/>
        <v>Apply Discount / Promotion</v>
      </c>
    </row>
    <row r="224" spans="1:21" x14ac:dyDescent="0.25">
      <c r="A224">
        <v>223</v>
      </c>
      <c r="B224" t="s">
        <v>72</v>
      </c>
      <c r="C224" t="s">
        <v>119</v>
      </c>
      <c r="D224" t="s">
        <v>122</v>
      </c>
      <c r="E224">
        <v>405</v>
      </c>
      <c r="F224">
        <v>359</v>
      </c>
      <c r="G224">
        <v>336</v>
      </c>
      <c r="H224">
        <v>4474.04</v>
      </c>
      <c r="I224">
        <v>3207.33</v>
      </c>
      <c r="J224">
        <v>120</v>
      </c>
      <c r="K224">
        <v>9</v>
      </c>
      <c r="L224" t="s">
        <v>201</v>
      </c>
      <c r="M224">
        <v>137</v>
      </c>
      <c r="N224">
        <v>1</v>
      </c>
      <c r="O224">
        <v>20</v>
      </c>
      <c r="P224" t="s">
        <v>215</v>
      </c>
      <c r="Q224" t="s">
        <v>217</v>
      </c>
      <c r="R224">
        <f t="shared" si="16"/>
        <v>23</v>
      </c>
      <c r="S224">
        <f t="shared" si="13"/>
        <v>0.88641975308641974</v>
      </c>
      <c r="T224" t="str">
        <f t="shared" si="14"/>
        <v>Medium Risk</v>
      </c>
      <c r="U224" t="str">
        <f t="shared" si="15"/>
        <v>Monitor Sales</v>
      </c>
    </row>
    <row r="225" spans="1:21" x14ac:dyDescent="0.25">
      <c r="A225">
        <v>224</v>
      </c>
      <c r="B225" t="s">
        <v>33</v>
      </c>
      <c r="C225" t="s">
        <v>117</v>
      </c>
      <c r="D225" t="s">
        <v>123</v>
      </c>
      <c r="E225">
        <v>183</v>
      </c>
      <c r="F225">
        <v>32</v>
      </c>
      <c r="G225">
        <v>78</v>
      </c>
      <c r="H225">
        <v>2056.02</v>
      </c>
      <c r="I225">
        <v>1127.82</v>
      </c>
      <c r="J225">
        <v>52</v>
      </c>
      <c r="K225">
        <v>7</v>
      </c>
      <c r="L225" t="s">
        <v>125</v>
      </c>
      <c r="M225">
        <v>173</v>
      </c>
      <c r="N225">
        <v>5</v>
      </c>
      <c r="O225">
        <v>10</v>
      </c>
      <c r="P225" t="s">
        <v>215</v>
      </c>
      <c r="Q225" t="s">
        <v>219</v>
      </c>
      <c r="R225">
        <f t="shared" si="16"/>
        <v>-46</v>
      </c>
      <c r="S225">
        <f t="shared" si="13"/>
        <v>0.17486338797814208</v>
      </c>
      <c r="T225" t="str">
        <f t="shared" si="14"/>
        <v>High Risk</v>
      </c>
      <c r="U225" t="str">
        <f t="shared" si="15"/>
        <v>Apply Discount / Promotion</v>
      </c>
    </row>
    <row r="226" spans="1:21" x14ac:dyDescent="0.25">
      <c r="A226">
        <v>225</v>
      </c>
      <c r="B226" t="s">
        <v>97</v>
      </c>
      <c r="C226" t="s">
        <v>117</v>
      </c>
      <c r="D226" t="s">
        <v>121</v>
      </c>
      <c r="E226">
        <v>487</v>
      </c>
      <c r="F226">
        <v>312</v>
      </c>
      <c r="G226">
        <v>284</v>
      </c>
      <c r="H226">
        <v>3271.58</v>
      </c>
      <c r="I226">
        <v>1652.97</v>
      </c>
      <c r="J226">
        <v>53</v>
      </c>
      <c r="K226">
        <v>8</v>
      </c>
      <c r="L226" t="s">
        <v>190</v>
      </c>
      <c r="M226">
        <v>319</v>
      </c>
      <c r="N226">
        <v>1</v>
      </c>
      <c r="O226">
        <v>14</v>
      </c>
      <c r="P226" t="s">
        <v>216</v>
      </c>
      <c r="Q226" t="s">
        <v>217</v>
      </c>
      <c r="R226">
        <f t="shared" si="16"/>
        <v>28</v>
      </c>
      <c r="S226">
        <f t="shared" si="13"/>
        <v>0.64065708418891165</v>
      </c>
      <c r="T226" t="str">
        <f t="shared" si="14"/>
        <v>Medium Risk</v>
      </c>
      <c r="U226" t="str">
        <f t="shared" si="15"/>
        <v>Monitor Sales</v>
      </c>
    </row>
    <row r="227" spans="1:21" x14ac:dyDescent="0.25">
      <c r="A227">
        <v>226</v>
      </c>
      <c r="B227" t="s">
        <v>74</v>
      </c>
      <c r="C227" t="s">
        <v>118</v>
      </c>
      <c r="D227" t="s">
        <v>121</v>
      </c>
      <c r="E227">
        <v>56</v>
      </c>
      <c r="F227">
        <v>46</v>
      </c>
      <c r="G227">
        <v>84</v>
      </c>
      <c r="H227">
        <v>4744.3</v>
      </c>
      <c r="I227">
        <v>3392.65</v>
      </c>
      <c r="J227">
        <v>126</v>
      </c>
      <c r="K227">
        <v>14</v>
      </c>
      <c r="L227" t="s">
        <v>151</v>
      </c>
      <c r="M227">
        <v>158</v>
      </c>
      <c r="N227">
        <v>5</v>
      </c>
      <c r="O227">
        <v>17</v>
      </c>
      <c r="P227" t="s">
        <v>216</v>
      </c>
      <c r="Q227" t="s">
        <v>217</v>
      </c>
      <c r="R227">
        <f t="shared" si="16"/>
        <v>-38</v>
      </c>
      <c r="S227">
        <f t="shared" si="13"/>
        <v>0.8214285714285714</v>
      </c>
      <c r="T227" t="str">
        <f t="shared" si="14"/>
        <v>Medium Risk</v>
      </c>
      <c r="U227" t="str">
        <f t="shared" si="15"/>
        <v>Monitor Sales</v>
      </c>
    </row>
    <row r="228" spans="1:21" x14ac:dyDescent="0.25">
      <c r="A228">
        <v>227</v>
      </c>
      <c r="B228" t="s">
        <v>96</v>
      </c>
      <c r="C228" t="s">
        <v>116</v>
      </c>
      <c r="D228" t="s">
        <v>123</v>
      </c>
      <c r="E228">
        <v>384</v>
      </c>
      <c r="F228">
        <v>73</v>
      </c>
      <c r="G228">
        <v>43</v>
      </c>
      <c r="H228">
        <v>2574.5100000000002</v>
      </c>
      <c r="I228">
        <v>1600.28</v>
      </c>
      <c r="J228">
        <v>81</v>
      </c>
      <c r="K228">
        <v>1</v>
      </c>
      <c r="L228" t="s">
        <v>161</v>
      </c>
      <c r="M228">
        <v>327</v>
      </c>
      <c r="N228">
        <v>4</v>
      </c>
      <c r="O228">
        <v>1</v>
      </c>
      <c r="P228" t="s">
        <v>216</v>
      </c>
      <c r="Q228" t="s">
        <v>219</v>
      </c>
      <c r="R228">
        <f t="shared" si="16"/>
        <v>30</v>
      </c>
      <c r="S228">
        <f t="shared" si="13"/>
        <v>0.19010416666666666</v>
      </c>
      <c r="T228" t="str">
        <f t="shared" si="14"/>
        <v>High Risk</v>
      </c>
      <c r="U228" t="str">
        <f t="shared" si="15"/>
        <v>Apply Discount / Promotion</v>
      </c>
    </row>
    <row r="229" spans="1:21" x14ac:dyDescent="0.25">
      <c r="A229">
        <v>228</v>
      </c>
      <c r="B229" t="s">
        <v>22</v>
      </c>
      <c r="C229" t="s">
        <v>119</v>
      </c>
      <c r="D229" t="s">
        <v>121</v>
      </c>
      <c r="E229">
        <v>203</v>
      </c>
      <c r="F229">
        <v>57</v>
      </c>
      <c r="G229">
        <v>44</v>
      </c>
      <c r="H229">
        <v>2166.08</v>
      </c>
      <c r="I229">
        <v>1508.64</v>
      </c>
      <c r="J229">
        <v>106</v>
      </c>
      <c r="K229">
        <v>6</v>
      </c>
      <c r="L229" t="s">
        <v>204</v>
      </c>
      <c r="M229">
        <v>313</v>
      </c>
      <c r="N229">
        <v>3</v>
      </c>
      <c r="O229">
        <v>44</v>
      </c>
      <c r="P229" t="s">
        <v>215</v>
      </c>
      <c r="Q229" t="s">
        <v>217</v>
      </c>
      <c r="R229">
        <f t="shared" si="16"/>
        <v>13</v>
      </c>
      <c r="S229">
        <f t="shared" si="13"/>
        <v>0.28078817733990147</v>
      </c>
      <c r="T229" t="str">
        <f t="shared" si="14"/>
        <v>High Risk</v>
      </c>
      <c r="U229" t="str">
        <f t="shared" si="15"/>
        <v>Apply Discount / Promotion</v>
      </c>
    </row>
    <row r="230" spans="1:21" x14ac:dyDescent="0.25">
      <c r="A230">
        <v>229</v>
      </c>
      <c r="B230" t="s">
        <v>35</v>
      </c>
      <c r="C230" t="s">
        <v>117</v>
      </c>
      <c r="D230" t="s">
        <v>122</v>
      </c>
      <c r="E230">
        <v>470</v>
      </c>
      <c r="F230">
        <v>371</v>
      </c>
      <c r="G230">
        <v>332</v>
      </c>
      <c r="H230">
        <v>3955.4</v>
      </c>
      <c r="I230">
        <v>2986.79</v>
      </c>
      <c r="J230">
        <v>104</v>
      </c>
      <c r="K230">
        <v>3</v>
      </c>
      <c r="L230" t="s">
        <v>153</v>
      </c>
      <c r="M230">
        <v>67</v>
      </c>
      <c r="N230">
        <v>2</v>
      </c>
      <c r="O230">
        <v>8</v>
      </c>
      <c r="P230" t="s">
        <v>216</v>
      </c>
      <c r="Q230" t="s">
        <v>218</v>
      </c>
      <c r="R230">
        <f t="shared" si="16"/>
        <v>39</v>
      </c>
      <c r="S230">
        <f t="shared" si="13"/>
        <v>0.78936170212765955</v>
      </c>
      <c r="T230" t="str">
        <f t="shared" si="14"/>
        <v>Medium Risk</v>
      </c>
      <c r="U230" t="str">
        <f t="shared" si="15"/>
        <v>Monitor Sales</v>
      </c>
    </row>
    <row r="231" spans="1:21" x14ac:dyDescent="0.25">
      <c r="A231">
        <v>230</v>
      </c>
      <c r="B231" t="s">
        <v>68</v>
      </c>
      <c r="C231" t="s">
        <v>117</v>
      </c>
      <c r="D231" t="s">
        <v>122</v>
      </c>
      <c r="E231">
        <v>93</v>
      </c>
      <c r="F231">
        <v>120</v>
      </c>
      <c r="G231">
        <v>159</v>
      </c>
      <c r="H231">
        <v>3823.85</v>
      </c>
      <c r="I231">
        <v>2703.66</v>
      </c>
      <c r="J231">
        <v>71</v>
      </c>
      <c r="K231">
        <v>13</v>
      </c>
      <c r="L231" t="s">
        <v>159</v>
      </c>
      <c r="M231">
        <v>71</v>
      </c>
      <c r="N231">
        <v>5</v>
      </c>
      <c r="O231">
        <v>24</v>
      </c>
      <c r="P231" t="s">
        <v>215</v>
      </c>
      <c r="Q231" t="s">
        <v>217</v>
      </c>
      <c r="R231">
        <f t="shared" si="16"/>
        <v>-39</v>
      </c>
      <c r="S231">
        <f t="shared" si="13"/>
        <v>1.2903225806451613</v>
      </c>
      <c r="T231" t="str">
        <f t="shared" si="14"/>
        <v>Low Risk</v>
      </c>
      <c r="U231" t="str">
        <f t="shared" si="15"/>
        <v>Maintain Stock</v>
      </c>
    </row>
    <row r="232" spans="1:21" x14ac:dyDescent="0.25">
      <c r="A232">
        <v>231</v>
      </c>
      <c r="B232" t="s">
        <v>76</v>
      </c>
      <c r="C232" t="s">
        <v>120</v>
      </c>
      <c r="D232" t="s">
        <v>123</v>
      </c>
      <c r="E232">
        <v>436</v>
      </c>
      <c r="F232">
        <v>221</v>
      </c>
      <c r="G232">
        <v>187</v>
      </c>
      <c r="H232">
        <v>4079.06</v>
      </c>
      <c r="I232">
        <v>2079.19</v>
      </c>
      <c r="J232">
        <v>103</v>
      </c>
      <c r="K232">
        <v>15</v>
      </c>
      <c r="L232" t="s">
        <v>189</v>
      </c>
      <c r="M232">
        <v>316</v>
      </c>
      <c r="N232">
        <v>4</v>
      </c>
      <c r="O232">
        <v>40</v>
      </c>
      <c r="P232" t="s">
        <v>215</v>
      </c>
      <c r="Q232" t="s">
        <v>218</v>
      </c>
      <c r="R232">
        <f t="shared" si="16"/>
        <v>34</v>
      </c>
      <c r="S232">
        <f t="shared" si="13"/>
        <v>0.50688073394495414</v>
      </c>
      <c r="T232" t="str">
        <f t="shared" si="14"/>
        <v>Medium Risk</v>
      </c>
      <c r="U232" t="str">
        <f t="shared" si="15"/>
        <v>Monitor Sales</v>
      </c>
    </row>
    <row r="233" spans="1:21" x14ac:dyDescent="0.25">
      <c r="A233">
        <v>232</v>
      </c>
      <c r="B233" t="s">
        <v>28</v>
      </c>
      <c r="C233" t="s">
        <v>119</v>
      </c>
      <c r="D233" t="s">
        <v>124</v>
      </c>
      <c r="E233">
        <v>500</v>
      </c>
      <c r="F233">
        <v>120</v>
      </c>
      <c r="G233">
        <v>81</v>
      </c>
      <c r="H233">
        <v>422.54</v>
      </c>
      <c r="I233">
        <v>241.11</v>
      </c>
      <c r="J233">
        <v>47</v>
      </c>
      <c r="K233">
        <v>6</v>
      </c>
      <c r="L233" t="s">
        <v>186</v>
      </c>
      <c r="M233">
        <v>271</v>
      </c>
      <c r="N233">
        <v>2</v>
      </c>
      <c r="O233">
        <v>26</v>
      </c>
      <c r="P233" t="s">
        <v>215</v>
      </c>
      <c r="Q233" t="s">
        <v>219</v>
      </c>
      <c r="R233">
        <f t="shared" si="16"/>
        <v>39</v>
      </c>
      <c r="S233">
        <f t="shared" si="13"/>
        <v>0.24</v>
      </c>
      <c r="T233" t="str">
        <f t="shared" si="14"/>
        <v>High Risk</v>
      </c>
      <c r="U233" t="str">
        <f t="shared" si="15"/>
        <v>Apply Discount / Promotion</v>
      </c>
    </row>
    <row r="234" spans="1:21" x14ac:dyDescent="0.25">
      <c r="A234">
        <v>233</v>
      </c>
      <c r="B234" t="s">
        <v>51</v>
      </c>
      <c r="C234" t="s">
        <v>119</v>
      </c>
      <c r="D234" t="s">
        <v>124</v>
      </c>
      <c r="E234">
        <v>205</v>
      </c>
      <c r="F234">
        <v>219</v>
      </c>
      <c r="G234">
        <v>184</v>
      </c>
      <c r="H234">
        <v>1691.08</v>
      </c>
      <c r="I234">
        <v>1017.73</v>
      </c>
      <c r="J234">
        <v>75</v>
      </c>
      <c r="K234">
        <v>6</v>
      </c>
      <c r="L234" t="s">
        <v>189</v>
      </c>
      <c r="M234">
        <v>315</v>
      </c>
      <c r="N234">
        <v>1</v>
      </c>
      <c r="O234">
        <v>29</v>
      </c>
      <c r="P234" t="s">
        <v>215</v>
      </c>
      <c r="Q234" t="s">
        <v>217</v>
      </c>
      <c r="R234">
        <f t="shared" si="16"/>
        <v>35</v>
      </c>
      <c r="S234">
        <f t="shared" si="13"/>
        <v>1.0682926829268293</v>
      </c>
      <c r="T234" t="str">
        <f t="shared" si="14"/>
        <v>Low Risk</v>
      </c>
      <c r="U234" t="str">
        <f t="shared" si="15"/>
        <v>Maintain Stock</v>
      </c>
    </row>
    <row r="235" spans="1:21" x14ac:dyDescent="0.25">
      <c r="A235">
        <v>234</v>
      </c>
      <c r="B235" t="s">
        <v>16</v>
      </c>
      <c r="C235" t="s">
        <v>118</v>
      </c>
      <c r="D235" t="s">
        <v>123</v>
      </c>
      <c r="E235">
        <v>489</v>
      </c>
      <c r="F235">
        <v>323</v>
      </c>
      <c r="G235">
        <v>281</v>
      </c>
      <c r="H235">
        <v>4920.0200000000004</v>
      </c>
      <c r="I235">
        <v>2889.78</v>
      </c>
      <c r="J235">
        <v>128</v>
      </c>
      <c r="K235">
        <v>1</v>
      </c>
      <c r="L235" t="s">
        <v>206</v>
      </c>
      <c r="M235">
        <v>209</v>
      </c>
      <c r="N235">
        <v>1</v>
      </c>
      <c r="O235">
        <v>27</v>
      </c>
      <c r="P235" t="s">
        <v>215</v>
      </c>
      <c r="Q235" t="s">
        <v>217</v>
      </c>
      <c r="R235">
        <f t="shared" si="16"/>
        <v>42</v>
      </c>
      <c r="S235">
        <f t="shared" si="13"/>
        <v>0.66053169734151329</v>
      </c>
      <c r="T235" t="str">
        <f t="shared" si="14"/>
        <v>Medium Risk</v>
      </c>
      <c r="U235" t="str">
        <f t="shared" si="15"/>
        <v>Monitor Sales</v>
      </c>
    </row>
    <row r="236" spans="1:21" x14ac:dyDescent="0.25">
      <c r="A236">
        <v>235</v>
      </c>
      <c r="B236" t="s">
        <v>103</v>
      </c>
      <c r="C236" t="s">
        <v>120</v>
      </c>
      <c r="D236" t="s">
        <v>121</v>
      </c>
      <c r="E236">
        <v>234</v>
      </c>
      <c r="F236">
        <v>24</v>
      </c>
      <c r="G236">
        <v>51</v>
      </c>
      <c r="H236">
        <v>804.45</v>
      </c>
      <c r="I236">
        <v>613.37</v>
      </c>
      <c r="J236">
        <v>114</v>
      </c>
      <c r="K236">
        <v>10</v>
      </c>
      <c r="L236" t="s">
        <v>180</v>
      </c>
      <c r="M236">
        <v>205</v>
      </c>
      <c r="N236">
        <v>4</v>
      </c>
      <c r="O236">
        <v>50</v>
      </c>
      <c r="P236" t="s">
        <v>215</v>
      </c>
      <c r="Q236" t="s">
        <v>217</v>
      </c>
      <c r="R236">
        <f t="shared" si="16"/>
        <v>-27</v>
      </c>
      <c r="S236">
        <f t="shared" si="13"/>
        <v>0.10256410256410256</v>
      </c>
      <c r="T236" t="str">
        <f t="shared" si="14"/>
        <v>High Risk</v>
      </c>
      <c r="U236" t="str">
        <f t="shared" si="15"/>
        <v>Apply Discount / Promotion</v>
      </c>
    </row>
    <row r="237" spans="1:21" x14ac:dyDescent="0.25">
      <c r="A237">
        <v>236</v>
      </c>
      <c r="B237" t="s">
        <v>85</v>
      </c>
      <c r="C237" t="s">
        <v>119</v>
      </c>
      <c r="D237" t="s">
        <v>123</v>
      </c>
      <c r="E237">
        <v>493</v>
      </c>
      <c r="F237">
        <v>145</v>
      </c>
      <c r="G237">
        <v>123</v>
      </c>
      <c r="H237">
        <v>4419.97</v>
      </c>
      <c r="I237">
        <v>2733.52</v>
      </c>
      <c r="J237">
        <v>38</v>
      </c>
      <c r="K237">
        <v>3</v>
      </c>
      <c r="L237" t="s">
        <v>136</v>
      </c>
      <c r="M237">
        <v>206</v>
      </c>
      <c r="N237">
        <v>5</v>
      </c>
      <c r="O237">
        <v>41</v>
      </c>
      <c r="P237" t="s">
        <v>215</v>
      </c>
      <c r="Q237" t="s">
        <v>217</v>
      </c>
      <c r="R237">
        <f t="shared" si="16"/>
        <v>22</v>
      </c>
      <c r="S237">
        <f t="shared" si="13"/>
        <v>0.29411764705882354</v>
      </c>
      <c r="T237" t="str">
        <f t="shared" si="14"/>
        <v>High Risk</v>
      </c>
      <c r="U237" t="str">
        <f t="shared" si="15"/>
        <v>Apply Discount / Promotion</v>
      </c>
    </row>
    <row r="238" spans="1:21" x14ac:dyDescent="0.25">
      <c r="A238">
        <v>237</v>
      </c>
      <c r="B238" t="s">
        <v>91</v>
      </c>
      <c r="C238" t="s">
        <v>119</v>
      </c>
      <c r="D238" t="s">
        <v>123</v>
      </c>
      <c r="E238">
        <v>315</v>
      </c>
      <c r="F238">
        <v>75</v>
      </c>
      <c r="G238">
        <v>76</v>
      </c>
      <c r="H238">
        <v>3331.2</v>
      </c>
      <c r="I238">
        <v>1953.29</v>
      </c>
      <c r="J238">
        <v>96</v>
      </c>
      <c r="K238">
        <v>13</v>
      </c>
      <c r="L238" t="s">
        <v>182</v>
      </c>
      <c r="M238">
        <v>216</v>
      </c>
      <c r="N238">
        <v>5</v>
      </c>
      <c r="O238">
        <v>5</v>
      </c>
      <c r="P238" t="s">
        <v>215</v>
      </c>
      <c r="Q238" t="s">
        <v>218</v>
      </c>
      <c r="R238">
        <f t="shared" si="16"/>
        <v>-1</v>
      </c>
      <c r="S238">
        <f t="shared" si="13"/>
        <v>0.23809523809523808</v>
      </c>
      <c r="T238" t="str">
        <f t="shared" si="14"/>
        <v>High Risk</v>
      </c>
      <c r="U238" t="str">
        <f t="shared" si="15"/>
        <v>Apply Discount / Promotion</v>
      </c>
    </row>
    <row r="239" spans="1:21" x14ac:dyDescent="0.25">
      <c r="A239">
        <v>238</v>
      </c>
      <c r="B239" t="s">
        <v>61</v>
      </c>
      <c r="C239" t="s">
        <v>118</v>
      </c>
      <c r="D239" t="s">
        <v>122</v>
      </c>
      <c r="E239">
        <v>35</v>
      </c>
      <c r="F239">
        <v>278</v>
      </c>
      <c r="G239">
        <v>263</v>
      </c>
      <c r="H239">
        <v>3763.17</v>
      </c>
      <c r="I239">
        <v>2262.4899999999998</v>
      </c>
      <c r="J239">
        <v>34</v>
      </c>
      <c r="K239">
        <v>3</v>
      </c>
      <c r="L239" t="s">
        <v>170</v>
      </c>
      <c r="M239">
        <v>216</v>
      </c>
      <c r="N239">
        <v>3</v>
      </c>
      <c r="O239">
        <v>46</v>
      </c>
      <c r="P239" t="s">
        <v>216</v>
      </c>
      <c r="Q239" t="s">
        <v>219</v>
      </c>
      <c r="R239">
        <f t="shared" si="16"/>
        <v>15</v>
      </c>
      <c r="S239">
        <f t="shared" si="13"/>
        <v>7.9428571428571431</v>
      </c>
      <c r="T239" t="str">
        <f t="shared" si="14"/>
        <v>Low Risk</v>
      </c>
      <c r="U239" t="str">
        <f t="shared" si="15"/>
        <v>Maintain Stock</v>
      </c>
    </row>
    <row r="240" spans="1:21" x14ac:dyDescent="0.25">
      <c r="A240">
        <v>239</v>
      </c>
      <c r="B240" t="s">
        <v>96</v>
      </c>
      <c r="C240" t="s">
        <v>118</v>
      </c>
      <c r="D240" t="s">
        <v>123</v>
      </c>
      <c r="E240">
        <v>355</v>
      </c>
      <c r="F240">
        <v>328</v>
      </c>
      <c r="G240">
        <v>362</v>
      </c>
      <c r="H240">
        <v>4408.95</v>
      </c>
      <c r="I240">
        <v>3430.82</v>
      </c>
      <c r="J240">
        <v>70</v>
      </c>
      <c r="K240">
        <v>14</v>
      </c>
      <c r="L240" t="s">
        <v>207</v>
      </c>
      <c r="M240">
        <v>290</v>
      </c>
      <c r="N240">
        <v>5</v>
      </c>
      <c r="O240">
        <v>16</v>
      </c>
      <c r="P240" t="s">
        <v>216</v>
      </c>
      <c r="Q240" t="s">
        <v>219</v>
      </c>
      <c r="R240">
        <f t="shared" si="16"/>
        <v>-34</v>
      </c>
      <c r="S240">
        <f t="shared" si="13"/>
        <v>0.92394366197183098</v>
      </c>
      <c r="T240" t="str">
        <f t="shared" si="14"/>
        <v>Medium Risk</v>
      </c>
      <c r="U240" t="str">
        <f t="shared" si="15"/>
        <v>Monitor Sales</v>
      </c>
    </row>
    <row r="241" spans="1:21" x14ac:dyDescent="0.25">
      <c r="A241">
        <v>240</v>
      </c>
      <c r="B241" t="s">
        <v>85</v>
      </c>
      <c r="C241" t="s">
        <v>120</v>
      </c>
      <c r="D241" t="s">
        <v>123</v>
      </c>
      <c r="E241">
        <v>464</v>
      </c>
      <c r="F241">
        <v>255</v>
      </c>
      <c r="G241">
        <v>300</v>
      </c>
      <c r="H241">
        <v>4199.1899999999996</v>
      </c>
      <c r="I241">
        <v>2835.54</v>
      </c>
      <c r="J241">
        <v>98</v>
      </c>
      <c r="K241">
        <v>7</v>
      </c>
      <c r="L241" t="s">
        <v>165</v>
      </c>
      <c r="M241">
        <v>317</v>
      </c>
      <c r="N241">
        <v>4</v>
      </c>
      <c r="O241">
        <v>18</v>
      </c>
      <c r="P241" t="s">
        <v>216</v>
      </c>
      <c r="Q241" t="s">
        <v>218</v>
      </c>
      <c r="R241">
        <f t="shared" si="16"/>
        <v>-45</v>
      </c>
      <c r="S241">
        <f t="shared" si="13"/>
        <v>0.54956896551724133</v>
      </c>
      <c r="T241" t="str">
        <f t="shared" si="14"/>
        <v>Medium Risk</v>
      </c>
      <c r="U241" t="str">
        <f t="shared" si="15"/>
        <v>Monitor Sales</v>
      </c>
    </row>
    <row r="242" spans="1:21" x14ac:dyDescent="0.25">
      <c r="A242">
        <v>241</v>
      </c>
      <c r="B242" t="s">
        <v>88</v>
      </c>
      <c r="C242" t="s">
        <v>116</v>
      </c>
      <c r="D242" t="s">
        <v>121</v>
      </c>
      <c r="E242">
        <v>53</v>
      </c>
      <c r="F242">
        <v>225</v>
      </c>
      <c r="G242">
        <v>239</v>
      </c>
      <c r="H242">
        <v>3660.46</v>
      </c>
      <c r="I242">
        <v>2393.5700000000002</v>
      </c>
      <c r="J242">
        <v>75</v>
      </c>
      <c r="K242">
        <v>12</v>
      </c>
      <c r="L242" t="s">
        <v>157</v>
      </c>
      <c r="M242">
        <v>202</v>
      </c>
      <c r="N242">
        <v>3</v>
      </c>
      <c r="O242">
        <v>23</v>
      </c>
      <c r="P242" t="s">
        <v>215</v>
      </c>
      <c r="Q242" t="s">
        <v>218</v>
      </c>
      <c r="R242">
        <f t="shared" si="16"/>
        <v>-14</v>
      </c>
      <c r="S242">
        <f t="shared" si="13"/>
        <v>4.2452830188679247</v>
      </c>
      <c r="T242" t="str">
        <f t="shared" si="14"/>
        <v>Low Risk</v>
      </c>
      <c r="U242" t="str">
        <f t="shared" si="15"/>
        <v>Maintain Stock</v>
      </c>
    </row>
    <row r="243" spans="1:21" x14ac:dyDescent="0.25">
      <c r="A243">
        <v>242</v>
      </c>
      <c r="B243" t="s">
        <v>63</v>
      </c>
      <c r="C243" t="s">
        <v>118</v>
      </c>
      <c r="D243" t="s">
        <v>124</v>
      </c>
      <c r="E243">
        <v>321</v>
      </c>
      <c r="F243">
        <v>282</v>
      </c>
      <c r="G243">
        <v>248</v>
      </c>
      <c r="H243">
        <v>4602.1000000000004</v>
      </c>
      <c r="I243">
        <v>2340.98</v>
      </c>
      <c r="J243">
        <v>41</v>
      </c>
      <c r="K243">
        <v>8</v>
      </c>
      <c r="L243" t="s">
        <v>140</v>
      </c>
      <c r="M243">
        <v>257</v>
      </c>
      <c r="N243">
        <v>4</v>
      </c>
      <c r="O243">
        <v>7</v>
      </c>
      <c r="P243" t="s">
        <v>215</v>
      </c>
      <c r="Q243" t="s">
        <v>218</v>
      </c>
      <c r="R243">
        <f t="shared" si="16"/>
        <v>34</v>
      </c>
      <c r="S243">
        <f t="shared" si="13"/>
        <v>0.87850467289719625</v>
      </c>
      <c r="T243" t="str">
        <f t="shared" si="14"/>
        <v>Medium Risk</v>
      </c>
      <c r="U243" t="str">
        <f t="shared" si="15"/>
        <v>Monitor Sales</v>
      </c>
    </row>
    <row r="244" spans="1:21" x14ac:dyDescent="0.25">
      <c r="A244">
        <v>243</v>
      </c>
      <c r="B244" t="s">
        <v>50</v>
      </c>
      <c r="C244" t="s">
        <v>116</v>
      </c>
      <c r="D244" t="s">
        <v>123</v>
      </c>
      <c r="E244">
        <v>417</v>
      </c>
      <c r="F244">
        <v>337</v>
      </c>
      <c r="G244">
        <v>354</v>
      </c>
      <c r="H244">
        <v>1050.53</v>
      </c>
      <c r="I244">
        <v>593.01</v>
      </c>
      <c r="J244">
        <v>47</v>
      </c>
      <c r="K244">
        <v>11</v>
      </c>
      <c r="L244" t="s">
        <v>145</v>
      </c>
      <c r="M244">
        <v>71</v>
      </c>
      <c r="N244">
        <v>4</v>
      </c>
      <c r="O244">
        <v>38</v>
      </c>
      <c r="P244" t="s">
        <v>216</v>
      </c>
      <c r="Q244" t="s">
        <v>218</v>
      </c>
      <c r="R244">
        <f t="shared" si="16"/>
        <v>-17</v>
      </c>
      <c r="S244">
        <f t="shared" si="13"/>
        <v>0.80815347721822539</v>
      </c>
      <c r="T244" t="str">
        <f t="shared" si="14"/>
        <v>Medium Risk</v>
      </c>
      <c r="U244" t="str">
        <f t="shared" si="15"/>
        <v>Monitor Sales</v>
      </c>
    </row>
    <row r="245" spans="1:21" x14ac:dyDescent="0.25">
      <c r="A245">
        <v>244</v>
      </c>
      <c r="B245" t="s">
        <v>39</v>
      </c>
      <c r="C245" t="s">
        <v>117</v>
      </c>
      <c r="D245" t="s">
        <v>121</v>
      </c>
      <c r="E245">
        <v>362</v>
      </c>
      <c r="F245">
        <v>0</v>
      </c>
      <c r="G245">
        <v>46</v>
      </c>
      <c r="H245">
        <v>2750.67</v>
      </c>
      <c r="I245">
        <v>1583.26</v>
      </c>
      <c r="J245">
        <v>132</v>
      </c>
      <c r="K245">
        <v>14</v>
      </c>
      <c r="L245" t="s">
        <v>149</v>
      </c>
      <c r="M245">
        <v>259</v>
      </c>
      <c r="N245">
        <v>2</v>
      </c>
      <c r="O245">
        <v>12</v>
      </c>
      <c r="P245" t="s">
        <v>215</v>
      </c>
      <c r="Q245" t="s">
        <v>217</v>
      </c>
      <c r="R245">
        <f t="shared" si="16"/>
        <v>-46</v>
      </c>
      <c r="S245">
        <f t="shared" si="13"/>
        <v>0</v>
      </c>
      <c r="T245" t="str">
        <f t="shared" si="14"/>
        <v>High Risk</v>
      </c>
      <c r="U245" t="str">
        <f t="shared" si="15"/>
        <v>Apply Discount / Promotion</v>
      </c>
    </row>
    <row r="246" spans="1:21" x14ac:dyDescent="0.25">
      <c r="A246">
        <v>245</v>
      </c>
      <c r="B246" t="s">
        <v>50</v>
      </c>
      <c r="C246" t="s">
        <v>117</v>
      </c>
      <c r="D246" t="s">
        <v>122</v>
      </c>
      <c r="E246">
        <v>285</v>
      </c>
      <c r="F246">
        <v>159</v>
      </c>
      <c r="G246">
        <v>143</v>
      </c>
      <c r="H246">
        <v>605.27</v>
      </c>
      <c r="I246">
        <v>433.64</v>
      </c>
      <c r="J246">
        <v>127</v>
      </c>
      <c r="K246">
        <v>15</v>
      </c>
      <c r="L246" t="s">
        <v>208</v>
      </c>
      <c r="M246">
        <v>296</v>
      </c>
      <c r="N246">
        <v>2</v>
      </c>
      <c r="O246">
        <v>29</v>
      </c>
      <c r="P246" t="s">
        <v>215</v>
      </c>
      <c r="Q246" t="s">
        <v>217</v>
      </c>
      <c r="R246">
        <f t="shared" si="16"/>
        <v>16</v>
      </c>
      <c r="S246">
        <f t="shared" si="13"/>
        <v>0.55789473684210522</v>
      </c>
      <c r="T246" t="str">
        <f t="shared" si="14"/>
        <v>Medium Risk</v>
      </c>
      <c r="U246" t="str">
        <f t="shared" si="15"/>
        <v>Monitor Sales</v>
      </c>
    </row>
    <row r="247" spans="1:21" x14ac:dyDescent="0.25">
      <c r="A247">
        <v>246</v>
      </c>
      <c r="B247" t="s">
        <v>35</v>
      </c>
      <c r="C247" t="s">
        <v>118</v>
      </c>
      <c r="D247" t="s">
        <v>124</v>
      </c>
      <c r="E247">
        <v>389</v>
      </c>
      <c r="F247">
        <v>393</v>
      </c>
      <c r="G247">
        <v>352</v>
      </c>
      <c r="H247">
        <v>3185.32</v>
      </c>
      <c r="I247">
        <v>1811.63</v>
      </c>
      <c r="J247">
        <v>44</v>
      </c>
      <c r="K247">
        <v>6</v>
      </c>
      <c r="L247" t="s">
        <v>209</v>
      </c>
      <c r="M247">
        <v>179</v>
      </c>
      <c r="N247">
        <v>1</v>
      </c>
      <c r="O247">
        <v>5</v>
      </c>
      <c r="P247" t="s">
        <v>216</v>
      </c>
      <c r="Q247" t="s">
        <v>217</v>
      </c>
      <c r="R247">
        <f t="shared" si="16"/>
        <v>41</v>
      </c>
      <c r="S247">
        <f t="shared" si="13"/>
        <v>1.0102827763496145</v>
      </c>
      <c r="T247" t="str">
        <f t="shared" si="14"/>
        <v>Low Risk</v>
      </c>
      <c r="U247" t="str">
        <f t="shared" si="15"/>
        <v>Maintain Stock</v>
      </c>
    </row>
    <row r="248" spans="1:21" x14ac:dyDescent="0.25">
      <c r="A248">
        <v>247</v>
      </c>
      <c r="B248" t="s">
        <v>100</v>
      </c>
      <c r="C248" t="s">
        <v>116</v>
      </c>
      <c r="D248" t="s">
        <v>123</v>
      </c>
      <c r="E248">
        <v>353</v>
      </c>
      <c r="F248">
        <v>114</v>
      </c>
      <c r="G248">
        <v>118</v>
      </c>
      <c r="H248">
        <v>1821.75</v>
      </c>
      <c r="I248">
        <v>1280.0999999999999</v>
      </c>
      <c r="J248">
        <v>92</v>
      </c>
      <c r="K248">
        <v>12</v>
      </c>
      <c r="L248" t="s">
        <v>203</v>
      </c>
      <c r="M248">
        <v>183</v>
      </c>
      <c r="N248">
        <v>2</v>
      </c>
      <c r="O248">
        <v>50</v>
      </c>
      <c r="P248" t="s">
        <v>215</v>
      </c>
      <c r="Q248" t="s">
        <v>217</v>
      </c>
      <c r="R248">
        <f t="shared" si="16"/>
        <v>-4</v>
      </c>
      <c r="S248">
        <f t="shared" si="13"/>
        <v>0.32294617563739375</v>
      </c>
      <c r="T248" t="str">
        <f t="shared" si="14"/>
        <v>High Risk</v>
      </c>
      <c r="U248" t="str">
        <f t="shared" si="15"/>
        <v>Apply Discount / Promotion</v>
      </c>
    </row>
    <row r="249" spans="1:21" x14ac:dyDescent="0.25">
      <c r="A249">
        <v>248</v>
      </c>
      <c r="B249" t="s">
        <v>16</v>
      </c>
      <c r="C249" t="s">
        <v>117</v>
      </c>
      <c r="D249" t="s">
        <v>124</v>
      </c>
      <c r="E249">
        <v>142</v>
      </c>
      <c r="F249">
        <v>233</v>
      </c>
      <c r="G249">
        <v>283</v>
      </c>
      <c r="H249">
        <v>947.61</v>
      </c>
      <c r="I249">
        <v>667.49</v>
      </c>
      <c r="J249">
        <v>119</v>
      </c>
      <c r="K249">
        <v>2</v>
      </c>
      <c r="L249" t="s">
        <v>189</v>
      </c>
      <c r="M249">
        <v>127</v>
      </c>
      <c r="N249">
        <v>2</v>
      </c>
      <c r="O249">
        <v>35</v>
      </c>
      <c r="P249" t="s">
        <v>216</v>
      </c>
      <c r="Q249" t="s">
        <v>219</v>
      </c>
      <c r="R249">
        <f t="shared" si="16"/>
        <v>-50</v>
      </c>
      <c r="S249">
        <f t="shared" si="13"/>
        <v>1.6408450704225352</v>
      </c>
      <c r="T249" t="str">
        <f t="shared" si="14"/>
        <v>Low Risk</v>
      </c>
      <c r="U249" t="str">
        <f t="shared" si="15"/>
        <v>Maintain Stock</v>
      </c>
    </row>
    <row r="250" spans="1:21" x14ac:dyDescent="0.25">
      <c r="A250">
        <v>249</v>
      </c>
      <c r="B250" t="s">
        <v>103</v>
      </c>
      <c r="C250" t="s">
        <v>120</v>
      </c>
      <c r="D250" t="s">
        <v>121</v>
      </c>
      <c r="E250">
        <v>255</v>
      </c>
      <c r="F250">
        <v>332</v>
      </c>
      <c r="G250">
        <v>320</v>
      </c>
      <c r="H250">
        <v>297.87</v>
      </c>
      <c r="I250">
        <v>227.05</v>
      </c>
      <c r="J250">
        <v>77</v>
      </c>
      <c r="K250">
        <v>13</v>
      </c>
      <c r="L250" t="s">
        <v>188</v>
      </c>
      <c r="M250">
        <v>150</v>
      </c>
      <c r="N250">
        <v>3</v>
      </c>
      <c r="O250">
        <v>13</v>
      </c>
      <c r="P250" t="s">
        <v>215</v>
      </c>
      <c r="Q250" t="s">
        <v>218</v>
      </c>
      <c r="R250">
        <f t="shared" si="16"/>
        <v>12</v>
      </c>
      <c r="S250">
        <f t="shared" si="13"/>
        <v>1.3019607843137255</v>
      </c>
      <c r="T250" t="str">
        <f t="shared" si="14"/>
        <v>Low Risk</v>
      </c>
      <c r="U250" t="str">
        <f t="shared" si="15"/>
        <v>Maintain Stock</v>
      </c>
    </row>
    <row r="251" spans="1:21" x14ac:dyDescent="0.25">
      <c r="A251">
        <v>250</v>
      </c>
      <c r="B251" t="s">
        <v>34</v>
      </c>
      <c r="C251" t="s">
        <v>119</v>
      </c>
      <c r="D251" t="s">
        <v>123</v>
      </c>
      <c r="E251">
        <v>486</v>
      </c>
      <c r="F251">
        <v>84</v>
      </c>
      <c r="G251">
        <v>45</v>
      </c>
      <c r="H251">
        <v>620.53</v>
      </c>
      <c r="I251">
        <v>342.41</v>
      </c>
      <c r="J251">
        <v>149</v>
      </c>
      <c r="K251">
        <v>10</v>
      </c>
      <c r="L251" t="s">
        <v>183</v>
      </c>
      <c r="M251">
        <v>116</v>
      </c>
      <c r="N251">
        <v>1</v>
      </c>
      <c r="O251">
        <v>21</v>
      </c>
      <c r="P251" t="s">
        <v>215</v>
      </c>
      <c r="Q251" t="s">
        <v>218</v>
      </c>
      <c r="R251">
        <f t="shared" si="16"/>
        <v>39</v>
      </c>
      <c r="S251">
        <f t="shared" si="13"/>
        <v>0.1728395061728395</v>
      </c>
      <c r="T251" t="str">
        <f t="shared" si="14"/>
        <v>High Risk</v>
      </c>
      <c r="U251" t="str">
        <f t="shared" si="15"/>
        <v>Apply Discount / Promotion</v>
      </c>
    </row>
    <row r="252" spans="1:21" x14ac:dyDescent="0.25">
      <c r="A252">
        <v>251</v>
      </c>
      <c r="B252" t="s">
        <v>40</v>
      </c>
      <c r="C252" t="s">
        <v>117</v>
      </c>
      <c r="D252" t="s">
        <v>121</v>
      </c>
      <c r="E252">
        <v>328</v>
      </c>
      <c r="F252">
        <v>154</v>
      </c>
      <c r="G252">
        <v>130</v>
      </c>
      <c r="H252">
        <v>1306.26</v>
      </c>
      <c r="I252">
        <v>786.88</v>
      </c>
      <c r="J252">
        <v>40</v>
      </c>
      <c r="K252">
        <v>13</v>
      </c>
      <c r="L252" t="s">
        <v>210</v>
      </c>
      <c r="M252">
        <v>272</v>
      </c>
      <c r="N252">
        <v>5</v>
      </c>
      <c r="O252">
        <v>30</v>
      </c>
      <c r="P252" t="s">
        <v>216</v>
      </c>
      <c r="Q252" t="s">
        <v>217</v>
      </c>
      <c r="R252">
        <f t="shared" si="16"/>
        <v>24</v>
      </c>
      <c r="S252">
        <f t="shared" si="13"/>
        <v>0.46951219512195119</v>
      </c>
      <c r="T252" t="str">
        <f t="shared" si="14"/>
        <v>High Risk</v>
      </c>
      <c r="U252" t="str">
        <f t="shared" si="15"/>
        <v>Apply Discount / Promotion</v>
      </c>
    </row>
    <row r="253" spans="1:21" x14ac:dyDescent="0.25">
      <c r="A253">
        <v>252</v>
      </c>
      <c r="B253" t="s">
        <v>59</v>
      </c>
      <c r="C253" t="s">
        <v>119</v>
      </c>
      <c r="D253" t="s">
        <v>121</v>
      </c>
      <c r="E253">
        <v>348</v>
      </c>
      <c r="F253">
        <v>176</v>
      </c>
      <c r="G253">
        <v>206</v>
      </c>
      <c r="H253">
        <v>2738.71</v>
      </c>
      <c r="I253">
        <v>1847.32</v>
      </c>
      <c r="J253">
        <v>89</v>
      </c>
      <c r="K253">
        <v>2</v>
      </c>
      <c r="L253" t="s">
        <v>127</v>
      </c>
      <c r="M253">
        <v>337</v>
      </c>
      <c r="N253">
        <v>5</v>
      </c>
      <c r="O253">
        <v>26</v>
      </c>
      <c r="P253" t="s">
        <v>216</v>
      </c>
      <c r="Q253" t="s">
        <v>219</v>
      </c>
      <c r="R253">
        <f t="shared" si="16"/>
        <v>-30</v>
      </c>
      <c r="S253">
        <f t="shared" si="13"/>
        <v>0.50574712643678166</v>
      </c>
      <c r="T253" t="str">
        <f t="shared" si="14"/>
        <v>Medium Risk</v>
      </c>
      <c r="U253" t="str">
        <f t="shared" si="15"/>
        <v>Monitor Sales</v>
      </c>
    </row>
    <row r="254" spans="1:21" x14ac:dyDescent="0.25">
      <c r="A254">
        <v>253</v>
      </c>
      <c r="B254" t="s">
        <v>41</v>
      </c>
      <c r="C254" t="s">
        <v>119</v>
      </c>
      <c r="D254" t="s">
        <v>122</v>
      </c>
      <c r="E254">
        <v>339</v>
      </c>
      <c r="F254">
        <v>124</v>
      </c>
      <c r="G254">
        <v>150</v>
      </c>
      <c r="H254">
        <v>3890.95</v>
      </c>
      <c r="I254">
        <v>2755.55</v>
      </c>
      <c r="J254">
        <v>89</v>
      </c>
      <c r="K254">
        <v>4</v>
      </c>
      <c r="L254" t="s">
        <v>176</v>
      </c>
      <c r="M254">
        <v>62</v>
      </c>
      <c r="N254">
        <v>3</v>
      </c>
      <c r="O254">
        <v>50</v>
      </c>
      <c r="P254" t="s">
        <v>216</v>
      </c>
      <c r="Q254" t="s">
        <v>217</v>
      </c>
      <c r="R254">
        <f t="shared" si="16"/>
        <v>-26</v>
      </c>
      <c r="S254">
        <f t="shared" si="13"/>
        <v>0.36578171091445427</v>
      </c>
      <c r="T254" t="str">
        <f t="shared" si="14"/>
        <v>High Risk</v>
      </c>
      <c r="U254" t="str">
        <f t="shared" si="15"/>
        <v>Apply Discount / Promotion</v>
      </c>
    </row>
    <row r="255" spans="1:21" x14ac:dyDescent="0.25">
      <c r="A255">
        <v>254</v>
      </c>
      <c r="B255" t="s">
        <v>48</v>
      </c>
      <c r="C255" t="s">
        <v>119</v>
      </c>
      <c r="D255" t="s">
        <v>124</v>
      </c>
      <c r="E255">
        <v>354</v>
      </c>
      <c r="F255">
        <v>292</v>
      </c>
      <c r="G255">
        <v>243</v>
      </c>
      <c r="H255">
        <v>4891.08</v>
      </c>
      <c r="I255">
        <v>3509.56</v>
      </c>
      <c r="J255">
        <v>56</v>
      </c>
      <c r="K255">
        <v>15</v>
      </c>
      <c r="L255" t="s">
        <v>129</v>
      </c>
      <c r="M255">
        <v>173</v>
      </c>
      <c r="N255">
        <v>3</v>
      </c>
      <c r="O255">
        <v>5</v>
      </c>
      <c r="P255" t="s">
        <v>216</v>
      </c>
      <c r="Q255" t="s">
        <v>219</v>
      </c>
      <c r="R255">
        <f t="shared" si="16"/>
        <v>49</v>
      </c>
      <c r="S255">
        <f t="shared" si="13"/>
        <v>0.82485875706214684</v>
      </c>
      <c r="T255" t="str">
        <f t="shared" si="14"/>
        <v>Medium Risk</v>
      </c>
      <c r="U255" t="str">
        <f t="shared" si="15"/>
        <v>Monitor Sales</v>
      </c>
    </row>
    <row r="256" spans="1:21" x14ac:dyDescent="0.25">
      <c r="A256">
        <v>255</v>
      </c>
      <c r="B256" t="s">
        <v>104</v>
      </c>
      <c r="C256" t="s">
        <v>117</v>
      </c>
      <c r="D256" t="s">
        <v>122</v>
      </c>
      <c r="E256">
        <v>452</v>
      </c>
      <c r="F256">
        <v>241</v>
      </c>
      <c r="G256">
        <v>211</v>
      </c>
      <c r="H256">
        <v>792.08</v>
      </c>
      <c r="I256">
        <v>561.39</v>
      </c>
      <c r="J256">
        <v>109</v>
      </c>
      <c r="K256">
        <v>5</v>
      </c>
      <c r="L256" t="s">
        <v>144</v>
      </c>
      <c r="M256">
        <v>237</v>
      </c>
      <c r="N256">
        <v>1</v>
      </c>
      <c r="O256">
        <v>10</v>
      </c>
      <c r="P256" t="s">
        <v>215</v>
      </c>
      <c r="Q256" t="s">
        <v>218</v>
      </c>
      <c r="R256">
        <f t="shared" si="16"/>
        <v>30</v>
      </c>
      <c r="S256">
        <f t="shared" si="13"/>
        <v>0.5331858407079646</v>
      </c>
      <c r="T256" t="str">
        <f t="shared" si="14"/>
        <v>Medium Risk</v>
      </c>
      <c r="U256" t="str">
        <f t="shared" si="15"/>
        <v>Monitor Sales</v>
      </c>
    </row>
    <row r="257" spans="1:21" x14ac:dyDescent="0.25">
      <c r="A257">
        <v>256</v>
      </c>
      <c r="B257" t="s">
        <v>104</v>
      </c>
      <c r="C257" t="s">
        <v>117</v>
      </c>
      <c r="D257" t="s">
        <v>123</v>
      </c>
      <c r="E257">
        <v>468</v>
      </c>
      <c r="F257">
        <v>302</v>
      </c>
      <c r="G257">
        <v>281</v>
      </c>
      <c r="H257">
        <v>1990.03</v>
      </c>
      <c r="I257">
        <v>1415.34</v>
      </c>
      <c r="J257">
        <v>106</v>
      </c>
      <c r="K257">
        <v>1</v>
      </c>
      <c r="L257" t="s">
        <v>211</v>
      </c>
      <c r="M257">
        <v>343</v>
      </c>
      <c r="N257">
        <v>5</v>
      </c>
      <c r="O257">
        <v>29</v>
      </c>
      <c r="P257" t="s">
        <v>216</v>
      </c>
      <c r="Q257" t="s">
        <v>218</v>
      </c>
      <c r="R257">
        <f t="shared" si="16"/>
        <v>21</v>
      </c>
      <c r="S257">
        <f t="shared" si="13"/>
        <v>0.64529914529914534</v>
      </c>
      <c r="T257" t="str">
        <f t="shared" si="14"/>
        <v>Medium Risk</v>
      </c>
      <c r="U257" t="str">
        <f t="shared" si="15"/>
        <v>Monitor Sales</v>
      </c>
    </row>
    <row r="258" spans="1:21" x14ac:dyDescent="0.25">
      <c r="A258">
        <v>257</v>
      </c>
      <c r="B258" t="s">
        <v>23</v>
      </c>
      <c r="C258" t="s">
        <v>120</v>
      </c>
      <c r="D258" t="s">
        <v>122</v>
      </c>
      <c r="E258">
        <v>390</v>
      </c>
      <c r="F258">
        <v>115</v>
      </c>
      <c r="G258">
        <v>140</v>
      </c>
      <c r="H258">
        <v>1009.72</v>
      </c>
      <c r="I258">
        <v>579.28</v>
      </c>
      <c r="J258">
        <v>110</v>
      </c>
      <c r="K258">
        <v>1</v>
      </c>
      <c r="L258" t="s">
        <v>132</v>
      </c>
      <c r="M258">
        <v>100</v>
      </c>
      <c r="N258">
        <v>3</v>
      </c>
      <c r="O258">
        <v>30</v>
      </c>
      <c r="P258" t="s">
        <v>215</v>
      </c>
      <c r="Q258" t="s">
        <v>217</v>
      </c>
      <c r="R258">
        <f t="shared" si="16"/>
        <v>-25</v>
      </c>
      <c r="S258">
        <f t="shared" ref="S258:S321" si="17">F258/E258</f>
        <v>0.29487179487179488</v>
      </c>
      <c r="T258" t="str">
        <f t="shared" si="14"/>
        <v>High Risk</v>
      </c>
      <c r="U258" t="str">
        <f t="shared" si="15"/>
        <v>Apply Discount / Promotion</v>
      </c>
    </row>
    <row r="259" spans="1:21" x14ac:dyDescent="0.25">
      <c r="A259">
        <v>258</v>
      </c>
      <c r="B259" t="s">
        <v>98</v>
      </c>
      <c r="C259" t="s">
        <v>120</v>
      </c>
      <c r="D259" t="s">
        <v>122</v>
      </c>
      <c r="E259">
        <v>421</v>
      </c>
      <c r="F259">
        <v>225</v>
      </c>
      <c r="G259">
        <v>198</v>
      </c>
      <c r="H259">
        <v>241.45</v>
      </c>
      <c r="I259">
        <v>165.7</v>
      </c>
      <c r="J259">
        <v>64</v>
      </c>
      <c r="K259">
        <v>6</v>
      </c>
      <c r="L259" t="s">
        <v>129</v>
      </c>
      <c r="M259">
        <v>341</v>
      </c>
      <c r="N259">
        <v>3</v>
      </c>
      <c r="O259">
        <v>31</v>
      </c>
      <c r="P259" t="s">
        <v>215</v>
      </c>
      <c r="Q259" t="s">
        <v>218</v>
      </c>
      <c r="R259">
        <f t="shared" si="16"/>
        <v>27</v>
      </c>
      <c r="S259">
        <f t="shared" si="17"/>
        <v>0.53444180522565321</v>
      </c>
      <c r="T259" t="str">
        <f t="shared" ref="T259:T322" si="18">IF(S259&lt;0.5,"High Risk",IF(S259&lt;1,"Medium Risk","Low Risk"))</f>
        <v>Medium Risk</v>
      </c>
      <c r="U259" t="str">
        <f t="shared" ref="U259:U322" si="19">IF(T259="High Risk","Apply Discount / Promotion",
IF(T259="Medium Risk","Monitor Sales",
"Maintain Stock"))</f>
        <v>Monitor Sales</v>
      </c>
    </row>
    <row r="260" spans="1:21" x14ac:dyDescent="0.25">
      <c r="A260">
        <v>259</v>
      </c>
      <c r="B260" t="s">
        <v>57</v>
      </c>
      <c r="C260" t="s">
        <v>117</v>
      </c>
      <c r="D260" t="s">
        <v>122</v>
      </c>
      <c r="E260">
        <v>249</v>
      </c>
      <c r="F260">
        <v>40</v>
      </c>
      <c r="G260">
        <v>43</v>
      </c>
      <c r="H260">
        <v>1678.68</v>
      </c>
      <c r="I260">
        <v>999.61</v>
      </c>
      <c r="J260">
        <v>42</v>
      </c>
      <c r="K260">
        <v>14</v>
      </c>
      <c r="L260" t="s">
        <v>141</v>
      </c>
      <c r="M260">
        <v>109</v>
      </c>
      <c r="N260">
        <v>4</v>
      </c>
      <c r="O260">
        <v>16</v>
      </c>
      <c r="P260" t="s">
        <v>215</v>
      </c>
      <c r="Q260" t="s">
        <v>218</v>
      </c>
      <c r="R260">
        <f t="shared" si="16"/>
        <v>-3</v>
      </c>
      <c r="S260">
        <f t="shared" si="17"/>
        <v>0.1606425702811245</v>
      </c>
      <c r="T260" t="str">
        <f t="shared" si="18"/>
        <v>High Risk</v>
      </c>
      <c r="U260" t="str">
        <f t="shared" si="19"/>
        <v>Apply Discount / Promotion</v>
      </c>
    </row>
    <row r="261" spans="1:21" x14ac:dyDescent="0.25">
      <c r="A261">
        <v>260</v>
      </c>
      <c r="B261" t="s">
        <v>101</v>
      </c>
      <c r="C261" t="s">
        <v>117</v>
      </c>
      <c r="D261" t="s">
        <v>122</v>
      </c>
      <c r="E261">
        <v>401</v>
      </c>
      <c r="F261">
        <v>282</v>
      </c>
      <c r="G261">
        <v>286</v>
      </c>
      <c r="H261">
        <v>1715.36</v>
      </c>
      <c r="I261">
        <v>982.08</v>
      </c>
      <c r="J261">
        <v>86</v>
      </c>
      <c r="K261">
        <v>2</v>
      </c>
      <c r="L261" t="s">
        <v>202</v>
      </c>
      <c r="M261">
        <v>304</v>
      </c>
      <c r="N261">
        <v>4</v>
      </c>
      <c r="O261">
        <v>39</v>
      </c>
      <c r="P261" t="s">
        <v>216</v>
      </c>
      <c r="Q261" t="s">
        <v>218</v>
      </c>
      <c r="R261">
        <f t="shared" si="16"/>
        <v>-4</v>
      </c>
      <c r="S261">
        <f t="shared" si="17"/>
        <v>0.70324189526184544</v>
      </c>
      <c r="T261" t="str">
        <f t="shared" si="18"/>
        <v>Medium Risk</v>
      </c>
      <c r="U261" t="str">
        <f t="shared" si="19"/>
        <v>Monitor Sales</v>
      </c>
    </row>
    <row r="262" spans="1:21" x14ac:dyDescent="0.25">
      <c r="A262">
        <v>261</v>
      </c>
      <c r="B262" t="s">
        <v>92</v>
      </c>
      <c r="C262" t="s">
        <v>120</v>
      </c>
      <c r="D262" t="s">
        <v>124</v>
      </c>
      <c r="E262">
        <v>53</v>
      </c>
      <c r="F262">
        <v>278</v>
      </c>
      <c r="G262">
        <v>234</v>
      </c>
      <c r="H262">
        <v>4025.38</v>
      </c>
      <c r="I262">
        <v>3041.79</v>
      </c>
      <c r="J262">
        <v>147</v>
      </c>
      <c r="K262">
        <v>12</v>
      </c>
      <c r="L262" t="s">
        <v>188</v>
      </c>
      <c r="M262">
        <v>353</v>
      </c>
      <c r="N262">
        <v>1</v>
      </c>
      <c r="O262">
        <v>40</v>
      </c>
      <c r="P262" t="s">
        <v>215</v>
      </c>
      <c r="Q262" t="s">
        <v>217</v>
      </c>
      <c r="R262">
        <f t="shared" si="16"/>
        <v>44</v>
      </c>
      <c r="S262">
        <f t="shared" si="17"/>
        <v>5.2452830188679247</v>
      </c>
      <c r="T262" t="str">
        <f t="shared" si="18"/>
        <v>Low Risk</v>
      </c>
      <c r="U262" t="str">
        <f t="shared" si="19"/>
        <v>Maintain Stock</v>
      </c>
    </row>
    <row r="263" spans="1:21" x14ac:dyDescent="0.25">
      <c r="A263">
        <v>262</v>
      </c>
      <c r="B263" t="s">
        <v>90</v>
      </c>
      <c r="C263" t="s">
        <v>119</v>
      </c>
      <c r="D263" t="s">
        <v>124</v>
      </c>
      <c r="E263">
        <v>50</v>
      </c>
      <c r="F263">
        <v>339</v>
      </c>
      <c r="G263">
        <v>382</v>
      </c>
      <c r="H263">
        <v>1712.34</v>
      </c>
      <c r="I263">
        <v>954.09</v>
      </c>
      <c r="J263">
        <v>110</v>
      </c>
      <c r="K263">
        <v>12</v>
      </c>
      <c r="L263" t="s">
        <v>174</v>
      </c>
      <c r="M263">
        <v>88</v>
      </c>
      <c r="N263">
        <v>1</v>
      </c>
      <c r="O263">
        <v>26</v>
      </c>
      <c r="P263" t="s">
        <v>216</v>
      </c>
      <c r="Q263" t="s">
        <v>218</v>
      </c>
      <c r="R263">
        <f t="shared" si="16"/>
        <v>-43</v>
      </c>
      <c r="S263">
        <f t="shared" si="17"/>
        <v>6.78</v>
      </c>
      <c r="T263" t="str">
        <f t="shared" si="18"/>
        <v>Low Risk</v>
      </c>
      <c r="U263" t="str">
        <f t="shared" si="19"/>
        <v>Maintain Stock</v>
      </c>
    </row>
    <row r="264" spans="1:21" x14ac:dyDescent="0.25">
      <c r="A264">
        <v>263</v>
      </c>
      <c r="B264" t="s">
        <v>105</v>
      </c>
      <c r="C264" t="s">
        <v>117</v>
      </c>
      <c r="D264" t="s">
        <v>121</v>
      </c>
      <c r="E264">
        <v>414</v>
      </c>
      <c r="F264">
        <v>294</v>
      </c>
      <c r="G264">
        <v>311</v>
      </c>
      <c r="H264">
        <v>4925.3100000000004</v>
      </c>
      <c r="I264">
        <v>3705.25</v>
      </c>
      <c r="J264">
        <v>137</v>
      </c>
      <c r="K264">
        <v>5</v>
      </c>
      <c r="L264" t="s">
        <v>141</v>
      </c>
      <c r="M264">
        <v>243</v>
      </c>
      <c r="N264">
        <v>1</v>
      </c>
      <c r="O264">
        <v>34</v>
      </c>
      <c r="P264" t="s">
        <v>215</v>
      </c>
      <c r="Q264" t="s">
        <v>218</v>
      </c>
      <c r="R264">
        <f t="shared" si="16"/>
        <v>-17</v>
      </c>
      <c r="S264">
        <f t="shared" si="17"/>
        <v>0.71014492753623193</v>
      </c>
      <c r="T264" t="str">
        <f t="shared" si="18"/>
        <v>Medium Risk</v>
      </c>
      <c r="U264" t="str">
        <f t="shared" si="19"/>
        <v>Monitor Sales</v>
      </c>
    </row>
    <row r="265" spans="1:21" x14ac:dyDescent="0.25">
      <c r="A265">
        <v>264</v>
      </c>
      <c r="B265" t="s">
        <v>56</v>
      </c>
      <c r="C265" t="s">
        <v>118</v>
      </c>
      <c r="D265" t="s">
        <v>123</v>
      </c>
      <c r="E265">
        <v>212</v>
      </c>
      <c r="F265">
        <v>323</v>
      </c>
      <c r="G265">
        <v>281</v>
      </c>
      <c r="H265">
        <v>839.58</v>
      </c>
      <c r="I265">
        <v>453.72</v>
      </c>
      <c r="J265">
        <v>49</v>
      </c>
      <c r="K265">
        <v>15</v>
      </c>
      <c r="L265" t="s">
        <v>173</v>
      </c>
      <c r="M265">
        <v>43</v>
      </c>
      <c r="N265">
        <v>1</v>
      </c>
      <c r="O265">
        <v>30</v>
      </c>
      <c r="P265" t="s">
        <v>216</v>
      </c>
      <c r="Q265" t="s">
        <v>219</v>
      </c>
      <c r="R265">
        <f t="shared" si="16"/>
        <v>42</v>
      </c>
      <c r="S265">
        <f t="shared" si="17"/>
        <v>1.5235849056603774</v>
      </c>
      <c r="T265" t="str">
        <f t="shared" si="18"/>
        <v>Low Risk</v>
      </c>
      <c r="U265" t="str">
        <f t="shared" si="19"/>
        <v>Maintain Stock</v>
      </c>
    </row>
    <row r="266" spans="1:21" x14ac:dyDescent="0.25">
      <c r="A266">
        <v>265</v>
      </c>
      <c r="B266" t="s">
        <v>106</v>
      </c>
      <c r="C266" t="s">
        <v>117</v>
      </c>
      <c r="D266" t="s">
        <v>121</v>
      </c>
      <c r="E266">
        <v>423</v>
      </c>
      <c r="F266">
        <v>317</v>
      </c>
      <c r="G266">
        <v>288</v>
      </c>
      <c r="H266">
        <v>4494.5600000000004</v>
      </c>
      <c r="I266">
        <v>3417</v>
      </c>
      <c r="J266">
        <v>86</v>
      </c>
      <c r="K266">
        <v>2</v>
      </c>
      <c r="L266" t="s">
        <v>133</v>
      </c>
      <c r="M266">
        <v>318</v>
      </c>
      <c r="N266">
        <v>5</v>
      </c>
      <c r="O266">
        <v>0</v>
      </c>
      <c r="P266" t="s">
        <v>216</v>
      </c>
      <c r="Q266" t="s">
        <v>219</v>
      </c>
      <c r="R266">
        <f t="shared" si="16"/>
        <v>29</v>
      </c>
      <c r="S266">
        <f t="shared" si="17"/>
        <v>0.74940898345153661</v>
      </c>
      <c r="T266" t="str">
        <f t="shared" si="18"/>
        <v>Medium Risk</v>
      </c>
      <c r="U266" t="str">
        <f t="shared" si="19"/>
        <v>Monitor Sales</v>
      </c>
    </row>
    <row r="267" spans="1:21" x14ac:dyDescent="0.25">
      <c r="A267">
        <v>266</v>
      </c>
      <c r="B267" t="s">
        <v>39</v>
      </c>
      <c r="C267" t="s">
        <v>118</v>
      </c>
      <c r="D267" t="s">
        <v>124</v>
      </c>
      <c r="E267">
        <v>170</v>
      </c>
      <c r="F267">
        <v>211</v>
      </c>
      <c r="G267">
        <v>243</v>
      </c>
      <c r="H267">
        <v>1455.77</v>
      </c>
      <c r="I267">
        <v>799.78</v>
      </c>
      <c r="J267">
        <v>84</v>
      </c>
      <c r="K267">
        <v>15</v>
      </c>
      <c r="L267" t="s">
        <v>203</v>
      </c>
      <c r="M267">
        <v>210</v>
      </c>
      <c r="N267">
        <v>3</v>
      </c>
      <c r="O267">
        <v>34</v>
      </c>
      <c r="P267" t="s">
        <v>216</v>
      </c>
      <c r="Q267" t="s">
        <v>217</v>
      </c>
      <c r="R267">
        <f t="shared" ref="R267:R330" si="20">F267-G267</f>
        <v>-32</v>
      </c>
      <c r="S267">
        <f t="shared" si="17"/>
        <v>1.2411764705882353</v>
      </c>
      <c r="T267" t="str">
        <f t="shared" si="18"/>
        <v>Low Risk</v>
      </c>
      <c r="U267" t="str">
        <f t="shared" si="19"/>
        <v>Maintain Stock</v>
      </c>
    </row>
    <row r="268" spans="1:21" x14ac:dyDescent="0.25">
      <c r="A268">
        <v>267</v>
      </c>
      <c r="B268" t="s">
        <v>95</v>
      </c>
      <c r="C268" t="s">
        <v>120</v>
      </c>
      <c r="D268" t="s">
        <v>121</v>
      </c>
      <c r="E268">
        <v>332</v>
      </c>
      <c r="F268">
        <v>287</v>
      </c>
      <c r="G268">
        <v>251</v>
      </c>
      <c r="H268">
        <v>352.46</v>
      </c>
      <c r="I268">
        <v>184.25</v>
      </c>
      <c r="J268">
        <v>146</v>
      </c>
      <c r="K268">
        <v>6</v>
      </c>
      <c r="L268" t="s">
        <v>189</v>
      </c>
      <c r="M268">
        <v>276</v>
      </c>
      <c r="N268">
        <v>1</v>
      </c>
      <c r="O268">
        <v>28</v>
      </c>
      <c r="P268" t="s">
        <v>215</v>
      </c>
      <c r="Q268" t="s">
        <v>219</v>
      </c>
      <c r="R268">
        <f t="shared" si="20"/>
        <v>36</v>
      </c>
      <c r="S268">
        <f t="shared" si="17"/>
        <v>0.86445783132530118</v>
      </c>
      <c r="T268" t="str">
        <f t="shared" si="18"/>
        <v>Medium Risk</v>
      </c>
      <c r="U268" t="str">
        <f t="shared" si="19"/>
        <v>Monitor Sales</v>
      </c>
    </row>
    <row r="269" spans="1:21" x14ac:dyDescent="0.25">
      <c r="A269">
        <v>268</v>
      </c>
      <c r="B269" t="s">
        <v>26</v>
      </c>
      <c r="C269" t="s">
        <v>120</v>
      </c>
      <c r="D269" t="s">
        <v>121</v>
      </c>
      <c r="E269">
        <v>20</v>
      </c>
      <c r="F269">
        <v>449</v>
      </c>
      <c r="G269">
        <v>400</v>
      </c>
      <c r="H269">
        <v>1011.24</v>
      </c>
      <c r="I269">
        <v>604.20000000000005</v>
      </c>
      <c r="J269">
        <v>115</v>
      </c>
      <c r="K269">
        <v>4</v>
      </c>
      <c r="L269" t="s">
        <v>153</v>
      </c>
      <c r="M269">
        <v>180</v>
      </c>
      <c r="N269">
        <v>1</v>
      </c>
      <c r="O269">
        <v>16</v>
      </c>
      <c r="P269" t="s">
        <v>215</v>
      </c>
      <c r="Q269" t="s">
        <v>219</v>
      </c>
      <c r="R269">
        <f t="shared" si="20"/>
        <v>49</v>
      </c>
      <c r="S269">
        <f t="shared" si="17"/>
        <v>22.45</v>
      </c>
      <c r="T269" t="str">
        <f t="shared" si="18"/>
        <v>Low Risk</v>
      </c>
      <c r="U269" t="str">
        <f t="shared" si="19"/>
        <v>Maintain Stock</v>
      </c>
    </row>
    <row r="270" spans="1:21" x14ac:dyDescent="0.25">
      <c r="A270">
        <v>269</v>
      </c>
      <c r="B270" t="s">
        <v>97</v>
      </c>
      <c r="C270" t="s">
        <v>119</v>
      </c>
      <c r="D270" t="s">
        <v>122</v>
      </c>
      <c r="E270">
        <v>486</v>
      </c>
      <c r="F270">
        <v>276</v>
      </c>
      <c r="G270">
        <v>292</v>
      </c>
      <c r="H270">
        <v>1308.06</v>
      </c>
      <c r="I270">
        <v>748.95</v>
      </c>
      <c r="J270">
        <v>102</v>
      </c>
      <c r="K270">
        <v>3</v>
      </c>
      <c r="L270" t="s">
        <v>178</v>
      </c>
      <c r="M270">
        <v>181</v>
      </c>
      <c r="N270">
        <v>2</v>
      </c>
      <c r="O270">
        <v>6</v>
      </c>
      <c r="P270" t="s">
        <v>216</v>
      </c>
      <c r="Q270" t="s">
        <v>218</v>
      </c>
      <c r="R270">
        <f t="shared" si="20"/>
        <v>-16</v>
      </c>
      <c r="S270">
        <f t="shared" si="17"/>
        <v>0.5679012345679012</v>
      </c>
      <c r="T270" t="str">
        <f t="shared" si="18"/>
        <v>Medium Risk</v>
      </c>
      <c r="U270" t="str">
        <f t="shared" si="19"/>
        <v>Monitor Sales</v>
      </c>
    </row>
    <row r="271" spans="1:21" x14ac:dyDescent="0.25">
      <c r="A271">
        <v>270</v>
      </c>
      <c r="B271" t="s">
        <v>70</v>
      </c>
      <c r="C271" t="s">
        <v>116</v>
      </c>
      <c r="D271" t="s">
        <v>124</v>
      </c>
      <c r="E271">
        <v>389</v>
      </c>
      <c r="F271">
        <v>181</v>
      </c>
      <c r="G271">
        <v>190</v>
      </c>
      <c r="H271">
        <v>4493.96</v>
      </c>
      <c r="I271">
        <v>2304.02</v>
      </c>
      <c r="J271">
        <v>149</v>
      </c>
      <c r="K271">
        <v>6</v>
      </c>
      <c r="L271" t="s">
        <v>208</v>
      </c>
      <c r="M271">
        <v>176</v>
      </c>
      <c r="N271">
        <v>2</v>
      </c>
      <c r="O271">
        <v>18</v>
      </c>
      <c r="P271" t="s">
        <v>216</v>
      </c>
      <c r="Q271" t="s">
        <v>219</v>
      </c>
      <c r="R271">
        <f t="shared" si="20"/>
        <v>-9</v>
      </c>
      <c r="S271">
        <f t="shared" si="17"/>
        <v>0.4652956298200514</v>
      </c>
      <c r="T271" t="str">
        <f t="shared" si="18"/>
        <v>High Risk</v>
      </c>
      <c r="U271" t="str">
        <f t="shared" si="19"/>
        <v>Apply Discount / Promotion</v>
      </c>
    </row>
    <row r="272" spans="1:21" x14ac:dyDescent="0.25">
      <c r="A272">
        <v>271</v>
      </c>
      <c r="B272" t="s">
        <v>26</v>
      </c>
      <c r="C272" t="s">
        <v>118</v>
      </c>
      <c r="D272" t="s">
        <v>122</v>
      </c>
      <c r="E272">
        <v>479</v>
      </c>
      <c r="F272">
        <v>227</v>
      </c>
      <c r="G272">
        <v>231</v>
      </c>
      <c r="H272">
        <v>1516.96</v>
      </c>
      <c r="I272">
        <v>879.53</v>
      </c>
      <c r="J272">
        <v>104</v>
      </c>
      <c r="K272">
        <v>8</v>
      </c>
      <c r="L272" t="s">
        <v>140</v>
      </c>
      <c r="M272">
        <v>260</v>
      </c>
      <c r="N272">
        <v>4</v>
      </c>
      <c r="O272">
        <v>28</v>
      </c>
      <c r="P272" t="s">
        <v>215</v>
      </c>
      <c r="Q272" t="s">
        <v>218</v>
      </c>
      <c r="R272">
        <f t="shared" si="20"/>
        <v>-4</v>
      </c>
      <c r="S272">
        <f t="shared" si="17"/>
        <v>0.47390396659707723</v>
      </c>
      <c r="T272" t="str">
        <f t="shared" si="18"/>
        <v>High Risk</v>
      </c>
      <c r="U272" t="str">
        <f t="shared" si="19"/>
        <v>Apply Discount / Promotion</v>
      </c>
    </row>
    <row r="273" spans="1:21" x14ac:dyDescent="0.25">
      <c r="A273">
        <v>272</v>
      </c>
      <c r="B273" t="s">
        <v>77</v>
      </c>
      <c r="C273" t="s">
        <v>119</v>
      </c>
      <c r="D273" t="s">
        <v>121</v>
      </c>
      <c r="E273">
        <v>462</v>
      </c>
      <c r="F273">
        <v>351</v>
      </c>
      <c r="G273">
        <v>379</v>
      </c>
      <c r="H273">
        <v>645.88</v>
      </c>
      <c r="I273">
        <v>345.14</v>
      </c>
      <c r="J273">
        <v>103</v>
      </c>
      <c r="K273">
        <v>5</v>
      </c>
      <c r="L273" t="s">
        <v>130</v>
      </c>
      <c r="M273">
        <v>88</v>
      </c>
      <c r="N273">
        <v>2</v>
      </c>
      <c r="O273">
        <v>6</v>
      </c>
      <c r="P273" t="s">
        <v>215</v>
      </c>
      <c r="Q273" t="s">
        <v>219</v>
      </c>
      <c r="R273">
        <f t="shared" si="20"/>
        <v>-28</v>
      </c>
      <c r="S273">
        <f t="shared" si="17"/>
        <v>0.75974025974025972</v>
      </c>
      <c r="T273" t="str">
        <f t="shared" si="18"/>
        <v>Medium Risk</v>
      </c>
      <c r="U273" t="str">
        <f t="shared" si="19"/>
        <v>Monitor Sales</v>
      </c>
    </row>
    <row r="274" spans="1:21" x14ac:dyDescent="0.25">
      <c r="A274">
        <v>273</v>
      </c>
      <c r="B274" t="s">
        <v>78</v>
      </c>
      <c r="C274" t="s">
        <v>120</v>
      </c>
      <c r="D274" t="s">
        <v>124</v>
      </c>
      <c r="E274">
        <v>165</v>
      </c>
      <c r="F274">
        <v>17</v>
      </c>
      <c r="G274">
        <v>48</v>
      </c>
      <c r="H274">
        <v>1515.03</v>
      </c>
      <c r="I274">
        <v>1038.2</v>
      </c>
      <c r="J274">
        <v>80</v>
      </c>
      <c r="K274">
        <v>1</v>
      </c>
      <c r="L274" t="s">
        <v>140</v>
      </c>
      <c r="M274">
        <v>143</v>
      </c>
      <c r="N274">
        <v>3</v>
      </c>
      <c r="O274">
        <v>6</v>
      </c>
      <c r="P274" t="s">
        <v>215</v>
      </c>
      <c r="Q274" t="s">
        <v>219</v>
      </c>
      <c r="R274">
        <f t="shared" si="20"/>
        <v>-31</v>
      </c>
      <c r="S274">
        <f t="shared" si="17"/>
        <v>0.10303030303030303</v>
      </c>
      <c r="T274" t="str">
        <f t="shared" si="18"/>
        <v>High Risk</v>
      </c>
      <c r="U274" t="str">
        <f t="shared" si="19"/>
        <v>Apply Discount / Promotion</v>
      </c>
    </row>
    <row r="275" spans="1:21" x14ac:dyDescent="0.25">
      <c r="A275">
        <v>274</v>
      </c>
      <c r="B275" t="s">
        <v>56</v>
      </c>
      <c r="C275" t="s">
        <v>116</v>
      </c>
      <c r="D275" t="s">
        <v>122</v>
      </c>
      <c r="E275">
        <v>490</v>
      </c>
      <c r="F275">
        <v>0</v>
      </c>
      <c r="G275">
        <v>10</v>
      </c>
      <c r="H275">
        <v>3201.36</v>
      </c>
      <c r="I275">
        <v>1686.02</v>
      </c>
      <c r="J275">
        <v>50</v>
      </c>
      <c r="K275">
        <v>1</v>
      </c>
      <c r="L275" t="s">
        <v>133</v>
      </c>
      <c r="M275">
        <v>203</v>
      </c>
      <c r="N275">
        <v>1</v>
      </c>
      <c r="O275">
        <v>44</v>
      </c>
      <c r="P275" t="s">
        <v>215</v>
      </c>
      <c r="Q275" t="s">
        <v>219</v>
      </c>
      <c r="R275">
        <f t="shared" si="20"/>
        <v>-10</v>
      </c>
      <c r="S275">
        <f t="shared" si="17"/>
        <v>0</v>
      </c>
      <c r="T275" t="str">
        <f t="shared" si="18"/>
        <v>High Risk</v>
      </c>
      <c r="U275" t="str">
        <f t="shared" si="19"/>
        <v>Apply Discount / Promotion</v>
      </c>
    </row>
    <row r="276" spans="1:21" x14ac:dyDescent="0.25">
      <c r="A276">
        <v>275</v>
      </c>
      <c r="B276" t="s">
        <v>48</v>
      </c>
      <c r="C276" t="s">
        <v>116</v>
      </c>
      <c r="D276" t="s">
        <v>123</v>
      </c>
      <c r="E276">
        <v>205</v>
      </c>
      <c r="F276">
        <v>141</v>
      </c>
      <c r="G276">
        <v>92</v>
      </c>
      <c r="H276">
        <v>265.33999999999997</v>
      </c>
      <c r="I276">
        <v>153.03</v>
      </c>
      <c r="J276">
        <v>75</v>
      </c>
      <c r="K276">
        <v>1</v>
      </c>
      <c r="L276" t="s">
        <v>152</v>
      </c>
      <c r="M276">
        <v>279</v>
      </c>
      <c r="N276">
        <v>1</v>
      </c>
      <c r="O276">
        <v>8</v>
      </c>
      <c r="P276" t="s">
        <v>216</v>
      </c>
      <c r="Q276" t="s">
        <v>219</v>
      </c>
      <c r="R276">
        <f t="shared" si="20"/>
        <v>49</v>
      </c>
      <c r="S276">
        <f t="shared" si="17"/>
        <v>0.68780487804878043</v>
      </c>
      <c r="T276" t="str">
        <f t="shared" si="18"/>
        <v>Medium Risk</v>
      </c>
      <c r="U276" t="str">
        <f t="shared" si="19"/>
        <v>Monitor Sales</v>
      </c>
    </row>
    <row r="277" spans="1:21" x14ac:dyDescent="0.25">
      <c r="A277">
        <v>276</v>
      </c>
      <c r="B277" t="s">
        <v>53</v>
      </c>
      <c r="C277" t="s">
        <v>119</v>
      </c>
      <c r="D277" t="s">
        <v>121</v>
      </c>
      <c r="E277">
        <v>412</v>
      </c>
      <c r="F277">
        <v>116</v>
      </c>
      <c r="G277">
        <v>96</v>
      </c>
      <c r="H277">
        <v>1604.66</v>
      </c>
      <c r="I277">
        <v>1157.6199999999999</v>
      </c>
      <c r="J277">
        <v>89</v>
      </c>
      <c r="K277">
        <v>8</v>
      </c>
      <c r="L277" t="s">
        <v>152</v>
      </c>
      <c r="M277">
        <v>251</v>
      </c>
      <c r="N277">
        <v>1</v>
      </c>
      <c r="O277">
        <v>16</v>
      </c>
      <c r="P277" t="s">
        <v>216</v>
      </c>
      <c r="Q277" t="s">
        <v>219</v>
      </c>
      <c r="R277">
        <f t="shared" si="20"/>
        <v>20</v>
      </c>
      <c r="S277">
        <f t="shared" si="17"/>
        <v>0.28155339805825241</v>
      </c>
      <c r="T277" t="str">
        <f t="shared" si="18"/>
        <v>High Risk</v>
      </c>
      <c r="U277" t="str">
        <f t="shared" si="19"/>
        <v>Apply Discount / Promotion</v>
      </c>
    </row>
    <row r="278" spans="1:21" x14ac:dyDescent="0.25">
      <c r="A278">
        <v>277</v>
      </c>
      <c r="B278" t="s">
        <v>57</v>
      </c>
      <c r="C278" t="s">
        <v>118</v>
      </c>
      <c r="D278" t="s">
        <v>123</v>
      </c>
      <c r="E278">
        <v>424</v>
      </c>
      <c r="F278">
        <v>122</v>
      </c>
      <c r="G278">
        <v>123</v>
      </c>
      <c r="H278">
        <v>3449.35</v>
      </c>
      <c r="I278">
        <v>2140.09</v>
      </c>
      <c r="J278">
        <v>129</v>
      </c>
      <c r="K278">
        <v>5</v>
      </c>
      <c r="L278" t="s">
        <v>199</v>
      </c>
      <c r="M278">
        <v>189</v>
      </c>
      <c r="N278">
        <v>2</v>
      </c>
      <c r="O278">
        <v>34</v>
      </c>
      <c r="P278" t="s">
        <v>216</v>
      </c>
      <c r="Q278" t="s">
        <v>219</v>
      </c>
      <c r="R278">
        <f t="shared" si="20"/>
        <v>-1</v>
      </c>
      <c r="S278">
        <f t="shared" si="17"/>
        <v>0.28773584905660377</v>
      </c>
      <c r="T278" t="str">
        <f t="shared" si="18"/>
        <v>High Risk</v>
      </c>
      <c r="U278" t="str">
        <f t="shared" si="19"/>
        <v>Apply Discount / Promotion</v>
      </c>
    </row>
    <row r="279" spans="1:21" x14ac:dyDescent="0.25">
      <c r="A279">
        <v>278</v>
      </c>
      <c r="B279" t="s">
        <v>57</v>
      </c>
      <c r="C279" t="s">
        <v>120</v>
      </c>
      <c r="D279" t="s">
        <v>121</v>
      </c>
      <c r="E279">
        <v>296</v>
      </c>
      <c r="F279">
        <v>378</v>
      </c>
      <c r="G279">
        <v>394</v>
      </c>
      <c r="H279">
        <v>1934.98</v>
      </c>
      <c r="I279">
        <v>1338.88</v>
      </c>
      <c r="J279">
        <v>106</v>
      </c>
      <c r="K279">
        <v>7</v>
      </c>
      <c r="L279" t="s">
        <v>209</v>
      </c>
      <c r="M279">
        <v>206</v>
      </c>
      <c r="N279">
        <v>4</v>
      </c>
      <c r="O279">
        <v>14</v>
      </c>
      <c r="P279" t="s">
        <v>215</v>
      </c>
      <c r="Q279" t="s">
        <v>217</v>
      </c>
      <c r="R279">
        <f t="shared" si="20"/>
        <v>-16</v>
      </c>
      <c r="S279">
        <f t="shared" si="17"/>
        <v>1.277027027027027</v>
      </c>
      <c r="T279" t="str">
        <f t="shared" si="18"/>
        <v>Low Risk</v>
      </c>
      <c r="U279" t="str">
        <f t="shared" si="19"/>
        <v>Maintain Stock</v>
      </c>
    </row>
    <row r="280" spans="1:21" x14ac:dyDescent="0.25">
      <c r="A280">
        <v>279</v>
      </c>
      <c r="B280" t="s">
        <v>100</v>
      </c>
      <c r="C280" t="s">
        <v>120</v>
      </c>
      <c r="D280" t="s">
        <v>124</v>
      </c>
      <c r="E280">
        <v>198</v>
      </c>
      <c r="F280">
        <v>384</v>
      </c>
      <c r="G280">
        <v>397</v>
      </c>
      <c r="H280">
        <v>2374.39</v>
      </c>
      <c r="I280">
        <v>1279.77</v>
      </c>
      <c r="J280">
        <v>38</v>
      </c>
      <c r="K280">
        <v>2</v>
      </c>
      <c r="L280" t="s">
        <v>190</v>
      </c>
      <c r="M280">
        <v>161</v>
      </c>
      <c r="N280">
        <v>3</v>
      </c>
      <c r="O280">
        <v>3</v>
      </c>
      <c r="P280" t="s">
        <v>215</v>
      </c>
      <c r="Q280" t="s">
        <v>217</v>
      </c>
      <c r="R280">
        <f t="shared" si="20"/>
        <v>-13</v>
      </c>
      <c r="S280">
        <f t="shared" si="17"/>
        <v>1.9393939393939394</v>
      </c>
      <c r="T280" t="str">
        <f t="shared" si="18"/>
        <v>Low Risk</v>
      </c>
      <c r="U280" t="str">
        <f t="shared" si="19"/>
        <v>Maintain Stock</v>
      </c>
    </row>
    <row r="281" spans="1:21" x14ac:dyDescent="0.25">
      <c r="A281">
        <v>280</v>
      </c>
      <c r="B281" t="s">
        <v>76</v>
      </c>
      <c r="C281" t="s">
        <v>120</v>
      </c>
      <c r="D281" t="s">
        <v>122</v>
      </c>
      <c r="E281">
        <v>276</v>
      </c>
      <c r="F281">
        <v>238</v>
      </c>
      <c r="G281">
        <v>252</v>
      </c>
      <c r="H281">
        <v>3519.58</v>
      </c>
      <c r="I281">
        <v>2273.4899999999998</v>
      </c>
      <c r="J281">
        <v>47</v>
      </c>
      <c r="K281">
        <v>13</v>
      </c>
      <c r="L281" t="s">
        <v>194</v>
      </c>
      <c r="M281">
        <v>181</v>
      </c>
      <c r="N281">
        <v>5</v>
      </c>
      <c r="O281">
        <v>26</v>
      </c>
      <c r="P281" t="s">
        <v>215</v>
      </c>
      <c r="Q281" t="s">
        <v>218</v>
      </c>
      <c r="R281">
        <f t="shared" si="20"/>
        <v>-14</v>
      </c>
      <c r="S281">
        <f t="shared" si="17"/>
        <v>0.8623188405797102</v>
      </c>
      <c r="T281" t="str">
        <f t="shared" si="18"/>
        <v>Medium Risk</v>
      </c>
      <c r="U281" t="str">
        <f t="shared" si="19"/>
        <v>Monitor Sales</v>
      </c>
    </row>
    <row r="282" spans="1:21" x14ac:dyDescent="0.25">
      <c r="A282">
        <v>281</v>
      </c>
      <c r="B282" t="s">
        <v>32</v>
      </c>
      <c r="C282" t="s">
        <v>120</v>
      </c>
      <c r="D282" t="s">
        <v>124</v>
      </c>
      <c r="E282">
        <v>72</v>
      </c>
      <c r="F282">
        <v>241</v>
      </c>
      <c r="G282">
        <v>228</v>
      </c>
      <c r="H282">
        <v>207.1</v>
      </c>
      <c r="I282">
        <v>148.06</v>
      </c>
      <c r="J282">
        <v>126</v>
      </c>
      <c r="K282">
        <v>8</v>
      </c>
      <c r="L282" t="s">
        <v>192</v>
      </c>
      <c r="M282">
        <v>239</v>
      </c>
      <c r="N282">
        <v>1</v>
      </c>
      <c r="O282">
        <v>3</v>
      </c>
      <c r="P282" t="s">
        <v>216</v>
      </c>
      <c r="Q282" t="s">
        <v>218</v>
      </c>
      <c r="R282">
        <f t="shared" si="20"/>
        <v>13</v>
      </c>
      <c r="S282">
        <f t="shared" si="17"/>
        <v>3.3472222222222223</v>
      </c>
      <c r="T282" t="str">
        <f t="shared" si="18"/>
        <v>Low Risk</v>
      </c>
      <c r="U282" t="str">
        <f t="shared" si="19"/>
        <v>Maintain Stock</v>
      </c>
    </row>
    <row r="283" spans="1:21" x14ac:dyDescent="0.25">
      <c r="A283">
        <v>282</v>
      </c>
      <c r="B283" t="s">
        <v>104</v>
      </c>
      <c r="C283" t="s">
        <v>117</v>
      </c>
      <c r="D283" t="s">
        <v>124</v>
      </c>
      <c r="E283">
        <v>27</v>
      </c>
      <c r="F283">
        <v>277</v>
      </c>
      <c r="G283">
        <v>297</v>
      </c>
      <c r="H283">
        <v>4592.8100000000004</v>
      </c>
      <c r="I283">
        <v>2384.7399999999998</v>
      </c>
      <c r="J283">
        <v>74</v>
      </c>
      <c r="K283">
        <v>3</v>
      </c>
      <c r="L283" t="s">
        <v>140</v>
      </c>
      <c r="M283">
        <v>160</v>
      </c>
      <c r="N283">
        <v>4</v>
      </c>
      <c r="O283">
        <v>9</v>
      </c>
      <c r="P283" t="s">
        <v>215</v>
      </c>
      <c r="Q283" t="s">
        <v>219</v>
      </c>
      <c r="R283">
        <f t="shared" si="20"/>
        <v>-20</v>
      </c>
      <c r="S283">
        <f t="shared" si="17"/>
        <v>10.25925925925926</v>
      </c>
      <c r="T283" t="str">
        <f t="shared" si="18"/>
        <v>Low Risk</v>
      </c>
      <c r="U283" t="str">
        <f t="shared" si="19"/>
        <v>Maintain Stock</v>
      </c>
    </row>
    <row r="284" spans="1:21" x14ac:dyDescent="0.25">
      <c r="A284">
        <v>283</v>
      </c>
      <c r="B284" t="s">
        <v>86</v>
      </c>
      <c r="C284" t="s">
        <v>116</v>
      </c>
      <c r="D284" t="s">
        <v>123</v>
      </c>
      <c r="E284">
        <v>478</v>
      </c>
      <c r="F284">
        <v>392</v>
      </c>
      <c r="G284">
        <v>386</v>
      </c>
      <c r="H284">
        <v>140.47999999999999</v>
      </c>
      <c r="I284">
        <v>80.650000000000006</v>
      </c>
      <c r="J284">
        <v>100</v>
      </c>
      <c r="K284">
        <v>1</v>
      </c>
      <c r="L284" t="s">
        <v>151</v>
      </c>
      <c r="M284">
        <v>351</v>
      </c>
      <c r="N284">
        <v>3</v>
      </c>
      <c r="O284">
        <v>29</v>
      </c>
      <c r="P284" t="s">
        <v>215</v>
      </c>
      <c r="Q284" t="s">
        <v>217</v>
      </c>
      <c r="R284">
        <f t="shared" si="20"/>
        <v>6</v>
      </c>
      <c r="S284">
        <f t="shared" si="17"/>
        <v>0.82008368200836823</v>
      </c>
      <c r="T284" t="str">
        <f t="shared" si="18"/>
        <v>Medium Risk</v>
      </c>
      <c r="U284" t="str">
        <f t="shared" si="19"/>
        <v>Monitor Sales</v>
      </c>
    </row>
    <row r="285" spans="1:21" x14ac:dyDescent="0.25">
      <c r="A285">
        <v>284</v>
      </c>
      <c r="B285" t="s">
        <v>81</v>
      </c>
      <c r="C285" t="s">
        <v>116</v>
      </c>
      <c r="D285" t="s">
        <v>122</v>
      </c>
      <c r="E285">
        <v>231</v>
      </c>
      <c r="F285">
        <v>179</v>
      </c>
      <c r="G285">
        <v>131</v>
      </c>
      <c r="H285">
        <v>3978.94</v>
      </c>
      <c r="I285">
        <v>2941.94</v>
      </c>
      <c r="J285">
        <v>101</v>
      </c>
      <c r="K285">
        <v>7</v>
      </c>
      <c r="L285" t="s">
        <v>181</v>
      </c>
      <c r="M285">
        <v>184</v>
      </c>
      <c r="N285">
        <v>3</v>
      </c>
      <c r="O285">
        <v>10</v>
      </c>
      <c r="P285" t="s">
        <v>215</v>
      </c>
      <c r="Q285" t="s">
        <v>218</v>
      </c>
      <c r="R285">
        <f t="shared" si="20"/>
        <v>48</v>
      </c>
      <c r="S285">
        <f t="shared" si="17"/>
        <v>0.77489177489177485</v>
      </c>
      <c r="T285" t="str">
        <f t="shared" si="18"/>
        <v>Medium Risk</v>
      </c>
      <c r="U285" t="str">
        <f t="shared" si="19"/>
        <v>Monitor Sales</v>
      </c>
    </row>
    <row r="286" spans="1:21" x14ac:dyDescent="0.25">
      <c r="A286">
        <v>285</v>
      </c>
      <c r="B286" t="s">
        <v>75</v>
      </c>
      <c r="C286" t="s">
        <v>118</v>
      </c>
      <c r="D286" t="s">
        <v>124</v>
      </c>
      <c r="E286">
        <v>40</v>
      </c>
      <c r="F286">
        <v>85</v>
      </c>
      <c r="G286">
        <v>36</v>
      </c>
      <c r="H286">
        <v>3676.49</v>
      </c>
      <c r="I286">
        <v>2759.24</v>
      </c>
      <c r="J286">
        <v>43</v>
      </c>
      <c r="K286">
        <v>5</v>
      </c>
      <c r="L286" t="s">
        <v>153</v>
      </c>
      <c r="M286">
        <v>259</v>
      </c>
      <c r="N286">
        <v>3</v>
      </c>
      <c r="O286">
        <v>23</v>
      </c>
      <c r="P286" t="s">
        <v>215</v>
      </c>
      <c r="Q286" t="s">
        <v>218</v>
      </c>
      <c r="R286">
        <f t="shared" si="20"/>
        <v>49</v>
      </c>
      <c r="S286">
        <f t="shared" si="17"/>
        <v>2.125</v>
      </c>
      <c r="T286" t="str">
        <f t="shared" si="18"/>
        <v>Low Risk</v>
      </c>
      <c r="U286" t="str">
        <f t="shared" si="19"/>
        <v>Maintain Stock</v>
      </c>
    </row>
    <row r="287" spans="1:21" x14ac:dyDescent="0.25">
      <c r="A287">
        <v>286</v>
      </c>
      <c r="B287" t="s">
        <v>47</v>
      </c>
      <c r="C287" t="s">
        <v>117</v>
      </c>
      <c r="D287" t="s">
        <v>123</v>
      </c>
      <c r="E287">
        <v>247</v>
      </c>
      <c r="F287">
        <v>157</v>
      </c>
      <c r="G287">
        <v>138</v>
      </c>
      <c r="H287">
        <v>1751.6</v>
      </c>
      <c r="I287">
        <v>1154.57</v>
      </c>
      <c r="J287">
        <v>118</v>
      </c>
      <c r="K287">
        <v>3</v>
      </c>
      <c r="L287" t="s">
        <v>150</v>
      </c>
      <c r="M287">
        <v>352</v>
      </c>
      <c r="N287">
        <v>1</v>
      </c>
      <c r="O287">
        <v>29</v>
      </c>
      <c r="P287" t="s">
        <v>216</v>
      </c>
      <c r="Q287" t="s">
        <v>219</v>
      </c>
      <c r="R287">
        <f t="shared" si="20"/>
        <v>19</v>
      </c>
      <c r="S287">
        <f t="shared" si="17"/>
        <v>0.63562753036437247</v>
      </c>
      <c r="T287" t="str">
        <f t="shared" si="18"/>
        <v>Medium Risk</v>
      </c>
      <c r="U287" t="str">
        <f t="shared" si="19"/>
        <v>Monitor Sales</v>
      </c>
    </row>
    <row r="288" spans="1:21" x14ac:dyDescent="0.25">
      <c r="A288">
        <v>287</v>
      </c>
      <c r="B288" t="s">
        <v>58</v>
      </c>
      <c r="C288" t="s">
        <v>116</v>
      </c>
      <c r="D288" t="s">
        <v>123</v>
      </c>
      <c r="E288">
        <v>373</v>
      </c>
      <c r="F288">
        <v>187</v>
      </c>
      <c r="G288">
        <v>186</v>
      </c>
      <c r="H288">
        <v>1797.23</v>
      </c>
      <c r="I288">
        <v>1318.99</v>
      </c>
      <c r="J288">
        <v>122</v>
      </c>
      <c r="K288">
        <v>5</v>
      </c>
      <c r="L288" t="s">
        <v>155</v>
      </c>
      <c r="M288">
        <v>252</v>
      </c>
      <c r="N288">
        <v>3</v>
      </c>
      <c r="O288">
        <v>9</v>
      </c>
      <c r="P288" t="s">
        <v>216</v>
      </c>
      <c r="Q288" t="s">
        <v>219</v>
      </c>
      <c r="R288">
        <f t="shared" si="20"/>
        <v>1</v>
      </c>
      <c r="S288">
        <f t="shared" si="17"/>
        <v>0.50134048257372654</v>
      </c>
      <c r="T288" t="str">
        <f t="shared" si="18"/>
        <v>Medium Risk</v>
      </c>
      <c r="U288" t="str">
        <f t="shared" si="19"/>
        <v>Monitor Sales</v>
      </c>
    </row>
    <row r="289" spans="1:21" x14ac:dyDescent="0.25">
      <c r="A289">
        <v>288</v>
      </c>
      <c r="B289" t="s">
        <v>94</v>
      </c>
      <c r="C289" t="s">
        <v>120</v>
      </c>
      <c r="D289" t="s">
        <v>122</v>
      </c>
      <c r="E289">
        <v>44</v>
      </c>
      <c r="F289">
        <v>94</v>
      </c>
      <c r="G289">
        <v>113</v>
      </c>
      <c r="H289">
        <v>1471.58</v>
      </c>
      <c r="I289">
        <v>1062.99</v>
      </c>
      <c r="J289">
        <v>39</v>
      </c>
      <c r="K289">
        <v>6</v>
      </c>
      <c r="L289" t="s">
        <v>191</v>
      </c>
      <c r="M289">
        <v>58</v>
      </c>
      <c r="N289">
        <v>2</v>
      </c>
      <c r="O289">
        <v>44</v>
      </c>
      <c r="P289" t="s">
        <v>215</v>
      </c>
      <c r="Q289" t="s">
        <v>219</v>
      </c>
      <c r="R289">
        <f t="shared" si="20"/>
        <v>-19</v>
      </c>
      <c r="S289">
        <f t="shared" si="17"/>
        <v>2.1363636363636362</v>
      </c>
      <c r="T289" t="str">
        <f t="shared" si="18"/>
        <v>Low Risk</v>
      </c>
      <c r="U289" t="str">
        <f t="shared" si="19"/>
        <v>Maintain Stock</v>
      </c>
    </row>
    <row r="290" spans="1:21" x14ac:dyDescent="0.25">
      <c r="A290">
        <v>289</v>
      </c>
      <c r="B290" t="s">
        <v>107</v>
      </c>
      <c r="C290" t="s">
        <v>120</v>
      </c>
      <c r="D290" t="s">
        <v>121</v>
      </c>
      <c r="E290">
        <v>111</v>
      </c>
      <c r="F290">
        <v>395</v>
      </c>
      <c r="G290">
        <v>363</v>
      </c>
      <c r="H290">
        <v>1530.24</v>
      </c>
      <c r="I290">
        <v>976.62</v>
      </c>
      <c r="J290">
        <v>108</v>
      </c>
      <c r="K290">
        <v>7</v>
      </c>
      <c r="L290" t="s">
        <v>155</v>
      </c>
      <c r="M290">
        <v>75</v>
      </c>
      <c r="N290">
        <v>4</v>
      </c>
      <c r="O290">
        <v>8</v>
      </c>
      <c r="P290" t="s">
        <v>216</v>
      </c>
      <c r="Q290" t="s">
        <v>219</v>
      </c>
      <c r="R290">
        <f t="shared" si="20"/>
        <v>32</v>
      </c>
      <c r="S290">
        <f t="shared" si="17"/>
        <v>3.5585585585585586</v>
      </c>
      <c r="T290" t="str">
        <f t="shared" si="18"/>
        <v>Low Risk</v>
      </c>
      <c r="U290" t="str">
        <f t="shared" si="19"/>
        <v>Maintain Stock</v>
      </c>
    </row>
    <row r="291" spans="1:21" x14ac:dyDescent="0.25">
      <c r="A291">
        <v>290</v>
      </c>
      <c r="B291" t="s">
        <v>101</v>
      </c>
      <c r="C291" t="s">
        <v>116</v>
      </c>
      <c r="D291" t="s">
        <v>122</v>
      </c>
      <c r="E291">
        <v>141</v>
      </c>
      <c r="F291">
        <v>305</v>
      </c>
      <c r="G291">
        <v>262</v>
      </c>
      <c r="H291">
        <v>1699.25</v>
      </c>
      <c r="I291">
        <v>1119.0999999999999</v>
      </c>
      <c r="J291">
        <v>63</v>
      </c>
      <c r="K291">
        <v>3</v>
      </c>
      <c r="L291" t="s">
        <v>177</v>
      </c>
      <c r="M291">
        <v>52</v>
      </c>
      <c r="N291">
        <v>1</v>
      </c>
      <c r="O291">
        <v>46</v>
      </c>
      <c r="P291" t="s">
        <v>216</v>
      </c>
      <c r="Q291" t="s">
        <v>218</v>
      </c>
      <c r="R291">
        <f t="shared" si="20"/>
        <v>43</v>
      </c>
      <c r="S291">
        <f t="shared" si="17"/>
        <v>2.1631205673758864</v>
      </c>
      <c r="T291" t="str">
        <f t="shared" si="18"/>
        <v>Low Risk</v>
      </c>
      <c r="U291" t="str">
        <f t="shared" si="19"/>
        <v>Maintain Stock</v>
      </c>
    </row>
    <row r="292" spans="1:21" x14ac:dyDescent="0.25">
      <c r="A292">
        <v>291</v>
      </c>
      <c r="B292" t="s">
        <v>79</v>
      </c>
      <c r="C292" t="s">
        <v>119</v>
      </c>
      <c r="D292" t="s">
        <v>123</v>
      </c>
      <c r="E292">
        <v>113</v>
      </c>
      <c r="F292">
        <v>366</v>
      </c>
      <c r="G292">
        <v>384</v>
      </c>
      <c r="H292">
        <v>3231.6</v>
      </c>
      <c r="I292">
        <v>2363.34</v>
      </c>
      <c r="J292">
        <v>143</v>
      </c>
      <c r="K292">
        <v>11</v>
      </c>
      <c r="L292" t="s">
        <v>178</v>
      </c>
      <c r="M292">
        <v>37</v>
      </c>
      <c r="N292">
        <v>1</v>
      </c>
      <c r="O292">
        <v>17</v>
      </c>
      <c r="P292" t="s">
        <v>216</v>
      </c>
      <c r="Q292" t="s">
        <v>217</v>
      </c>
      <c r="R292">
        <f t="shared" si="20"/>
        <v>-18</v>
      </c>
      <c r="S292">
        <f t="shared" si="17"/>
        <v>3.2389380530973453</v>
      </c>
      <c r="T292" t="str">
        <f t="shared" si="18"/>
        <v>Low Risk</v>
      </c>
      <c r="U292" t="str">
        <f t="shared" si="19"/>
        <v>Maintain Stock</v>
      </c>
    </row>
    <row r="293" spans="1:21" x14ac:dyDescent="0.25">
      <c r="A293">
        <v>292</v>
      </c>
      <c r="B293" t="s">
        <v>77</v>
      </c>
      <c r="C293" t="s">
        <v>119</v>
      </c>
      <c r="D293" t="s">
        <v>121</v>
      </c>
      <c r="E293">
        <v>276</v>
      </c>
      <c r="F293">
        <v>25</v>
      </c>
      <c r="G293">
        <v>32</v>
      </c>
      <c r="H293">
        <v>4577.46</v>
      </c>
      <c r="I293">
        <v>2820.05</v>
      </c>
      <c r="J293">
        <v>82</v>
      </c>
      <c r="K293">
        <v>12</v>
      </c>
      <c r="L293" t="s">
        <v>128</v>
      </c>
      <c r="M293">
        <v>180</v>
      </c>
      <c r="N293">
        <v>5</v>
      </c>
      <c r="O293">
        <v>32</v>
      </c>
      <c r="P293" t="s">
        <v>215</v>
      </c>
      <c r="Q293" t="s">
        <v>217</v>
      </c>
      <c r="R293">
        <f t="shared" si="20"/>
        <v>-7</v>
      </c>
      <c r="S293">
        <f t="shared" si="17"/>
        <v>9.0579710144927536E-2</v>
      </c>
      <c r="T293" t="str">
        <f t="shared" si="18"/>
        <v>High Risk</v>
      </c>
      <c r="U293" t="str">
        <f t="shared" si="19"/>
        <v>Apply Discount / Promotion</v>
      </c>
    </row>
    <row r="294" spans="1:21" x14ac:dyDescent="0.25">
      <c r="A294">
        <v>293</v>
      </c>
      <c r="B294" t="s">
        <v>71</v>
      </c>
      <c r="C294" t="s">
        <v>117</v>
      </c>
      <c r="D294" t="s">
        <v>124</v>
      </c>
      <c r="E294">
        <v>320</v>
      </c>
      <c r="F294">
        <v>36</v>
      </c>
      <c r="G294">
        <v>80</v>
      </c>
      <c r="H294">
        <v>2522.14</v>
      </c>
      <c r="I294">
        <v>1435.76</v>
      </c>
      <c r="J294">
        <v>31</v>
      </c>
      <c r="K294">
        <v>15</v>
      </c>
      <c r="L294" t="s">
        <v>125</v>
      </c>
      <c r="M294">
        <v>172</v>
      </c>
      <c r="N294">
        <v>3</v>
      </c>
      <c r="O294">
        <v>27</v>
      </c>
      <c r="P294" t="s">
        <v>215</v>
      </c>
      <c r="Q294" t="s">
        <v>218</v>
      </c>
      <c r="R294">
        <f t="shared" si="20"/>
        <v>-44</v>
      </c>
      <c r="S294">
        <f t="shared" si="17"/>
        <v>0.1125</v>
      </c>
      <c r="T294" t="str">
        <f t="shared" si="18"/>
        <v>High Risk</v>
      </c>
      <c r="U294" t="str">
        <f t="shared" si="19"/>
        <v>Apply Discount / Promotion</v>
      </c>
    </row>
    <row r="295" spans="1:21" x14ac:dyDescent="0.25">
      <c r="A295">
        <v>294</v>
      </c>
      <c r="B295" t="s">
        <v>49</v>
      </c>
      <c r="C295" t="s">
        <v>117</v>
      </c>
      <c r="D295" t="s">
        <v>124</v>
      </c>
      <c r="E295">
        <v>79</v>
      </c>
      <c r="F295">
        <v>32</v>
      </c>
      <c r="G295">
        <v>13</v>
      </c>
      <c r="H295">
        <v>4530.26</v>
      </c>
      <c r="I295">
        <v>2519.04</v>
      </c>
      <c r="J295">
        <v>73</v>
      </c>
      <c r="K295">
        <v>15</v>
      </c>
      <c r="L295" t="s">
        <v>171</v>
      </c>
      <c r="M295">
        <v>49</v>
      </c>
      <c r="N295">
        <v>2</v>
      </c>
      <c r="O295">
        <v>12</v>
      </c>
      <c r="P295" t="s">
        <v>215</v>
      </c>
      <c r="Q295" t="s">
        <v>219</v>
      </c>
      <c r="R295">
        <f t="shared" si="20"/>
        <v>19</v>
      </c>
      <c r="S295">
        <f t="shared" si="17"/>
        <v>0.4050632911392405</v>
      </c>
      <c r="T295" t="str">
        <f t="shared" si="18"/>
        <v>High Risk</v>
      </c>
      <c r="U295" t="str">
        <f t="shared" si="19"/>
        <v>Apply Discount / Promotion</v>
      </c>
    </row>
    <row r="296" spans="1:21" x14ac:dyDescent="0.25">
      <c r="A296">
        <v>295</v>
      </c>
      <c r="B296" t="s">
        <v>103</v>
      </c>
      <c r="C296" t="s">
        <v>118</v>
      </c>
      <c r="D296" t="s">
        <v>123</v>
      </c>
      <c r="E296">
        <v>249</v>
      </c>
      <c r="F296">
        <v>148</v>
      </c>
      <c r="G296">
        <v>102</v>
      </c>
      <c r="H296">
        <v>631.16</v>
      </c>
      <c r="I296">
        <v>365.39</v>
      </c>
      <c r="J296">
        <v>91</v>
      </c>
      <c r="K296">
        <v>3</v>
      </c>
      <c r="L296" t="s">
        <v>169</v>
      </c>
      <c r="M296">
        <v>252</v>
      </c>
      <c r="N296">
        <v>3</v>
      </c>
      <c r="O296">
        <v>41</v>
      </c>
      <c r="P296" t="s">
        <v>216</v>
      </c>
      <c r="Q296" t="s">
        <v>219</v>
      </c>
      <c r="R296">
        <f t="shared" si="20"/>
        <v>46</v>
      </c>
      <c r="S296">
        <f t="shared" si="17"/>
        <v>0.59437751004016059</v>
      </c>
      <c r="T296" t="str">
        <f t="shared" si="18"/>
        <v>Medium Risk</v>
      </c>
      <c r="U296" t="str">
        <f t="shared" si="19"/>
        <v>Monitor Sales</v>
      </c>
    </row>
    <row r="297" spans="1:21" x14ac:dyDescent="0.25">
      <c r="A297">
        <v>296</v>
      </c>
      <c r="B297" t="s">
        <v>102</v>
      </c>
      <c r="C297" t="s">
        <v>116</v>
      </c>
      <c r="D297" t="s">
        <v>123</v>
      </c>
      <c r="E297">
        <v>150</v>
      </c>
      <c r="F297">
        <v>370</v>
      </c>
      <c r="G297">
        <v>336</v>
      </c>
      <c r="H297">
        <v>4199.8999999999996</v>
      </c>
      <c r="I297">
        <v>2472.7600000000002</v>
      </c>
      <c r="J297">
        <v>43</v>
      </c>
      <c r="K297">
        <v>14</v>
      </c>
      <c r="L297" t="s">
        <v>129</v>
      </c>
      <c r="M297">
        <v>99</v>
      </c>
      <c r="N297">
        <v>2</v>
      </c>
      <c r="O297">
        <v>34</v>
      </c>
      <c r="P297" t="s">
        <v>216</v>
      </c>
      <c r="Q297" t="s">
        <v>217</v>
      </c>
      <c r="R297">
        <f t="shared" si="20"/>
        <v>34</v>
      </c>
      <c r="S297">
        <f t="shared" si="17"/>
        <v>2.4666666666666668</v>
      </c>
      <c r="T297" t="str">
        <f t="shared" si="18"/>
        <v>Low Risk</v>
      </c>
      <c r="U297" t="str">
        <f t="shared" si="19"/>
        <v>Maintain Stock</v>
      </c>
    </row>
    <row r="298" spans="1:21" x14ac:dyDescent="0.25">
      <c r="A298">
        <v>297</v>
      </c>
      <c r="B298" t="s">
        <v>37</v>
      </c>
      <c r="C298" t="s">
        <v>116</v>
      </c>
      <c r="D298" t="s">
        <v>124</v>
      </c>
      <c r="E298">
        <v>251</v>
      </c>
      <c r="F298">
        <v>292</v>
      </c>
      <c r="G298">
        <v>246</v>
      </c>
      <c r="H298">
        <v>3337.92</v>
      </c>
      <c r="I298">
        <v>2179.4299999999998</v>
      </c>
      <c r="J298">
        <v>68</v>
      </c>
      <c r="K298">
        <v>12</v>
      </c>
      <c r="L298" t="s">
        <v>177</v>
      </c>
      <c r="M298">
        <v>35</v>
      </c>
      <c r="N298">
        <v>1</v>
      </c>
      <c r="O298">
        <v>25</v>
      </c>
      <c r="P298" t="s">
        <v>216</v>
      </c>
      <c r="Q298" t="s">
        <v>217</v>
      </c>
      <c r="R298">
        <f t="shared" si="20"/>
        <v>46</v>
      </c>
      <c r="S298">
        <f t="shared" si="17"/>
        <v>1.1633466135458168</v>
      </c>
      <c r="T298" t="str">
        <f t="shared" si="18"/>
        <v>Low Risk</v>
      </c>
      <c r="U298" t="str">
        <f t="shared" si="19"/>
        <v>Maintain Stock</v>
      </c>
    </row>
    <row r="299" spans="1:21" x14ac:dyDescent="0.25">
      <c r="A299">
        <v>298</v>
      </c>
      <c r="B299" t="s">
        <v>31</v>
      </c>
      <c r="C299" t="s">
        <v>119</v>
      </c>
      <c r="D299" t="s">
        <v>124</v>
      </c>
      <c r="E299">
        <v>373</v>
      </c>
      <c r="F299">
        <v>168</v>
      </c>
      <c r="G299">
        <v>178</v>
      </c>
      <c r="H299">
        <v>725.69</v>
      </c>
      <c r="I299">
        <v>421.92</v>
      </c>
      <c r="J299">
        <v>45</v>
      </c>
      <c r="K299">
        <v>6</v>
      </c>
      <c r="L299" t="s">
        <v>164</v>
      </c>
      <c r="M299">
        <v>210</v>
      </c>
      <c r="N299">
        <v>3</v>
      </c>
      <c r="O299">
        <v>35</v>
      </c>
      <c r="P299" t="s">
        <v>216</v>
      </c>
      <c r="Q299" t="s">
        <v>218</v>
      </c>
      <c r="R299">
        <f t="shared" si="20"/>
        <v>-10</v>
      </c>
      <c r="S299">
        <f t="shared" si="17"/>
        <v>0.45040214477211798</v>
      </c>
      <c r="T299" t="str">
        <f t="shared" si="18"/>
        <v>High Risk</v>
      </c>
      <c r="U299" t="str">
        <f t="shared" si="19"/>
        <v>Apply Discount / Promotion</v>
      </c>
    </row>
    <row r="300" spans="1:21" x14ac:dyDescent="0.25">
      <c r="A300">
        <v>299</v>
      </c>
      <c r="B300" t="s">
        <v>87</v>
      </c>
      <c r="C300" t="s">
        <v>119</v>
      </c>
      <c r="D300" t="s">
        <v>122</v>
      </c>
      <c r="E300">
        <v>281</v>
      </c>
      <c r="F300">
        <v>246</v>
      </c>
      <c r="G300">
        <v>252</v>
      </c>
      <c r="H300">
        <v>3380.15</v>
      </c>
      <c r="I300">
        <v>2689.37</v>
      </c>
      <c r="J300">
        <v>114</v>
      </c>
      <c r="K300">
        <v>12</v>
      </c>
      <c r="L300" t="s">
        <v>198</v>
      </c>
      <c r="M300">
        <v>307</v>
      </c>
      <c r="N300">
        <v>4</v>
      </c>
      <c r="O300">
        <v>35</v>
      </c>
      <c r="P300" t="s">
        <v>216</v>
      </c>
      <c r="Q300" t="s">
        <v>219</v>
      </c>
      <c r="R300">
        <f t="shared" si="20"/>
        <v>-6</v>
      </c>
      <c r="S300">
        <f t="shared" si="17"/>
        <v>0.8754448398576512</v>
      </c>
      <c r="T300" t="str">
        <f t="shared" si="18"/>
        <v>Medium Risk</v>
      </c>
      <c r="U300" t="str">
        <f t="shared" si="19"/>
        <v>Monitor Sales</v>
      </c>
    </row>
    <row r="301" spans="1:21" x14ac:dyDescent="0.25">
      <c r="A301">
        <v>300</v>
      </c>
      <c r="B301" t="s">
        <v>97</v>
      </c>
      <c r="C301" t="s">
        <v>120</v>
      </c>
      <c r="D301" t="s">
        <v>124</v>
      </c>
      <c r="E301">
        <v>269</v>
      </c>
      <c r="F301">
        <v>246</v>
      </c>
      <c r="G301">
        <v>258</v>
      </c>
      <c r="H301">
        <v>3557.26</v>
      </c>
      <c r="I301">
        <v>2267.4299999999998</v>
      </c>
      <c r="J301">
        <v>139</v>
      </c>
      <c r="K301">
        <v>2</v>
      </c>
      <c r="L301" t="s">
        <v>145</v>
      </c>
      <c r="M301">
        <v>268</v>
      </c>
      <c r="N301">
        <v>5</v>
      </c>
      <c r="O301">
        <v>23</v>
      </c>
      <c r="P301" t="s">
        <v>216</v>
      </c>
      <c r="Q301" t="s">
        <v>217</v>
      </c>
      <c r="R301">
        <f t="shared" si="20"/>
        <v>-12</v>
      </c>
      <c r="S301">
        <f t="shared" si="17"/>
        <v>0.91449814126394047</v>
      </c>
      <c r="T301" t="str">
        <f t="shared" si="18"/>
        <v>Medium Risk</v>
      </c>
      <c r="U301" t="str">
        <f t="shared" si="19"/>
        <v>Monitor Sales</v>
      </c>
    </row>
    <row r="302" spans="1:21" x14ac:dyDescent="0.25">
      <c r="A302">
        <v>301</v>
      </c>
      <c r="B302" t="s">
        <v>58</v>
      </c>
      <c r="C302" t="s">
        <v>118</v>
      </c>
      <c r="D302" t="s">
        <v>123</v>
      </c>
      <c r="E302">
        <v>364</v>
      </c>
      <c r="F302">
        <v>207</v>
      </c>
      <c r="G302">
        <v>176</v>
      </c>
      <c r="H302">
        <v>2029.54</v>
      </c>
      <c r="I302">
        <v>1521.4</v>
      </c>
      <c r="J302">
        <v>92</v>
      </c>
      <c r="K302">
        <v>1</v>
      </c>
      <c r="L302" t="s">
        <v>150</v>
      </c>
      <c r="M302">
        <v>42</v>
      </c>
      <c r="N302">
        <v>5</v>
      </c>
      <c r="O302">
        <v>11</v>
      </c>
      <c r="P302" t="s">
        <v>215</v>
      </c>
      <c r="Q302" t="s">
        <v>218</v>
      </c>
      <c r="R302">
        <f t="shared" si="20"/>
        <v>31</v>
      </c>
      <c r="S302">
        <f t="shared" si="17"/>
        <v>0.56868131868131866</v>
      </c>
      <c r="T302" t="str">
        <f t="shared" si="18"/>
        <v>Medium Risk</v>
      </c>
      <c r="U302" t="str">
        <f t="shared" si="19"/>
        <v>Monitor Sales</v>
      </c>
    </row>
    <row r="303" spans="1:21" x14ac:dyDescent="0.25">
      <c r="A303">
        <v>302</v>
      </c>
      <c r="B303" t="s">
        <v>54</v>
      </c>
      <c r="C303" t="s">
        <v>120</v>
      </c>
      <c r="D303" t="s">
        <v>124</v>
      </c>
      <c r="E303">
        <v>360</v>
      </c>
      <c r="F303">
        <v>18</v>
      </c>
      <c r="G303">
        <v>31</v>
      </c>
      <c r="H303">
        <v>1020.41</v>
      </c>
      <c r="I303">
        <v>700.76</v>
      </c>
      <c r="J303">
        <v>102</v>
      </c>
      <c r="K303">
        <v>10</v>
      </c>
      <c r="L303" t="s">
        <v>158</v>
      </c>
      <c r="M303">
        <v>235</v>
      </c>
      <c r="N303">
        <v>3</v>
      </c>
      <c r="O303">
        <v>6</v>
      </c>
      <c r="P303" t="s">
        <v>216</v>
      </c>
      <c r="Q303" t="s">
        <v>217</v>
      </c>
      <c r="R303">
        <f t="shared" si="20"/>
        <v>-13</v>
      </c>
      <c r="S303">
        <f t="shared" si="17"/>
        <v>0.05</v>
      </c>
      <c r="T303" t="str">
        <f t="shared" si="18"/>
        <v>High Risk</v>
      </c>
      <c r="U303" t="str">
        <f t="shared" si="19"/>
        <v>Apply Discount / Promotion</v>
      </c>
    </row>
    <row r="304" spans="1:21" x14ac:dyDescent="0.25">
      <c r="A304">
        <v>303</v>
      </c>
      <c r="B304" t="s">
        <v>31</v>
      </c>
      <c r="C304" t="s">
        <v>118</v>
      </c>
      <c r="D304" t="s">
        <v>124</v>
      </c>
      <c r="E304">
        <v>379</v>
      </c>
      <c r="F304">
        <v>359</v>
      </c>
      <c r="G304">
        <v>372</v>
      </c>
      <c r="H304">
        <v>3335.94</v>
      </c>
      <c r="I304">
        <v>2615.65</v>
      </c>
      <c r="J304">
        <v>128</v>
      </c>
      <c r="K304">
        <v>11</v>
      </c>
      <c r="L304" t="s">
        <v>201</v>
      </c>
      <c r="M304">
        <v>306</v>
      </c>
      <c r="N304">
        <v>2</v>
      </c>
      <c r="O304">
        <v>0</v>
      </c>
      <c r="P304" t="s">
        <v>215</v>
      </c>
      <c r="Q304" t="s">
        <v>217</v>
      </c>
      <c r="R304">
        <f t="shared" si="20"/>
        <v>-13</v>
      </c>
      <c r="S304">
        <f t="shared" si="17"/>
        <v>0.94722955145118737</v>
      </c>
      <c r="T304" t="str">
        <f t="shared" si="18"/>
        <v>Medium Risk</v>
      </c>
      <c r="U304" t="str">
        <f t="shared" si="19"/>
        <v>Monitor Sales</v>
      </c>
    </row>
    <row r="305" spans="1:21" x14ac:dyDescent="0.25">
      <c r="A305">
        <v>304</v>
      </c>
      <c r="B305" t="s">
        <v>97</v>
      </c>
      <c r="C305" t="s">
        <v>117</v>
      </c>
      <c r="D305" t="s">
        <v>124</v>
      </c>
      <c r="E305">
        <v>64</v>
      </c>
      <c r="F305">
        <v>249</v>
      </c>
      <c r="G305">
        <v>206</v>
      </c>
      <c r="H305">
        <v>2329.52</v>
      </c>
      <c r="I305">
        <v>1718.86</v>
      </c>
      <c r="J305">
        <v>107</v>
      </c>
      <c r="K305">
        <v>7</v>
      </c>
      <c r="L305" t="s">
        <v>178</v>
      </c>
      <c r="M305">
        <v>135</v>
      </c>
      <c r="N305">
        <v>4</v>
      </c>
      <c r="O305">
        <v>14</v>
      </c>
      <c r="P305" t="s">
        <v>215</v>
      </c>
      <c r="Q305" t="s">
        <v>218</v>
      </c>
      <c r="R305">
        <f t="shared" si="20"/>
        <v>43</v>
      </c>
      <c r="S305">
        <f t="shared" si="17"/>
        <v>3.890625</v>
      </c>
      <c r="T305" t="str">
        <f t="shared" si="18"/>
        <v>Low Risk</v>
      </c>
      <c r="U305" t="str">
        <f t="shared" si="19"/>
        <v>Maintain Stock</v>
      </c>
    </row>
    <row r="306" spans="1:21" x14ac:dyDescent="0.25">
      <c r="A306">
        <v>305</v>
      </c>
      <c r="B306" t="s">
        <v>87</v>
      </c>
      <c r="C306" t="s">
        <v>118</v>
      </c>
      <c r="D306" t="s">
        <v>123</v>
      </c>
      <c r="E306">
        <v>246</v>
      </c>
      <c r="F306">
        <v>236</v>
      </c>
      <c r="G306">
        <v>237</v>
      </c>
      <c r="H306">
        <v>1916.06</v>
      </c>
      <c r="I306">
        <v>1431.23</v>
      </c>
      <c r="J306">
        <v>92</v>
      </c>
      <c r="K306">
        <v>12</v>
      </c>
      <c r="L306" t="s">
        <v>197</v>
      </c>
      <c r="M306">
        <v>44</v>
      </c>
      <c r="N306">
        <v>3</v>
      </c>
      <c r="O306">
        <v>49</v>
      </c>
      <c r="P306" t="s">
        <v>216</v>
      </c>
      <c r="Q306" t="s">
        <v>219</v>
      </c>
      <c r="R306">
        <f t="shared" si="20"/>
        <v>-1</v>
      </c>
      <c r="S306">
        <f t="shared" si="17"/>
        <v>0.95934959349593496</v>
      </c>
      <c r="T306" t="str">
        <f t="shared" si="18"/>
        <v>Medium Risk</v>
      </c>
      <c r="U306" t="str">
        <f t="shared" si="19"/>
        <v>Monitor Sales</v>
      </c>
    </row>
    <row r="307" spans="1:21" x14ac:dyDescent="0.25">
      <c r="A307">
        <v>306</v>
      </c>
      <c r="B307" t="s">
        <v>18</v>
      </c>
      <c r="C307" t="s">
        <v>117</v>
      </c>
      <c r="D307" t="s">
        <v>124</v>
      </c>
      <c r="E307">
        <v>142</v>
      </c>
      <c r="F307">
        <v>172</v>
      </c>
      <c r="G307">
        <v>182</v>
      </c>
      <c r="H307">
        <v>634.29999999999995</v>
      </c>
      <c r="I307">
        <v>329.21</v>
      </c>
      <c r="J307">
        <v>49</v>
      </c>
      <c r="K307">
        <v>6</v>
      </c>
      <c r="L307" t="s">
        <v>196</v>
      </c>
      <c r="M307">
        <v>248</v>
      </c>
      <c r="N307">
        <v>4</v>
      </c>
      <c r="O307">
        <v>11</v>
      </c>
      <c r="P307" t="s">
        <v>216</v>
      </c>
      <c r="Q307" t="s">
        <v>218</v>
      </c>
      <c r="R307">
        <f t="shared" si="20"/>
        <v>-10</v>
      </c>
      <c r="S307">
        <f t="shared" si="17"/>
        <v>1.2112676056338028</v>
      </c>
      <c r="T307" t="str">
        <f t="shared" si="18"/>
        <v>Low Risk</v>
      </c>
      <c r="U307" t="str">
        <f t="shared" si="19"/>
        <v>Maintain Stock</v>
      </c>
    </row>
    <row r="308" spans="1:21" x14ac:dyDescent="0.25">
      <c r="A308">
        <v>307</v>
      </c>
      <c r="B308" t="s">
        <v>43</v>
      </c>
      <c r="C308" t="s">
        <v>119</v>
      </c>
      <c r="D308" t="s">
        <v>122</v>
      </c>
      <c r="E308">
        <v>205</v>
      </c>
      <c r="F308">
        <v>16</v>
      </c>
      <c r="G308">
        <v>37</v>
      </c>
      <c r="H308">
        <v>4717.6899999999996</v>
      </c>
      <c r="I308">
        <v>2462.63</v>
      </c>
      <c r="J308">
        <v>98</v>
      </c>
      <c r="K308">
        <v>1</v>
      </c>
      <c r="L308" t="s">
        <v>139</v>
      </c>
      <c r="M308">
        <v>261</v>
      </c>
      <c r="N308">
        <v>4</v>
      </c>
      <c r="O308">
        <v>12</v>
      </c>
      <c r="P308" t="s">
        <v>216</v>
      </c>
      <c r="Q308" t="s">
        <v>219</v>
      </c>
      <c r="R308">
        <f t="shared" si="20"/>
        <v>-21</v>
      </c>
      <c r="S308">
        <f t="shared" si="17"/>
        <v>7.8048780487804878E-2</v>
      </c>
      <c r="T308" t="str">
        <f t="shared" si="18"/>
        <v>High Risk</v>
      </c>
      <c r="U308" t="str">
        <f t="shared" si="19"/>
        <v>Apply Discount / Promotion</v>
      </c>
    </row>
    <row r="309" spans="1:21" x14ac:dyDescent="0.25">
      <c r="A309">
        <v>308</v>
      </c>
      <c r="B309" t="s">
        <v>71</v>
      </c>
      <c r="C309" t="s">
        <v>116</v>
      </c>
      <c r="D309" t="s">
        <v>124</v>
      </c>
      <c r="E309">
        <v>419</v>
      </c>
      <c r="F309">
        <v>275</v>
      </c>
      <c r="G309">
        <v>264</v>
      </c>
      <c r="H309">
        <v>4579.1400000000003</v>
      </c>
      <c r="I309">
        <v>2973.42</v>
      </c>
      <c r="J309">
        <v>40</v>
      </c>
      <c r="K309">
        <v>7</v>
      </c>
      <c r="L309" t="s">
        <v>203</v>
      </c>
      <c r="M309">
        <v>209</v>
      </c>
      <c r="N309">
        <v>1</v>
      </c>
      <c r="O309">
        <v>25</v>
      </c>
      <c r="P309" t="s">
        <v>215</v>
      </c>
      <c r="Q309" t="s">
        <v>218</v>
      </c>
      <c r="R309">
        <f t="shared" si="20"/>
        <v>11</v>
      </c>
      <c r="S309">
        <f t="shared" si="17"/>
        <v>0.65632458233890212</v>
      </c>
      <c r="T309" t="str">
        <f t="shared" si="18"/>
        <v>Medium Risk</v>
      </c>
      <c r="U309" t="str">
        <f t="shared" si="19"/>
        <v>Monitor Sales</v>
      </c>
    </row>
    <row r="310" spans="1:21" x14ac:dyDescent="0.25">
      <c r="A310">
        <v>309</v>
      </c>
      <c r="B310" t="s">
        <v>70</v>
      </c>
      <c r="C310" t="s">
        <v>116</v>
      </c>
      <c r="D310" t="s">
        <v>122</v>
      </c>
      <c r="E310">
        <v>455</v>
      </c>
      <c r="F310">
        <v>162</v>
      </c>
      <c r="G310">
        <v>208</v>
      </c>
      <c r="H310">
        <v>2844.29</v>
      </c>
      <c r="I310">
        <v>1675.61</v>
      </c>
      <c r="J310">
        <v>119</v>
      </c>
      <c r="K310">
        <v>4</v>
      </c>
      <c r="L310" t="s">
        <v>192</v>
      </c>
      <c r="M310">
        <v>187</v>
      </c>
      <c r="N310">
        <v>1</v>
      </c>
      <c r="O310">
        <v>15</v>
      </c>
      <c r="P310" t="s">
        <v>216</v>
      </c>
      <c r="Q310" t="s">
        <v>217</v>
      </c>
      <c r="R310">
        <f t="shared" si="20"/>
        <v>-46</v>
      </c>
      <c r="S310">
        <f t="shared" si="17"/>
        <v>0.35604395604395606</v>
      </c>
      <c r="T310" t="str">
        <f t="shared" si="18"/>
        <v>High Risk</v>
      </c>
      <c r="U310" t="str">
        <f t="shared" si="19"/>
        <v>Apply Discount / Promotion</v>
      </c>
    </row>
    <row r="311" spans="1:21" x14ac:dyDescent="0.25">
      <c r="A311">
        <v>310</v>
      </c>
      <c r="B311" t="s">
        <v>54</v>
      </c>
      <c r="C311" t="s">
        <v>120</v>
      </c>
      <c r="D311" t="s">
        <v>122</v>
      </c>
      <c r="E311">
        <v>84</v>
      </c>
      <c r="F311">
        <v>303</v>
      </c>
      <c r="G311">
        <v>352</v>
      </c>
      <c r="H311">
        <v>2929.6</v>
      </c>
      <c r="I311">
        <v>2186.7600000000002</v>
      </c>
      <c r="J311">
        <v>54</v>
      </c>
      <c r="K311">
        <v>5</v>
      </c>
      <c r="L311" t="s">
        <v>151</v>
      </c>
      <c r="M311">
        <v>234</v>
      </c>
      <c r="N311">
        <v>2</v>
      </c>
      <c r="O311">
        <v>25</v>
      </c>
      <c r="P311" t="s">
        <v>216</v>
      </c>
      <c r="Q311" t="s">
        <v>217</v>
      </c>
      <c r="R311">
        <f t="shared" si="20"/>
        <v>-49</v>
      </c>
      <c r="S311">
        <f t="shared" si="17"/>
        <v>3.6071428571428572</v>
      </c>
      <c r="T311" t="str">
        <f t="shared" si="18"/>
        <v>Low Risk</v>
      </c>
      <c r="U311" t="str">
        <f t="shared" si="19"/>
        <v>Maintain Stock</v>
      </c>
    </row>
    <row r="312" spans="1:21" x14ac:dyDescent="0.25">
      <c r="A312">
        <v>311</v>
      </c>
      <c r="B312" t="s">
        <v>101</v>
      </c>
      <c r="C312" t="s">
        <v>118</v>
      </c>
      <c r="D312" t="s">
        <v>123</v>
      </c>
      <c r="E312">
        <v>77</v>
      </c>
      <c r="F312">
        <v>273</v>
      </c>
      <c r="G312">
        <v>306</v>
      </c>
      <c r="H312">
        <v>4758.4399999999996</v>
      </c>
      <c r="I312">
        <v>2916.76</v>
      </c>
      <c r="J312">
        <v>70</v>
      </c>
      <c r="K312">
        <v>3</v>
      </c>
      <c r="L312" t="s">
        <v>203</v>
      </c>
      <c r="M312">
        <v>140</v>
      </c>
      <c r="N312">
        <v>5</v>
      </c>
      <c r="O312">
        <v>12</v>
      </c>
      <c r="P312" t="s">
        <v>216</v>
      </c>
      <c r="Q312" t="s">
        <v>218</v>
      </c>
      <c r="R312">
        <f t="shared" si="20"/>
        <v>-33</v>
      </c>
      <c r="S312">
        <f t="shared" si="17"/>
        <v>3.5454545454545454</v>
      </c>
      <c r="T312" t="str">
        <f t="shared" si="18"/>
        <v>Low Risk</v>
      </c>
      <c r="U312" t="str">
        <f t="shared" si="19"/>
        <v>Maintain Stock</v>
      </c>
    </row>
    <row r="313" spans="1:21" x14ac:dyDescent="0.25">
      <c r="A313">
        <v>312</v>
      </c>
      <c r="B313" t="s">
        <v>28</v>
      </c>
      <c r="C313" t="s">
        <v>120</v>
      </c>
      <c r="D313" t="s">
        <v>124</v>
      </c>
      <c r="E313">
        <v>470</v>
      </c>
      <c r="F313">
        <v>137</v>
      </c>
      <c r="G313">
        <v>150</v>
      </c>
      <c r="H313">
        <v>2480.8200000000002</v>
      </c>
      <c r="I313">
        <v>1401.44</v>
      </c>
      <c r="J313">
        <v>90</v>
      </c>
      <c r="K313">
        <v>11</v>
      </c>
      <c r="L313" t="s">
        <v>162</v>
      </c>
      <c r="M313">
        <v>207</v>
      </c>
      <c r="N313">
        <v>4</v>
      </c>
      <c r="O313">
        <v>4</v>
      </c>
      <c r="P313" t="s">
        <v>215</v>
      </c>
      <c r="Q313" t="s">
        <v>219</v>
      </c>
      <c r="R313">
        <f t="shared" si="20"/>
        <v>-13</v>
      </c>
      <c r="S313">
        <f t="shared" si="17"/>
        <v>0.29148936170212764</v>
      </c>
      <c r="T313" t="str">
        <f t="shared" si="18"/>
        <v>High Risk</v>
      </c>
      <c r="U313" t="str">
        <f t="shared" si="19"/>
        <v>Apply Discount / Promotion</v>
      </c>
    </row>
    <row r="314" spans="1:21" x14ac:dyDescent="0.25">
      <c r="A314">
        <v>313</v>
      </c>
      <c r="B314" t="s">
        <v>44</v>
      </c>
      <c r="C314" t="s">
        <v>119</v>
      </c>
      <c r="D314" t="s">
        <v>122</v>
      </c>
      <c r="E314">
        <v>450</v>
      </c>
      <c r="F314">
        <v>3</v>
      </c>
      <c r="G314">
        <v>49</v>
      </c>
      <c r="H314">
        <v>1677.88</v>
      </c>
      <c r="I314">
        <v>1076.8900000000001</v>
      </c>
      <c r="J314">
        <v>119</v>
      </c>
      <c r="K314">
        <v>1</v>
      </c>
      <c r="L314" t="s">
        <v>146</v>
      </c>
      <c r="M314">
        <v>280</v>
      </c>
      <c r="N314">
        <v>1</v>
      </c>
      <c r="O314">
        <v>6</v>
      </c>
      <c r="P314" t="s">
        <v>215</v>
      </c>
      <c r="Q314" t="s">
        <v>218</v>
      </c>
      <c r="R314">
        <f t="shared" si="20"/>
        <v>-46</v>
      </c>
      <c r="S314">
        <f t="shared" si="17"/>
        <v>6.6666666666666671E-3</v>
      </c>
      <c r="T314" t="str">
        <f t="shared" si="18"/>
        <v>High Risk</v>
      </c>
      <c r="U314" t="str">
        <f t="shared" si="19"/>
        <v>Apply Discount / Promotion</v>
      </c>
    </row>
    <row r="315" spans="1:21" x14ac:dyDescent="0.25">
      <c r="A315">
        <v>314</v>
      </c>
      <c r="B315" t="s">
        <v>18</v>
      </c>
      <c r="C315" t="s">
        <v>118</v>
      </c>
      <c r="D315" t="s">
        <v>124</v>
      </c>
      <c r="E315">
        <v>489</v>
      </c>
      <c r="F315">
        <v>319</v>
      </c>
      <c r="G315">
        <v>271</v>
      </c>
      <c r="H315">
        <v>1944.76</v>
      </c>
      <c r="I315">
        <v>1241.42</v>
      </c>
      <c r="J315">
        <v>92</v>
      </c>
      <c r="K315">
        <v>11</v>
      </c>
      <c r="L315" t="s">
        <v>149</v>
      </c>
      <c r="M315">
        <v>70</v>
      </c>
      <c r="N315">
        <v>3</v>
      </c>
      <c r="O315">
        <v>38</v>
      </c>
      <c r="P315" t="s">
        <v>215</v>
      </c>
      <c r="Q315" t="s">
        <v>218</v>
      </c>
      <c r="R315">
        <f t="shared" si="20"/>
        <v>48</v>
      </c>
      <c r="S315">
        <f t="shared" si="17"/>
        <v>0.65235173824130877</v>
      </c>
      <c r="T315" t="str">
        <f t="shared" si="18"/>
        <v>Medium Risk</v>
      </c>
      <c r="U315" t="str">
        <f t="shared" si="19"/>
        <v>Monitor Sales</v>
      </c>
    </row>
    <row r="316" spans="1:21" x14ac:dyDescent="0.25">
      <c r="A316">
        <v>315</v>
      </c>
      <c r="B316" t="s">
        <v>106</v>
      </c>
      <c r="C316" t="s">
        <v>117</v>
      </c>
      <c r="D316" t="s">
        <v>121</v>
      </c>
      <c r="E316">
        <v>492</v>
      </c>
      <c r="F316">
        <v>2</v>
      </c>
      <c r="G316">
        <v>52</v>
      </c>
      <c r="H316">
        <v>1067.04</v>
      </c>
      <c r="I316">
        <v>578.79999999999995</v>
      </c>
      <c r="J316">
        <v>92</v>
      </c>
      <c r="K316">
        <v>5</v>
      </c>
      <c r="L316" t="s">
        <v>150</v>
      </c>
      <c r="M316">
        <v>354</v>
      </c>
      <c r="N316">
        <v>2</v>
      </c>
      <c r="O316">
        <v>18</v>
      </c>
      <c r="P316" t="s">
        <v>216</v>
      </c>
      <c r="Q316" t="s">
        <v>218</v>
      </c>
      <c r="R316">
        <f t="shared" si="20"/>
        <v>-50</v>
      </c>
      <c r="S316">
        <f t="shared" si="17"/>
        <v>4.0650406504065045E-3</v>
      </c>
      <c r="T316" t="str">
        <f t="shared" si="18"/>
        <v>High Risk</v>
      </c>
      <c r="U316" t="str">
        <f t="shared" si="19"/>
        <v>Apply Discount / Promotion</v>
      </c>
    </row>
    <row r="317" spans="1:21" x14ac:dyDescent="0.25">
      <c r="A317">
        <v>316</v>
      </c>
      <c r="B317" t="s">
        <v>71</v>
      </c>
      <c r="C317" t="s">
        <v>117</v>
      </c>
      <c r="D317" t="s">
        <v>121</v>
      </c>
      <c r="E317">
        <v>458</v>
      </c>
      <c r="F317">
        <v>360</v>
      </c>
      <c r="G317">
        <v>388</v>
      </c>
      <c r="H317">
        <v>4180.7299999999996</v>
      </c>
      <c r="I317">
        <v>2633.05</v>
      </c>
      <c r="J317">
        <v>101</v>
      </c>
      <c r="K317">
        <v>10</v>
      </c>
      <c r="L317" t="s">
        <v>138</v>
      </c>
      <c r="M317">
        <v>351</v>
      </c>
      <c r="N317">
        <v>3</v>
      </c>
      <c r="O317">
        <v>20</v>
      </c>
      <c r="P317" t="s">
        <v>216</v>
      </c>
      <c r="Q317" t="s">
        <v>219</v>
      </c>
      <c r="R317">
        <f t="shared" si="20"/>
        <v>-28</v>
      </c>
      <c r="S317">
        <f t="shared" si="17"/>
        <v>0.78602620087336239</v>
      </c>
      <c r="T317" t="str">
        <f t="shared" si="18"/>
        <v>Medium Risk</v>
      </c>
      <c r="U317" t="str">
        <f t="shared" si="19"/>
        <v>Monitor Sales</v>
      </c>
    </row>
    <row r="318" spans="1:21" x14ac:dyDescent="0.25">
      <c r="A318">
        <v>317</v>
      </c>
      <c r="B318" t="s">
        <v>42</v>
      </c>
      <c r="C318" t="s">
        <v>116</v>
      </c>
      <c r="D318" t="s">
        <v>121</v>
      </c>
      <c r="E318">
        <v>416</v>
      </c>
      <c r="F318">
        <v>223</v>
      </c>
      <c r="G318">
        <v>248</v>
      </c>
      <c r="H318">
        <v>1119.1199999999999</v>
      </c>
      <c r="I318">
        <v>731.16</v>
      </c>
      <c r="J318">
        <v>59</v>
      </c>
      <c r="K318">
        <v>9</v>
      </c>
      <c r="L318" t="s">
        <v>169</v>
      </c>
      <c r="M318">
        <v>262</v>
      </c>
      <c r="N318">
        <v>5</v>
      </c>
      <c r="O318">
        <v>37</v>
      </c>
      <c r="P318" t="s">
        <v>216</v>
      </c>
      <c r="Q318" t="s">
        <v>219</v>
      </c>
      <c r="R318">
        <f t="shared" si="20"/>
        <v>-25</v>
      </c>
      <c r="S318">
        <f t="shared" si="17"/>
        <v>0.53605769230769229</v>
      </c>
      <c r="T318" t="str">
        <f t="shared" si="18"/>
        <v>Medium Risk</v>
      </c>
      <c r="U318" t="str">
        <f t="shared" si="19"/>
        <v>Monitor Sales</v>
      </c>
    </row>
    <row r="319" spans="1:21" x14ac:dyDescent="0.25">
      <c r="A319">
        <v>318</v>
      </c>
      <c r="B319" t="s">
        <v>99</v>
      </c>
      <c r="C319" t="s">
        <v>116</v>
      </c>
      <c r="D319" t="s">
        <v>122</v>
      </c>
      <c r="E319">
        <v>282</v>
      </c>
      <c r="F319">
        <v>114</v>
      </c>
      <c r="G319">
        <v>72</v>
      </c>
      <c r="H319">
        <v>2395.41</v>
      </c>
      <c r="I319">
        <v>1208.1099999999999</v>
      </c>
      <c r="J319">
        <v>98</v>
      </c>
      <c r="K319">
        <v>5</v>
      </c>
      <c r="L319" t="s">
        <v>142</v>
      </c>
      <c r="M319">
        <v>98</v>
      </c>
      <c r="N319">
        <v>4</v>
      </c>
      <c r="O319">
        <v>20</v>
      </c>
      <c r="P319" t="s">
        <v>216</v>
      </c>
      <c r="Q319" t="s">
        <v>218</v>
      </c>
      <c r="R319">
        <f t="shared" si="20"/>
        <v>42</v>
      </c>
      <c r="S319">
        <f t="shared" si="17"/>
        <v>0.40425531914893614</v>
      </c>
      <c r="T319" t="str">
        <f t="shared" si="18"/>
        <v>High Risk</v>
      </c>
      <c r="U319" t="str">
        <f t="shared" si="19"/>
        <v>Apply Discount / Promotion</v>
      </c>
    </row>
    <row r="320" spans="1:21" x14ac:dyDescent="0.25">
      <c r="A320">
        <v>319</v>
      </c>
      <c r="B320" t="s">
        <v>96</v>
      </c>
      <c r="C320" t="s">
        <v>118</v>
      </c>
      <c r="D320" t="s">
        <v>121</v>
      </c>
      <c r="E320">
        <v>152</v>
      </c>
      <c r="F320">
        <v>310</v>
      </c>
      <c r="G320">
        <v>314</v>
      </c>
      <c r="H320">
        <v>4439.0600000000004</v>
      </c>
      <c r="I320">
        <v>2455.52</v>
      </c>
      <c r="J320">
        <v>47</v>
      </c>
      <c r="K320">
        <v>8</v>
      </c>
      <c r="L320" t="s">
        <v>179</v>
      </c>
      <c r="M320">
        <v>124</v>
      </c>
      <c r="N320">
        <v>4</v>
      </c>
      <c r="O320">
        <v>35</v>
      </c>
      <c r="P320" t="s">
        <v>215</v>
      </c>
      <c r="Q320" t="s">
        <v>219</v>
      </c>
      <c r="R320">
        <f t="shared" si="20"/>
        <v>-4</v>
      </c>
      <c r="S320">
        <f t="shared" si="17"/>
        <v>2.0394736842105261</v>
      </c>
      <c r="T320" t="str">
        <f t="shared" si="18"/>
        <v>Low Risk</v>
      </c>
      <c r="U320" t="str">
        <f t="shared" si="19"/>
        <v>Maintain Stock</v>
      </c>
    </row>
    <row r="321" spans="1:21" x14ac:dyDescent="0.25">
      <c r="A321">
        <v>320</v>
      </c>
      <c r="B321" t="s">
        <v>70</v>
      </c>
      <c r="C321" t="s">
        <v>120</v>
      </c>
      <c r="D321" t="s">
        <v>124</v>
      </c>
      <c r="E321">
        <v>335</v>
      </c>
      <c r="F321">
        <v>65</v>
      </c>
      <c r="G321">
        <v>68</v>
      </c>
      <c r="H321">
        <v>254.16</v>
      </c>
      <c r="I321">
        <v>127.58</v>
      </c>
      <c r="J321">
        <v>127</v>
      </c>
      <c r="K321">
        <v>7</v>
      </c>
      <c r="L321" t="s">
        <v>201</v>
      </c>
      <c r="M321">
        <v>70</v>
      </c>
      <c r="N321">
        <v>3</v>
      </c>
      <c r="O321">
        <v>25</v>
      </c>
      <c r="P321" t="s">
        <v>216</v>
      </c>
      <c r="Q321" t="s">
        <v>218</v>
      </c>
      <c r="R321">
        <f t="shared" si="20"/>
        <v>-3</v>
      </c>
      <c r="S321">
        <f t="shared" si="17"/>
        <v>0.19402985074626866</v>
      </c>
      <c r="T321" t="str">
        <f t="shared" si="18"/>
        <v>High Risk</v>
      </c>
      <c r="U321" t="str">
        <f t="shared" si="19"/>
        <v>Apply Discount / Promotion</v>
      </c>
    </row>
    <row r="322" spans="1:21" x14ac:dyDescent="0.25">
      <c r="A322">
        <v>321</v>
      </c>
      <c r="B322" t="s">
        <v>102</v>
      </c>
      <c r="C322" t="s">
        <v>119</v>
      </c>
      <c r="D322" t="s">
        <v>124</v>
      </c>
      <c r="E322">
        <v>128</v>
      </c>
      <c r="F322">
        <v>72</v>
      </c>
      <c r="G322">
        <v>39</v>
      </c>
      <c r="H322">
        <v>2343.69</v>
      </c>
      <c r="I322">
        <v>1346.07</v>
      </c>
      <c r="J322">
        <v>62</v>
      </c>
      <c r="K322">
        <v>7</v>
      </c>
      <c r="L322" t="s">
        <v>190</v>
      </c>
      <c r="M322">
        <v>338</v>
      </c>
      <c r="N322">
        <v>1</v>
      </c>
      <c r="O322">
        <v>40</v>
      </c>
      <c r="P322" t="s">
        <v>216</v>
      </c>
      <c r="Q322" t="s">
        <v>219</v>
      </c>
      <c r="R322">
        <f t="shared" si="20"/>
        <v>33</v>
      </c>
      <c r="S322">
        <f t="shared" ref="S322:S385" si="21">F322/E322</f>
        <v>0.5625</v>
      </c>
      <c r="T322" t="str">
        <f t="shared" si="18"/>
        <v>Medium Risk</v>
      </c>
      <c r="U322" t="str">
        <f t="shared" si="19"/>
        <v>Monitor Sales</v>
      </c>
    </row>
    <row r="323" spans="1:21" x14ac:dyDescent="0.25">
      <c r="A323">
        <v>322</v>
      </c>
      <c r="B323" t="s">
        <v>61</v>
      </c>
      <c r="C323" t="s">
        <v>118</v>
      </c>
      <c r="D323" t="s">
        <v>123</v>
      </c>
      <c r="E323">
        <v>254</v>
      </c>
      <c r="F323">
        <v>76</v>
      </c>
      <c r="G323">
        <v>98</v>
      </c>
      <c r="H323">
        <v>1200.78</v>
      </c>
      <c r="I323">
        <v>865.31</v>
      </c>
      <c r="J323">
        <v>86</v>
      </c>
      <c r="K323">
        <v>7</v>
      </c>
      <c r="L323" t="s">
        <v>158</v>
      </c>
      <c r="M323">
        <v>209</v>
      </c>
      <c r="N323">
        <v>5</v>
      </c>
      <c r="O323">
        <v>15</v>
      </c>
      <c r="P323" t="s">
        <v>216</v>
      </c>
      <c r="Q323" t="s">
        <v>217</v>
      </c>
      <c r="R323">
        <f t="shared" si="20"/>
        <v>-22</v>
      </c>
      <c r="S323">
        <f t="shared" si="21"/>
        <v>0.29921259842519687</v>
      </c>
      <c r="T323" t="str">
        <f t="shared" ref="T323:T386" si="22">IF(S323&lt;0.5,"High Risk",IF(S323&lt;1,"Medium Risk","Low Risk"))</f>
        <v>High Risk</v>
      </c>
      <c r="U323" t="str">
        <f t="shared" ref="U323:U386" si="23">IF(T323="High Risk","Apply Discount / Promotion",
IF(T323="Medium Risk","Monitor Sales",
"Maintain Stock"))</f>
        <v>Apply Discount / Promotion</v>
      </c>
    </row>
    <row r="324" spans="1:21" x14ac:dyDescent="0.25">
      <c r="A324">
        <v>323</v>
      </c>
      <c r="B324" t="s">
        <v>72</v>
      </c>
      <c r="C324" t="s">
        <v>117</v>
      </c>
      <c r="D324" t="s">
        <v>122</v>
      </c>
      <c r="E324">
        <v>250</v>
      </c>
      <c r="F324">
        <v>307</v>
      </c>
      <c r="G324">
        <v>290</v>
      </c>
      <c r="H324">
        <v>3705.38</v>
      </c>
      <c r="I324">
        <v>2953.56</v>
      </c>
      <c r="J324">
        <v>66</v>
      </c>
      <c r="K324">
        <v>10</v>
      </c>
      <c r="L324" t="s">
        <v>181</v>
      </c>
      <c r="M324">
        <v>144</v>
      </c>
      <c r="N324">
        <v>4</v>
      </c>
      <c r="O324">
        <v>42</v>
      </c>
      <c r="P324" t="s">
        <v>216</v>
      </c>
      <c r="Q324" t="s">
        <v>219</v>
      </c>
      <c r="R324">
        <f t="shared" si="20"/>
        <v>17</v>
      </c>
      <c r="S324">
        <f t="shared" si="21"/>
        <v>1.228</v>
      </c>
      <c r="T324" t="str">
        <f t="shared" si="22"/>
        <v>Low Risk</v>
      </c>
      <c r="U324" t="str">
        <f t="shared" si="23"/>
        <v>Maintain Stock</v>
      </c>
    </row>
    <row r="325" spans="1:21" x14ac:dyDescent="0.25">
      <c r="A325">
        <v>324</v>
      </c>
      <c r="B325" t="s">
        <v>102</v>
      </c>
      <c r="C325" t="s">
        <v>118</v>
      </c>
      <c r="D325" t="s">
        <v>121</v>
      </c>
      <c r="E325">
        <v>438</v>
      </c>
      <c r="F325">
        <v>176</v>
      </c>
      <c r="G325">
        <v>176</v>
      </c>
      <c r="H325">
        <v>1351.24</v>
      </c>
      <c r="I325">
        <v>848.21</v>
      </c>
      <c r="J325">
        <v>71</v>
      </c>
      <c r="K325">
        <v>2</v>
      </c>
      <c r="L325" t="s">
        <v>163</v>
      </c>
      <c r="M325">
        <v>214</v>
      </c>
      <c r="N325">
        <v>1</v>
      </c>
      <c r="O325">
        <v>46</v>
      </c>
      <c r="P325" t="s">
        <v>216</v>
      </c>
      <c r="Q325" t="s">
        <v>218</v>
      </c>
      <c r="R325">
        <f t="shared" si="20"/>
        <v>0</v>
      </c>
      <c r="S325">
        <f t="shared" si="21"/>
        <v>0.40182648401826482</v>
      </c>
      <c r="T325" t="str">
        <f t="shared" si="22"/>
        <v>High Risk</v>
      </c>
      <c r="U325" t="str">
        <f t="shared" si="23"/>
        <v>Apply Discount / Promotion</v>
      </c>
    </row>
    <row r="326" spans="1:21" x14ac:dyDescent="0.25">
      <c r="A326">
        <v>325</v>
      </c>
      <c r="B326" t="s">
        <v>18</v>
      </c>
      <c r="C326" t="s">
        <v>116</v>
      </c>
      <c r="D326" t="s">
        <v>124</v>
      </c>
      <c r="E326">
        <v>260</v>
      </c>
      <c r="F326">
        <v>326</v>
      </c>
      <c r="G326">
        <v>319</v>
      </c>
      <c r="H326">
        <v>2210.7399999999998</v>
      </c>
      <c r="I326">
        <v>1208.95</v>
      </c>
      <c r="J326">
        <v>144</v>
      </c>
      <c r="K326">
        <v>3</v>
      </c>
      <c r="L326" t="s">
        <v>135</v>
      </c>
      <c r="M326">
        <v>269</v>
      </c>
      <c r="N326">
        <v>2</v>
      </c>
      <c r="O326">
        <v>30</v>
      </c>
      <c r="P326" t="s">
        <v>215</v>
      </c>
      <c r="Q326" t="s">
        <v>217</v>
      </c>
      <c r="R326">
        <f t="shared" si="20"/>
        <v>7</v>
      </c>
      <c r="S326">
        <f t="shared" si="21"/>
        <v>1.2538461538461538</v>
      </c>
      <c r="T326" t="str">
        <f t="shared" si="22"/>
        <v>Low Risk</v>
      </c>
      <c r="U326" t="str">
        <f t="shared" si="23"/>
        <v>Maintain Stock</v>
      </c>
    </row>
    <row r="327" spans="1:21" x14ac:dyDescent="0.25">
      <c r="A327">
        <v>326</v>
      </c>
      <c r="B327" t="s">
        <v>36</v>
      </c>
      <c r="C327" t="s">
        <v>116</v>
      </c>
      <c r="D327" t="s">
        <v>124</v>
      </c>
      <c r="E327">
        <v>64</v>
      </c>
      <c r="F327">
        <v>222</v>
      </c>
      <c r="G327">
        <v>248</v>
      </c>
      <c r="H327">
        <v>282.87</v>
      </c>
      <c r="I327">
        <v>149.63</v>
      </c>
      <c r="J327">
        <v>123</v>
      </c>
      <c r="K327">
        <v>4</v>
      </c>
      <c r="L327" t="s">
        <v>171</v>
      </c>
      <c r="M327">
        <v>202</v>
      </c>
      <c r="N327">
        <v>2</v>
      </c>
      <c r="O327">
        <v>38</v>
      </c>
      <c r="P327" t="s">
        <v>216</v>
      </c>
      <c r="Q327" t="s">
        <v>219</v>
      </c>
      <c r="R327">
        <f t="shared" si="20"/>
        <v>-26</v>
      </c>
      <c r="S327">
        <f t="shared" si="21"/>
        <v>3.46875</v>
      </c>
      <c r="T327" t="str">
        <f t="shared" si="22"/>
        <v>Low Risk</v>
      </c>
      <c r="U327" t="str">
        <f t="shared" si="23"/>
        <v>Maintain Stock</v>
      </c>
    </row>
    <row r="328" spans="1:21" x14ac:dyDescent="0.25">
      <c r="A328">
        <v>327</v>
      </c>
      <c r="B328" t="s">
        <v>22</v>
      </c>
      <c r="C328" t="s">
        <v>118</v>
      </c>
      <c r="D328" t="s">
        <v>123</v>
      </c>
      <c r="E328">
        <v>95</v>
      </c>
      <c r="F328">
        <v>119</v>
      </c>
      <c r="G328">
        <v>74</v>
      </c>
      <c r="H328">
        <v>2593.35</v>
      </c>
      <c r="I328">
        <v>1596.35</v>
      </c>
      <c r="J328">
        <v>37</v>
      </c>
      <c r="K328">
        <v>5</v>
      </c>
      <c r="L328" t="s">
        <v>196</v>
      </c>
      <c r="M328">
        <v>226</v>
      </c>
      <c r="N328">
        <v>3</v>
      </c>
      <c r="O328">
        <v>24</v>
      </c>
      <c r="P328" t="s">
        <v>216</v>
      </c>
      <c r="Q328" t="s">
        <v>218</v>
      </c>
      <c r="R328">
        <f t="shared" si="20"/>
        <v>45</v>
      </c>
      <c r="S328">
        <f t="shared" si="21"/>
        <v>1.2526315789473683</v>
      </c>
      <c r="T328" t="str">
        <f t="shared" si="22"/>
        <v>Low Risk</v>
      </c>
      <c r="U328" t="str">
        <f t="shared" si="23"/>
        <v>Maintain Stock</v>
      </c>
    </row>
    <row r="329" spans="1:21" x14ac:dyDescent="0.25">
      <c r="A329">
        <v>328</v>
      </c>
      <c r="B329" t="s">
        <v>108</v>
      </c>
      <c r="C329" t="s">
        <v>118</v>
      </c>
      <c r="D329" t="s">
        <v>124</v>
      </c>
      <c r="E329">
        <v>317</v>
      </c>
      <c r="F329">
        <v>63</v>
      </c>
      <c r="G329">
        <v>57</v>
      </c>
      <c r="H329">
        <v>3814.23</v>
      </c>
      <c r="I329">
        <v>2343.15</v>
      </c>
      <c r="J329">
        <v>109</v>
      </c>
      <c r="K329">
        <v>6</v>
      </c>
      <c r="L329" t="s">
        <v>202</v>
      </c>
      <c r="M329">
        <v>119</v>
      </c>
      <c r="N329">
        <v>5</v>
      </c>
      <c r="O329">
        <v>35</v>
      </c>
      <c r="P329" t="s">
        <v>215</v>
      </c>
      <c r="Q329" t="s">
        <v>217</v>
      </c>
      <c r="R329">
        <f t="shared" si="20"/>
        <v>6</v>
      </c>
      <c r="S329">
        <f t="shared" si="21"/>
        <v>0.19873817034700317</v>
      </c>
      <c r="T329" t="str">
        <f t="shared" si="22"/>
        <v>High Risk</v>
      </c>
      <c r="U329" t="str">
        <f t="shared" si="23"/>
        <v>Apply Discount / Promotion</v>
      </c>
    </row>
    <row r="330" spans="1:21" x14ac:dyDescent="0.25">
      <c r="A330">
        <v>329</v>
      </c>
      <c r="B330" t="s">
        <v>43</v>
      </c>
      <c r="C330" t="s">
        <v>120</v>
      </c>
      <c r="D330" t="s">
        <v>122</v>
      </c>
      <c r="E330">
        <v>31</v>
      </c>
      <c r="F330">
        <v>334</v>
      </c>
      <c r="G330">
        <v>311</v>
      </c>
      <c r="H330">
        <v>391.15</v>
      </c>
      <c r="I330">
        <v>298.08999999999997</v>
      </c>
      <c r="J330">
        <v>148</v>
      </c>
      <c r="K330">
        <v>4</v>
      </c>
      <c r="L330" t="s">
        <v>168</v>
      </c>
      <c r="M330">
        <v>91</v>
      </c>
      <c r="N330">
        <v>2</v>
      </c>
      <c r="O330">
        <v>23</v>
      </c>
      <c r="P330" t="s">
        <v>216</v>
      </c>
      <c r="Q330" t="s">
        <v>217</v>
      </c>
      <c r="R330">
        <f t="shared" si="20"/>
        <v>23</v>
      </c>
      <c r="S330">
        <f t="shared" si="21"/>
        <v>10.774193548387096</v>
      </c>
      <c r="T330" t="str">
        <f t="shared" si="22"/>
        <v>Low Risk</v>
      </c>
      <c r="U330" t="str">
        <f t="shared" si="23"/>
        <v>Maintain Stock</v>
      </c>
    </row>
    <row r="331" spans="1:21" x14ac:dyDescent="0.25">
      <c r="A331">
        <v>330</v>
      </c>
      <c r="B331" t="s">
        <v>101</v>
      </c>
      <c r="C331" t="s">
        <v>116</v>
      </c>
      <c r="D331" t="s">
        <v>124</v>
      </c>
      <c r="E331">
        <v>119</v>
      </c>
      <c r="F331">
        <v>184</v>
      </c>
      <c r="G331">
        <v>171</v>
      </c>
      <c r="H331">
        <v>4909.8900000000003</v>
      </c>
      <c r="I331">
        <v>3522.64</v>
      </c>
      <c r="J331">
        <v>60</v>
      </c>
      <c r="K331">
        <v>9</v>
      </c>
      <c r="L331" t="s">
        <v>201</v>
      </c>
      <c r="M331">
        <v>197</v>
      </c>
      <c r="N331">
        <v>3</v>
      </c>
      <c r="O331">
        <v>37</v>
      </c>
      <c r="P331" t="s">
        <v>216</v>
      </c>
      <c r="Q331" t="s">
        <v>219</v>
      </c>
      <c r="R331">
        <f t="shared" ref="R331:R394" si="24">F331-G331</f>
        <v>13</v>
      </c>
      <c r="S331">
        <f t="shared" si="21"/>
        <v>1.546218487394958</v>
      </c>
      <c r="T331" t="str">
        <f t="shared" si="22"/>
        <v>Low Risk</v>
      </c>
      <c r="U331" t="str">
        <f t="shared" si="23"/>
        <v>Maintain Stock</v>
      </c>
    </row>
    <row r="332" spans="1:21" x14ac:dyDescent="0.25">
      <c r="A332">
        <v>331</v>
      </c>
      <c r="B332" t="s">
        <v>109</v>
      </c>
      <c r="C332" t="s">
        <v>119</v>
      </c>
      <c r="D332" t="s">
        <v>123</v>
      </c>
      <c r="E332">
        <v>210</v>
      </c>
      <c r="F332">
        <v>185</v>
      </c>
      <c r="G332">
        <v>196</v>
      </c>
      <c r="H332">
        <v>1465.07</v>
      </c>
      <c r="I332">
        <v>1082.8900000000001</v>
      </c>
      <c r="J332">
        <v>54</v>
      </c>
      <c r="K332">
        <v>8</v>
      </c>
      <c r="L332" t="s">
        <v>172</v>
      </c>
      <c r="M332">
        <v>220</v>
      </c>
      <c r="N332">
        <v>2</v>
      </c>
      <c r="O332">
        <v>45</v>
      </c>
      <c r="P332" t="s">
        <v>215</v>
      </c>
      <c r="Q332" t="s">
        <v>217</v>
      </c>
      <c r="R332">
        <f t="shared" si="24"/>
        <v>-11</v>
      </c>
      <c r="S332">
        <f t="shared" si="21"/>
        <v>0.88095238095238093</v>
      </c>
      <c r="T332" t="str">
        <f t="shared" si="22"/>
        <v>Medium Risk</v>
      </c>
      <c r="U332" t="str">
        <f t="shared" si="23"/>
        <v>Monitor Sales</v>
      </c>
    </row>
    <row r="333" spans="1:21" x14ac:dyDescent="0.25">
      <c r="A333">
        <v>332</v>
      </c>
      <c r="B333" t="s">
        <v>25</v>
      </c>
      <c r="C333" t="s">
        <v>119</v>
      </c>
      <c r="D333" t="s">
        <v>122</v>
      </c>
      <c r="E333">
        <v>175</v>
      </c>
      <c r="F333">
        <v>155</v>
      </c>
      <c r="G333">
        <v>166</v>
      </c>
      <c r="H333">
        <v>4396.58</v>
      </c>
      <c r="I333">
        <v>3180.63</v>
      </c>
      <c r="J333">
        <v>133</v>
      </c>
      <c r="K333">
        <v>3</v>
      </c>
      <c r="L333" t="s">
        <v>203</v>
      </c>
      <c r="M333">
        <v>177</v>
      </c>
      <c r="N333">
        <v>2</v>
      </c>
      <c r="O333">
        <v>34</v>
      </c>
      <c r="P333" t="s">
        <v>216</v>
      </c>
      <c r="Q333" t="s">
        <v>217</v>
      </c>
      <c r="R333">
        <f t="shared" si="24"/>
        <v>-11</v>
      </c>
      <c r="S333">
        <f t="shared" si="21"/>
        <v>0.88571428571428568</v>
      </c>
      <c r="T333" t="str">
        <f t="shared" si="22"/>
        <v>Medium Risk</v>
      </c>
      <c r="U333" t="str">
        <f t="shared" si="23"/>
        <v>Monitor Sales</v>
      </c>
    </row>
    <row r="334" spans="1:21" x14ac:dyDescent="0.25">
      <c r="A334">
        <v>333</v>
      </c>
      <c r="B334" t="s">
        <v>91</v>
      </c>
      <c r="C334" t="s">
        <v>116</v>
      </c>
      <c r="D334" t="s">
        <v>123</v>
      </c>
      <c r="E334">
        <v>235</v>
      </c>
      <c r="F334">
        <v>187</v>
      </c>
      <c r="G334">
        <v>165</v>
      </c>
      <c r="H334">
        <v>3726.12</v>
      </c>
      <c r="I334">
        <v>2469.89</v>
      </c>
      <c r="J334">
        <v>45</v>
      </c>
      <c r="K334">
        <v>14</v>
      </c>
      <c r="L334" t="s">
        <v>131</v>
      </c>
      <c r="M334">
        <v>211</v>
      </c>
      <c r="N334">
        <v>2</v>
      </c>
      <c r="O334">
        <v>37</v>
      </c>
      <c r="P334" t="s">
        <v>216</v>
      </c>
      <c r="Q334" t="s">
        <v>217</v>
      </c>
      <c r="R334">
        <f t="shared" si="24"/>
        <v>22</v>
      </c>
      <c r="S334">
        <f t="shared" si="21"/>
        <v>0.79574468085106387</v>
      </c>
      <c r="T334" t="str">
        <f t="shared" si="22"/>
        <v>Medium Risk</v>
      </c>
      <c r="U334" t="str">
        <f t="shared" si="23"/>
        <v>Monitor Sales</v>
      </c>
    </row>
    <row r="335" spans="1:21" x14ac:dyDescent="0.25">
      <c r="A335">
        <v>334</v>
      </c>
      <c r="B335" t="s">
        <v>16</v>
      </c>
      <c r="C335" t="s">
        <v>119</v>
      </c>
      <c r="D335" t="s">
        <v>122</v>
      </c>
      <c r="E335">
        <v>316</v>
      </c>
      <c r="F335">
        <v>182</v>
      </c>
      <c r="G335">
        <v>177</v>
      </c>
      <c r="H335">
        <v>3826.55</v>
      </c>
      <c r="I335">
        <v>2692.59</v>
      </c>
      <c r="J335">
        <v>147</v>
      </c>
      <c r="K335">
        <v>14</v>
      </c>
      <c r="L335" t="s">
        <v>191</v>
      </c>
      <c r="M335">
        <v>361</v>
      </c>
      <c r="N335">
        <v>3</v>
      </c>
      <c r="O335">
        <v>9</v>
      </c>
      <c r="P335" t="s">
        <v>215</v>
      </c>
      <c r="Q335" t="s">
        <v>218</v>
      </c>
      <c r="R335">
        <f t="shared" si="24"/>
        <v>5</v>
      </c>
      <c r="S335">
        <f t="shared" si="21"/>
        <v>0.57594936708860756</v>
      </c>
      <c r="T335" t="str">
        <f t="shared" si="22"/>
        <v>Medium Risk</v>
      </c>
      <c r="U335" t="str">
        <f t="shared" si="23"/>
        <v>Monitor Sales</v>
      </c>
    </row>
    <row r="336" spans="1:21" x14ac:dyDescent="0.25">
      <c r="A336">
        <v>335</v>
      </c>
      <c r="B336" t="s">
        <v>94</v>
      </c>
      <c r="C336" t="s">
        <v>119</v>
      </c>
      <c r="D336" t="s">
        <v>122</v>
      </c>
      <c r="E336">
        <v>498</v>
      </c>
      <c r="F336">
        <v>144</v>
      </c>
      <c r="G336">
        <v>161</v>
      </c>
      <c r="H336">
        <v>3951.9</v>
      </c>
      <c r="I336">
        <v>2652.64</v>
      </c>
      <c r="J336">
        <v>40</v>
      </c>
      <c r="K336">
        <v>15</v>
      </c>
      <c r="L336" t="s">
        <v>131</v>
      </c>
      <c r="M336">
        <v>242</v>
      </c>
      <c r="N336">
        <v>2</v>
      </c>
      <c r="O336">
        <v>5</v>
      </c>
      <c r="P336" t="s">
        <v>215</v>
      </c>
      <c r="Q336" t="s">
        <v>219</v>
      </c>
      <c r="R336">
        <f t="shared" si="24"/>
        <v>-17</v>
      </c>
      <c r="S336">
        <f t="shared" si="21"/>
        <v>0.28915662650602408</v>
      </c>
      <c r="T336" t="str">
        <f t="shared" si="22"/>
        <v>High Risk</v>
      </c>
      <c r="U336" t="str">
        <f t="shared" si="23"/>
        <v>Apply Discount / Promotion</v>
      </c>
    </row>
    <row r="337" spans="1:21" x14ac:dyDescent="0.25">
      <c r="A337">
        <v>336</v>
      </c>
      <c r="B337" t="s">
        <v>75</v>
      </c>
      <c r="C337" t="s">
        <v>119</v>
      </c>
      <c r="D337" t="s">
        <v>123</v>
      </c>
      <c r="E337">
        <v>429</v>
      </c>
      <c r="F337">
        <v>175</v>
      </c>
      <c r="G337">
        <v>141</v>
      </c>
      <c r="H337">
        <v>3374.97</v>
      </c>
      <c r="I337">
        <v>2480.3200000000002</v>
      </c>
      <c r="J337">
        <v>92</v>
      </c>
      <c r="K337">
        <v>15</v>
      </c>
      <c r="L337" t="s">
        <v>212</v>
      </c>
      <c r="M337">
        <v>78</v>
      </c>
      <c r="N337">
        <v>1</v>
      </c>
      <c r="O337">
        <v>17</v>
      </c>
      <c r="P337" t="s">
        <v>215</v>
      </c>
      <c r="Q337" t="s">
        <v>217</v>
      </c>
      <c r="R337">
        <f t="shared" si="24"/>
        <v>34</v>
      </c>
      <c r="S337">
        <f t="shared" si="21"/>
        <v>0.40792540792540793</v>
      </c>
      <c r="T337" t="str">
        <f t="shared" si="22"/>
        <v>High Risk</v>
      </c>
      <c r="U337" t="str">
        <f t="shared" si="23"/>
        <v>Apply Discount / Promotion</v>
      </c>
    </row>
    <row r="338" spans="1:21" x14ac:dyDescent="0.25">
      <c r="A338">
        <v>337</v>
      </c>
      <c r="B338" t="s">
        <v>53</v>
      </c>
      <c r="C338" t="s">
        <v>119</v>
      </c>
      <c r="D338" t="s">
        <v>121</v>
      </c>
      <c r="E338">
        <v>442</v>
      </c>
      <c r="F338">
        <v>90</v>
      </c>
      <c r="G338">
        <v>108</v>
      </c>
      <c r="H338">
        <v>551.82000000000005</v>
      </c>
      <c r="I338">
        <v>433.75</v>
      </c>
      <c r="J338">
        <v>111</v>
      </c>
      <c r="K338">
        <v>14</v>
      </c>
      <c r="L338" t="s">
        <v>131</v>
      </c>
      <c r="M338">
        <v>93</v>
      </c>
      <c r="N338">
        <v>2</v>
      </c>
      <c r="O338">
        <v>3</v>
      </c>
      <c r="P338" t="s">
        <v>216</v>
      </c>
      <c r="Q338" t="s">
        <v>217</v>
      </c>
      <c r="R338">
        <f t="shared" si="24"/>
        <v>-18</v>
      </c>
      <c r="S338">
        <f t="shared" si="21"/>
        <v>0.20361990950226244</v>
      </c>
      <c r="T338" t="str">
        <f t="shared" si="22"/>
        <v>High Risk</v>
      </c>
      <c r="U338" t="str">
        <f t="shared" si="23"/>
        <v>Apply Discount / Promotion</v>
      </c>
    </row>
    <row r="339" spans="1:21" x14ac:dyDescent="0.25">
      <c r="A339">
        <v>338</v>
      </c>
      <c r="B339" t="s">
        <v>57</v>
      </c>
      <c r="C339" t="s">
        <v>117</v>
      </c>
      <c r="D339" t="s">
        <v>124</v>
      </c>
      <c r="E339">
        <v>334</v>
      </c>
      <c r="F339">
        <v>408</v>
      </c>
      <c r="G339">
        <v>380</v>
      </c>
      <c r="H339">
        <v>3495.83</v>
      </c>
      <c r="I339">
        <v>2203.8200000000002</v>
      </c>
      <c r="J339">
        <v>54</v>
      </c>
      <c r="K339">
        <v>10</v>
      </c>
      <c r="L339" t="s">
        <v>205</v>
      </c>
      <c r="M339">
        <v>281</v>
      </c>
      <c r="N339">
        <v>3</v>
      </c>
      <c r="O339">
        <v>43</v>
      </c>
      <c r="P339" t="s">
        <v>216</v>
      </c>
      <c r="Q339" t="s">
        <v>219</v>
      </c>
      <c r="R339">
        <f t="shared" si="24"/>
        <v>28</v>
      </c>
      <c r="S339">
        <f t="shared" si="21"/>
        <v>1.221556886227545</v>
      </c>
      <c r="T339" t="str">
        <f t="shared" si="22"/>
        <v>Low Risk</v>
      </c>
      <c r="U339" t="str">
        <f t="shared" si="23"/>
        <v>Maintain Stock</v>
      </c>
    </row>
    <row r="340" spans="1:21" x14ac:dyDescent="0.25">
      <c r="A340">
        <v>339</v>
      </c>
      <c r="B340" t="s">
        <v>48</v>
      </c>
      <c r="C340" t="s">
        <v>116</v>
      </c>
      <c r="D340" t="s">
        <v>123</v>
      </c>
      <c r="E340">
        <v>460</v>
      </c>
      <c r="F340">
        <v>43</v>
      </c>
      <c r="G340">
        <v>15</v>
      </c>
      <c r="H340">
        <v>4859.66</v>
      </c>
      <c r="I340">
        <v>2556.21</v>
      </c>
      <c r="J340">
        <v>118</v>
      </c>
      <c r="K340">
        <v>15</v>
      </c>
      <c r="L340" t="s">
        <v>205</v>
      </c>
      <c r="M340">
        <v>274</v>
      </c>
      <c r="N340">
        <v>5</v>
      </c>
      <c r="O340">
        <v>38</v>
      </c>
      <c r="P340" t="s">
        <v>216</v>
      </c>
      <c r="Q340" t="s">
        <v>219</v>
      </c>
      <c r="R340">
        <f t="shared" si="24"/>
        <v>28</v>
      </c>
      <c r="S340">
        <f t="shared" si="21"/>
        <v>9.3478260869565219E-2</v>
      </c>
      <c r="T340" t="str">
        <f t="shared" si="22"/>
        <v>High Risk</v>
      </c>
      <c r="U340" t="str">
        <f t="shared" si="23"/>
        <v>Apply Discount / Promotion</v>
      </c>
    </row>
    <row r="341" spans="1:21" x14ac:dyDescent="0.25">
      <c r="A341">
        <v>340</v>
      </c>
      <c r="B341" t="s">
        <v>106</v>
      </c>
      <c r="C341" t="s">
        <v>119</v>
      </c>
      <c r="D341" t="s">
        <v>124</v>
      </c>
      <c r="E341">
        <v>285</v>
      </c>
      <c r="F341">
        <v>98</v>
      </c>
      <c r="G341">
        <v>106</v>
      </c>
      <c r="H341">
        <v>3652.05</v>
      </c>
      <c r="I341">
        <v>1854.31</v>
      </c>
      <c r="J341">
        <v>49</v>
      </c>
      <c r="K341">
        <v>4</v>
      </c>
      <c r="L341" t="s">
        <v>138</v>
      </c>
      <c r="M341">
        <v>41</v>
      </c>
      <c r="N341">
        <v>1</v>
      </c>
      <c r="O341">
        <v>41</v>
      </c>
      <c r="P341" t="s">
        <v>216</v>
      </c>
      <c r="Q341" t="s">
        <v>218</v>
      </c>
      <c r="R341">
        <f t="shared" si="24"/>
        <v>-8</v>
      </c>
      <c r="S341">
        <f t="shared" si="21"/>
        <v>0.34385964912280703</v>
      </c>
      <c r="T341" t="str">
        <f t="shared" si="22"/>
        <v>High Risk</v>
      </c>
      <c r="U341" t="str">
        <f t="shared" si="23"/>
        <v>Apply Discount / Promotion</v>
      </c>
    </row>
    <row r="342" spans="1:21" x14ac:dyDescent="0.25">
      <c r="A342">
        <v>341</v>
      </c>
      <c r="B342" t="s">
        <v>17</v>
      </c>
      <c r="C342" t="s">
        <v>118</v>
      </c>
      <c r="D342" t="s">
        <v>122</v>
      </c>
      <c r="E342">
        <v>159</v>
      </c>
      <c r="F342">
        <v>111</v>
      </c>
      <c r="G342">
        <v>79</v>
      </c>
      <c r="H342">
        <v>4262.4799999999996</v>
      </c>
      <c r="I342">
        <v>3008.79</v>
      </c>
      <c r="J342">
        <v>115</v>
      </c>
      <c r="K342">
        <v>12</v>
      </c>
      <c r="L342" t="s">
        <v>158</v>
      </c>
      <c r="M342">
        <v>200</v>
      </c>
      <c r="N342">
        <v>3</v>
      </c>
      <c r="O342">
        <v>2</v>
      </c>
      <c r="P342" t="s">
        <v>215</v>
      </c>
      <c r="Q342" t="s">
        <v>219</v>
      </c>
      <c r="R342">
        <f t="shared" si="24"/>
        <v>32</v>
      </c>
      <c r="S342">
        <f t="shared" si="21"/>
        <v>0.69811320754716977</v>
      </c>
      <c r="T342" t="str">
        <f t="shared" si="22"/>
        <v>Medium Risk</v>
      </c>
      <c r="U342" t="str">
        <f t="shared" si="23"/>
        <v>Monitor Sales</v>
      </c>
    </row>
    <row r="343" spans="1:21" x14ac:dyDescent="0.25">
      <c r="A343">
        <v>342</v>
      </c>
      <c r="B343" t="s">
        <v>51</v>
      </c>
      <c r="C343" t="s">
        <v>116</v>
      </c>
      <c r="D343" t="s">
        <v>123</v>
      </c>
      <c r="E343">
        <v>187</v>
      </c>
      <c r="F343">
        <v>0</v>
      </c>
      <c r="G343">
        <v>45</v>
      </c>
      <c r="H343">
        <v>2899.61</v>
      </c>
      <c r="I343">
        <v>2064.85</v>
      </c>
      <c r="J343">
        <v>68</v>
      </c>
      <c r="K343">
        <v>7</v>
      </c>
      <c r="L343" t="s">
        <v>162</v>
      </c>
      <c r="M343">
        <v>52</v>
      </c>
      <c r="N343">
        <v>4</v>
      </c>
      <c r="O343">
        <v>20</v>
      </c>
      <c r="P343" t="s">
        <v>215</v>
      </c>
      <c r="Q343" t="s">
        <v>218</v>
      </c>
      <c r="R343">
        <f t="shared" si="24"/>
        <v>-45</v>
      </c>
      <c r="S343">
        <f t="shared" si="21"/>
        <v>0</v>
      </c>
      <c r="T343" t="str">
        <f t="shared" si="22"/>
        <v>High Risk</v>
      </c>
      <c r="U343" t="str">
        <f t="shared" si="23"/>
        <v>Apply Discount / Promotion</v>
      </c>
    </row>
    <row r="344" spans="1:21" x14ac:dyDescent="0.25">
      <c r="A344">
        <v>343</v>
      </c>
      <c r="B344" t="s">
        <v>37</v>
      </c>
      <c r="C344" t="s">
        <v>118</v>
      </c>
      <c r="D344" t="s">
        <v>122</v>
      </c>
      <c r="E344">
        <v>293</v>
      </c>
      <c r="F344">
        <v>163</v>
      </c>
      <c r="G344">
        <v>129</v>
      </c>
      <c r="H344">
        <v>4274.8999999999996</v>
      </c>
      <c r="I344">
        <v>2815.15</v>
      </c>
      <c r="J344">
        <v>91</v>
      </c>
      <c r="K344">
        <v>13</v>
      </c>
      <c r="L344" t="s">
        <v>157</v>
      </c>
      <c r="M344">
        <v>166</v>
      </c>
      <c r="N344">
        <v>4</v>
      </c>
      <c r="O344">
        <v>48</v>
      </c>
      <c r="P344" t="s">
        <v>215</v>
      </c>
      <c r="Q344" t="s">
        <v>219</v>
      </c>
      <c r="R344">
        <f t="shared" si="24"/>
        <v>34</v>
      </c>
      <c r="S344">
        <f t="shared" si="21"/>
        <v>0.55631399317406138</v>
      </c>
      <c r="T344" t="str">
        <f t="shared" si="22"/>
        <v>Medium Risk</v>
      </c>
      <c r="U344" t="str">
        <f t="shared" si="23"/>
        <v>Monitor Sales</v>
      </c>
    </row>
    <row r="345" spans="1:21" x14ac:dyDescent="0.25">
      <c r="A345">
        <v>344</v>
      </c>
      <c r="B345" t="s">
        <v>27</v>
      </c>
      <c r="C345" t="s">
        <v>116</v>
      </c>
      <c r="D345" t="s">
        <v>121</v>
      </c>
      <c r="E345">
        <v>248</v>
      </c>
      <c r="F345">
        <v>343</v>
      </c>
      <c r="G345">
        <v>389</v>
      </c>
      <c r="H345">
        <v>3579.52</v>
      </c>
      <c r="I345">
        <v>2018.02</v>
      </c>
      <c r="J345">
        <v>119</v>
      </c>
      <c r="K345">
        <v>5</v>
      </c>
      <c r="L345" t="s">
        <v>172</v>
      </c>
      <c r="M345">
        <v>117</v>
      </c>
      <c r="N345">
        <v>4</v>
      </c>
      <c r="O345">
        <v>44</v>
      </c>
      <c r="P345" t="s">
        <v>216</v>
      </c>
      <c r="Q345" t="s">
        <v>217</v>
      </c>
      <c r="R345">
        <f t="shared" si="24"/>
        <v>-46</v>
      </c>
      <c r="S345">
        <f t="shared" si="21"/>
        <v>1.3830645161290323</v>
      </c>
      <c r="T345" t="str">
        <f t="shared" si="22"/>
        <v>Low Risk</v>
      </c>
      <c r="U345" t="str">
        <f t="shared" si="23"/>
        <v>Maintain Stock</v>
      </c>
    </row>
    <row r="346" spans="1:21" x14ac:dyDescent="0.25">
      <c r="A346">
        <v>345</v>
      </c>
      <c r="B346" t="s">
        <v>104</v>
      </c>
      <c r="C346" t="s">
        <v>120</v>
      </c>
      <c r="D346" t="s">
        <v>122</v>
      </c>
      <c r="E346">
        <v>407</v>
      </c>
      <c r="F346">
        <v>155</v>
      </c>
      <c r="G346">
        <v>175</v>
      </c>
      <c r="H346">
        <v>1462.06</v>
      </c>
      <c r="I346">
        <v>761.9</v>
      </c>
      <c r="J346">
        <v>137</v>
      </c>
      <c r="K346">
        <v>15</v>
      </c>
      <c r="L346" t="s">
        <v>171</v>
      </c>
      <c r="M346">
        <v>123</v>
      </c>
      <c r="N346">
        <v>4</v>
      </c>
      <c r="O346">
        <v>17</v>
      </c>
      <c r="P346" t="s">
        <v>216</v>
      </c>
      <c r="Q346" t="s">
        <v>219</v>
      </c>
      <c r="R346">
        <f t="shared" si="24"/>
        <v>-20</v>
      </c>
      <c r="S346">
        <f t="shared" si="21"/>
        <v>0.38083538083538082</v>
      </c>
      <c r="T346" t="str">
        <f t="shared" si="22"/>
        <v>High Risk</v>
      </c>
      <c r="U346" t="str">
        <f t="shared" si="23"/>
        <v>Apply Discount / Promotion</v>
      </c>
    </row>
    <row r="347" spans="1:21" x14ac:dyDescent="0.25">
      <c r="A347">
        <v>346</v>
      </c>
      <c r="B347" t="s">
        <v>107</v>
      </c>
      <c r="C347" t="s">
        <v>118</v>
      </c>
      <c r="D347" t="s">
        <v>122</v>
      </c>
      <c r="E347">
        <v>242</v>
      </c>
      <c r="F347">
        <v>105</v>
      </c>
      <c r="G347">
        <v>70</v>
      </c>
      <c r="H347">
        <v>4422.5600000000004</v>
      </c>
      <c r="I347">
        <v>3292.52</v>
      </c>
      <c r="J347">
        <v>36</v>
      </c>
      <c r="K347">
        <v>10</v>
      </c>
      <c r="L347" t="s">
        <v>179</v>
      </c>
      <c r="M347">
        <v>178</v>
      </c>
      <c r="N347">
        <v>5</v>
      </c>
      <c r="O347">
        <v>45</v>
      </c>
      <c r="P347" t="s">
        <v>216</v>
      </c>
      <c r="Q347" t="s">
        <v>217</v>
      </c>
      <c r="R347">
        <f t="shared" si="24"/>
        <v>35</v>
      </c>
      <c r="S347">
        <f t="shared" si="21"/>
        <v>0.43388429752066116</v>
      </c>
      <c r="T347" t="str">
        <f t="shared" si="22"/>
        <v>High Risk</v>
      </c>
      <c r="U347" t="str">
        <f t="shared" si="23"/>
        <v>Apply Discount / Promotion</v>
      </c>
    </row>
    <row r="348" spans="1:21" x14ac:dyDescent="0.25">
      <c r="A348">
        <v>347</v>
      </c>
      <c r="B348" t="s">
        <v>33</v>
      </c>
      <c r="C348" t="s">
        <v>116</v>
      </c>
      <c r="D348" t="s">
        <v>121</v>
      </c>
      <c r="E348">
        <v>314</v>
      </c>
      <c r="F348">
        <v>297</v>
      </c>
      <c r="G348">
        <v>276</v>
      </c>
      <c r="H348">
        <v>3670.28</v>
      </c>
      <c r="I348">
        <v>1904.47</v>
      </c>
      <c r="J348">
        <v>43</v>
      </c>
      <c r="K348">
        <v>7</v>
      </c>
      <c r="L348" t="s">
        <v>138</v>
      </c>
      <c r="M348">
        <v>189</v>
      </c>
      <c r="N348">
        <v>5</v>
      </c>
      <c r="O348">
        <v>26</v>
      </c>
      <c r="P348" t="s">
        <v>216</v>
      </c>
      <c r="Q348" t="s">
        <v>219</v>
      </c>
      <c r="R348">
        <f t="shared" si="24"/>
        <v>21</v>
      </c>
      <c r="S348">
        <f t="shared" si="21"/>
        <v>0.94585987261146498</v>
      </c>
      <c r="T348" t="str">
        <f t="shared" si="22"/>
        <v>Medium Risk</v>
      </c>
      <c r="U348" t="str">
        <f t="shared" si="23"/>
        <v>Monitor Sales</v>
      </c>
    </row>
    <row r="349" spans="1:21" x14ac:dyDescent="0.25">
      <c r="A349">
        <v>348</v>
      </c>
      <c r="B349" t="s">
        <v>18</v>
      </c>
      <c r="C349" t="s">
        <v>119</v>
      </c>
      <c r="D349" t="s">
        <v>124</v>
      </c>
      <c r="E349">
        <v>444</v>
      </c>
      <c r="F349">
        <v>318</v>
      </c>
      <c r="G349">
        <v>297</v>
      </c>
      <c r="H349">
        <v>3708.18</v>
      </c>
      <c r="I349">
        <v>2227.66</v>
      </c>
      <c r="J349">
        <v>57</v>
      </c>
      <c r="K349">
        <v>13</v>
      </c>
      <c r="L349" t="s">
        <v>202</v>
      </c>
      <c r="M349">
        <v>133</v>
      </c>
      <c r="N349">
        <v>2</v>
      </c>
      <c r="O349">
        <v>41</v>
      </c>
      <c r="P349" t="s">
        <v>215</v>
      </c>
      <c r="Q349" t="s">
        <v>219</v>
      </c>
      <c r="R349">
        <f t="shared" si="24"/>
        <v>21</v>
      </c>
      <c r="S349">
        <f t="shared" si="21"/>
        <v>0.71621621621621623</v>
      </c>
      <c r="T349" t="str">
        <f t="shared" si="22"/>
        <v>Medium Risk</v>
      </c>
      <c r="U349" t="str">
        <f t="shared" si="23"/>
        <v>Monitor Sales</v>
      </c>
    </row>
    <row r="350" spans="1:21" x14ac:dyDescent="0.25">
      <c r="A350">
        <v>349</v>
      </c>
      <c r="B350" t="s">
        <v>76</v>
      </c>
      <c r="C350" t="s">
        <v>119</v>
      </c>
      <c r="D350" t="s">
        <v>124</v>
      </c>
      <c r="E350">
        <v>407</v>
      </c>
      <c r="F350">
        <v>194</v>
      </c>
      <c r="G350">
        <v>211</v>
      </c>
      <c r="H350">
        <v>1274.19</v>
      </c>
      <c r="I350">
        <v>804.15</v>
      </c>
      <c r="J350">
        <v>132</v>
      </c>
      <c r="K350">
        <v>6</v>
      </c>
      <c r="L350" t="s">
        <v>162</v>
      </c>
      <c r="M350">
        <v>84</v>
      </c>
      <c r="N350">
        <v>1</v>
      </c>
      <c r="O350">
        <v>11</v>
      </c>
      <c r="P350" t="s">
        <v>215</v>
      </c>
      <c r="Q350" t="s">
        <v>218</v>
      </c>
      <c r="R350">
        <f t="shared" si="24"/>
        <v>-17</v>
      </c>
      <c r="S350">
        <f t="shared" si="21"/>
        <v>0.47665847665847666</v>
      </c>
      <c r="T350" t="str">
        <f t="shared" si="22"/>
        <v>High Risk</v>
      </c>
      <c r="U350" t="str">
        <f t="shared" si="23"/>
        <v>Apply Discount / Promotion</v>
      </c>
    </row>
    <row r="351" spans="1:21" x14ac:dyDescent="0.25">
      <c r="A351">
        <v>350</v>
      </c>
      <c r="B351" t="s">
        <v>77</v>
      </c>
      <c r="C351" t="s">
        <v>116</v>
      </c>
      <c r="D351" t="s">
        <v>123</v>
      </c>
      <c r="E351">
        <v>251</v>
      </c>
      <c r="F351">
        <v>98</v>
      </c>
      <c r="G351">
        <v>70</v>
      </c>
      <c r="H351">
        <v>3137.75</v>
      </c>
      <c r="I351">
        <v>1649.47</v>
      </c>
      <c r="J351">
        <v>37</v>
      </c>
      <c r="K351">
        <v>15</v>
      </c>
      <c r="L351" t="s">
        <v>131</v>
      </c>
      <c r="M351">
        <v>287</v>
      </c>
      <c r="N351">
        <v>5</v>
      </c>
      <c r="O351">
        <v>18</v>
      </c>
      <c r="P351" t="s">
        <v>216</v>
      </c>
      <c r="Q351" t="s">
        <v>218</v>
      </c>
      <c r="R351">
        <f t="shared" si="24"/>
        <v>28</v>
      </c>
      <c r="S351">
        <f t="shared" si="21"/>
        <v>0.39043824701195218</v>
      </c>
      <c r="T351" t="str">
        <f t="shared" si="22"/>
        <v>High Risk</v>
      </c>
      <c r="U351" t="str">
        <f t="shared" si="23"/>
        <v>Apply Discount / Promotion</v>
      </c>
    </row>
    <row r="352" spans="1:21" x14ac:dyDescent="0.25">
      <c r="A352">
        <v>351</v>
      </c>
      <c r="B352" t="s">
        <v>24</v>
      </c>
      <c r="C352" t="s">
        <v>118</v>
      </c>
      <c r="D352" t="s">
        <v>122</v>
      </c>
      <c r="E352">
        <v>156</v>
      </c>
      <c r="F352">
        <v>158</v>
      </c>
      <c r="G352">
        <v>185</v>
      </c>
      <c r="H352">
        <v>3919.08</v>
      </c>
      <c r="I352">
        <v>2934.76</v>
      </c>
      <c r="J352">
        <v>137</v>
      </c>
      <c r="K352">
        <v>1</v>
      </c>
      <c r="L352" t="s">
        <v>159</v>
      </c>
      <c r="M352">
        <v>107</v>
      </c>
      <c r="N352">
        <v>1</v>
      </c>
      <c r="O352">
        <v>3</v>
      </c>
      <c r="P352" t="s">
        <v>216</v>
      </c>
      <c r="Q352" t="s">
        <v>219</v>
      </c>
      <c r="R352">
        <f t="shared" si="24"/>
        <v>-27</v>
      </c>
      <c r="S352">
        <f t="shared" si="21"/>
        <v>1.0128205128205128</v>
      </c>
      <c r="T352" t="str">
        <f t="shared" si="22"/>
        <v>Low Risk</v>
      </c>
      <c r="U352" t="str">
        <f t="shared" si="23"/>
        <v>Maintain Stock</v>
      </c>
    </row>
    <row r="353" spans="1:21" x14ac:dyDescent="0.25">
      <c r="A353">
        <v>352</v>
      </c>
      <c r="B353" t="s">
        <v>92</v>
      </c>
      <c r="C353" t="s">
        <v>119</v>
      </c>
      <c r="D353" t="s">
        <v>124</v>
      </c>
      <c r="E353">
        <v>109</v>
      </c>
      <c r="F353">
        <v>316</v>
      </c>
      <c r="G353">
        <v>278</v>
      </c>
      <c r="H353">
        <v>4929.0200000000004</v>
      </c>
      <c r="I353">
        <v>3329.27</v>
      </c>
      <c r="J353">
        <v>124</v>
      </c>
      <c r="K353">
        <v>7</v>
      </c>
      <c r="L353" t="s">
        <v>157</v>
      </c>
      <c r="M353">
        <v>88</v>
      </c>
      <c r="N353">
        <v>3</v>
      </c>
      <c r="O353">
        <v>31</v>
      </c>
      <c r="P353" t="s">
        <v>216</v>
      </c>
      <c r="Q353" t="s">
        <v>217</v>
      </c>
      <c r="R353">
        <f t="shared" si="24"/>
        <v>38</v>
      </c>
      <c r="S353">
        <f t="shared" si="21"/>
        <v>2.8990825688073394</v>
      </c>
      <c r="T353" t="str">
        <f t="shared" si="22"/>
        <v>Low Risk</v>
      </c>
      <c r="U353" t="str">
        <f t="shared" si="23"/>
        <v>Maintain Stock</v>
      </c>
    </row>
    <row r="354" spans="1:21" x14ac:dyDescent="0.25">
      <c r="A354">
        <v>353</v>
      </c>
      <c r="B354" t="s">
        <v>28</v>
      </c>
      <c r="C354" t="s">
        <v>120</v>
      </c>
      <c r="D354" t="s">
        <v>121</v>
      </c>
      <c r="E354">
        <v>337</v>
      </c>
      <c r="F354">
        <v>0</v>
      </c>
      <c r="G354">
        <v>39</v>
      </c>
      <c r="H354">
        <v>4193.6099999999997</v>
      </c>
      <c r="I354">
        <v>2284.81</v>
      </c>
      <c r="J354">
        <v>115</v>
      </c>
      <c r="K354">
        <v>14</v>
      </c>
      <c r="L354" t="s">
        <v>178</v>
      </c>
      <c r="M354">
        <v>325</v>
      </c>
      <c r="N354">
        <v>4</v>
      </c>
      <c r="O354">
        <v>12</v>
      </c>
      <c r="P354" t="s">
        <v>215</v>
      </c>
      <c r="Q354" t="s">
        <v>217</v>
      </c>
      <c r="R354">
        <f t="shared" si="24"/>
        <v>-39</v>
      </c>
      <c r="S354">
        <f t="shared" si="21"/>
        <v>0</v>
      </c>
      <c r="T354" t="str">
        <f t="shared" si="22"/>
        <v>High Risk</v>
      </c>
      <c r="U354" t="str">
        <f t="shared" si="23"/>
        <v>Apply Discount / Promotion</v>
      </c>
    </row>
    <row r="355" spans="1:21" x14ac:dyDescent="0.25">
      <c r="A355">
        <v>354</v>
      </c>
      <c r="B355" t="s">
        <v>68</v>
      </c>
      <c r="C355" t="s">
        <v>120</v>
      </c>
      <c r="D355" t="s">
        <v>121</v>
      </c>
      <c r="E355">
        <v>329</v>
      </c>
      <c r="F355">
        <v>160</v>
      </c>
      <c r="G355">
        <v>204</v>
      </c>
      <c r="H355">
        <v>3389.65</v>
      </c>
      <c r="I355">
        <v>2600.65</v>
      </c>
      <c r="J355">
        <v>56</v>
      </c>
      <c r="K355">
        <v>2</v>
      </c>
      <c r="L355" t="s">
        <v>127</v>
      </c>
      <c r="M355">
        <v>56</v>
      </c>
      <c r="N355">
        <v>5</v>
      </c>
      <c r="O355">
        <v>46</v>
      </c>
      <c r="P355" t="s">
        <v>215</v>
      </c>
      <c r="Q355" t="s">
        <v>219</v>
      </c>
      <c r="R355">
        <f t="shared" si="24"/>
        <v>-44</v>
      </c>
      <c r="S355">
        <f t="shared" si="21"/>
        <v>0.48632218844984804</v>
      </c>
      <c r="T355" t="str">
        <f t="shared" si="22"/>
        <v>High Risk</v>
      </c>
      <c r="U355" t="str">
        <f t="shared" si="23"/>
        <v>Apply Discount / Promotion</v>
      </c>
    </row>
    <row r="356" spans="1:21" x14ac:dyDescent="0.25">
      <c r="A356">
        <v>355</v>
      </c>
      <c r="B356" t="s">
        <v>52</v>
      </c>
      <c r="C356" t="s">
        <v>119</v>
      </c>
      <c r="D356" t="s">
        <v>122</v>
      </c>
      <c r="E356">
        <v>228</v>
      </c>
      <c r="F356">
        <v>162</v>
      </c>
      <c r="G356">
        <v>146</v>
      </c>
      <c r="H356">
        <v>368.01</v>
      </c>
      <c r="I356">
        <v>186.55</v>
      </c>
      <c r="J356">
        <v>37</v>
      </c>
      <c r="K356">
        <v>5</v>
      </c>
      <c r="L356" t="s">
        <v>171</v>
      </c>
      <c r="M356">
        <v>340</v>
      </c>
      <c r="N356">
        <v>2</v>
      </c>
      <c r="O356">
        <v>27</v>
      </c>
      <c r="P356" t="s">
        <v>216</v>
      </c>
      <c r="Q356" t="s">
        <v>218</v>
      </c>
      <c r="R356">
        <f t="shared" si="24"/>
        <v>16</v>
      </c>
      <c r="S356">
        <f t="shared" si="21"/>
        <v>0.71052631578947367</v>
      </c>
      <c r="T356" t="str">
        <f t="shared" si="22"/>
        <v>Medium Risk</v>
      </c>
      <c r="U356" t="str">
        <f t="shared" si="23"/>
        <v>Monitor Sales</v>
      </c>
    </row>
    <row r="357" spans="1:21" x14ac:dyDescent="0.25">
      <c r="A357">
        <v>356</v>
      </c>
      <c r="B357" t="s">
        <v>106</v>
      </c>
      <c r="C357" t="s">
        <v>117</v>
      </c>
      <c r="D357" t="s">
        <v>121</v>
      </c>
      <c r="E357">
        <v>442</v>
      </c>
      <c r="F357">
        <v>358</v>
      </c>
      <c r="G357">
        <v>394</v>
      </c>
      <c r="H357">
        <v>2331.89</v>
      </c>
      <c r="I357">
        <v>1759.57</v>
      </c>
      <c r="J357">
        <v>37</v>
      </c>
      <c r="K357">
        <v>14</v>
      </c>
      <c r="L357" t="s">
        <v>192</v>
      </c>
      <c r="M357">
        <v>235</v>
      </c>
      <c r="N357">
        <v>4</v>
      </c>
      <c r="O357">
        <v>35</v>
      </c>
      <c r="P357" t="s">
        <v>215</v>
      </c>
      <c r="Q357" t="s">
        <v>217</v>
      </c>
      <c r="R357">
        <f t="shared" si="24"/>
        <v>-36</v>
      </c>
      <c r="S357">
        <f t="shared" si="21"/>
        <v>0.80995475113122173</v>
      </c>
      <c r="T357" t="str">
        <f t="shared" si="22"/>
        <v>Medium Risk</v>
      </c>
      <c r="U357" t="str">
        <f t="shared" si="23"/>
        <v>Monitor Sales</v>
      </c>
    </row>
    <row r="358" spans="1:21" x14ac:dyDescent="0.25">
      <c r="A358">
        <v>357</v>
      </c>
      <c r="B358" t="s">
        <v>62</v>
      </c>
      <c r="C358" t="s">
        <v>119</v>
      </c>
      <c r="D358" t="s">
        <v>121</v>
      </c>
      <c r="E358">
        <v>415</v>
      </c>
      <c r="F358">
        <v>362</v>
      </c>
      <c r="G358">
        <v>339</v>
      </c>
      <c r="H358">
        <v>1936.22</v>
      </c>
      <c r="I358">
        <v>1131.97</v>
      </c>
      <c r="J358">
        <v>55</v>
      </c>
      <c r="K358">
        <v>13</v>
      </c>
      <c r="L358" t="s">
        <v>141</v>
      </c>
      <c r="M358">
        <v>43</v>
      </c>
      <c r="N358">
        <v>1</v>
      </c>
      <c r="O358">
        <v>41</v>
      </c>
      <c r="P358" t="s">
        <v>215</v>
      </c>
      <c r="Q358" t="s">
        <v>217</v>
      </c>
      <c r="R358">
        <f t="shared" si="24"/>
        <v>23</v>
      </c>
      <c r="S358">
        <f t="shared" si="21"/>
        <v>0.87228915662650608</v>
      </c>
      <c r="T358" t="str">
        <f t="shared" si="22"/>
        <v>Medium Risk</v>
      </c>
      <c r="U358" t="str">
        <f t="shared" si="23"/>
        <v>Monitor Sales</v>
      </c>
    </row>
    <row r="359" spans="1:21" x14ac:dyDescent="0.25">
      <c r="A359">
        <v>358</v>
      </c>
      <c r="B359" t="s">
        <v>110</v>
      </c>
      <c r="C359" t="s">
        <v>116</v>
      </c>
      <c r="D359" t="s">
        <v>121</v>
      </c>
      <c r="E359">
        <v>161</v>
      </c>
      <c r="F359">
        <v>149</v>
      </c>
      <c r="G359">
        <v>172</v>
      </c>
      <c r="H359">
        <v>2034.1</v>
      </c>
      <c r="I359">
        <v>1468.95</v>
      </c>
      <c r="J359">
        <v>133</v>
      </c>
      <c r="K359">
        <v>1</v>
      </c>
      <c r="L359" t="s">
        <v>161</v>
      </c>
      <c r="M359">
        <v>226</v>
      </c>
      <c r="N359">
        <v>5</v>
      </c>
      <c r="O359">
        <v>5</v>
      </c>
      <c r="P359" t="s">
        <v>216</v>
      </c>
      <c r="Q359" t="s">
        <v>219</v>
      </c>
      <c r="R359">
        <f t="shared" si="24"/>
        <v>-23</v>
      </c>
      <c r="S359">
        <f t="shared" si="21"/>
        <v>0.92546583850931674</v>
      </c>
      <c r="T359" t="str">
        <f t="shared" si="22"/>
        <v>Medium Risk</v>
      </c>
      <c r="U359" t="str">
        <f t="shared" si="23"/>
        <v>Monitor Sales</v>
      </c>
    </row>
    <row r="360" spans="1:21" x14ac:dyDescent="0.25">
      <c r="A360">
        <v>359</v>
      </c>
      <c r="B360" t="s">
        <v>52</v>
      </c>
      <c r="C360" t="s">
        <v>118</v>
      </c>
      <c r="D360" t="s">
        <v>121</v>
      </c>
      <c r="E360">
        <v>500</v>
      </c>
      <c r="F360">
        <v>146</v>
      </c>
      <c r="G360">
        <v>195</v>
      </c>
      <c r="H360">
        <v>1695.32</v>
      </c>
      <c r="I360">
        <v>1292.1400000000001</v>
      </c>
      <c r="J360">
        <v>79</v>
      </c>
      <c r="K360">
        <v>11</v>
      </c>
      <c r="L360" t="s">
        <v>132</v>
      </c>
      <c r="M360">
        <v>337</v>
      </c>
      <c r="N360">
        <v>5</v>
      </c>
      <c r="O360">
        <v>27</v>
      </c>
      <c r="P360" t="s">
        <v>216</v>
      </c>
      <c r="Q360" t="s">
        <v>218</v>
      </c>
      <c r="R360">
        <f t="shared" si="24"/>
        <v>-49</v>
      </c>
      <c r="S360">
        <f t="shared" si="21"/>
        <v>0.29199999999999998</v>
      </c>
      <c r="T360" t="str">
        <f t="shared" si="22"/>
        <v>High Risk</v>
      </c>
      <c r="U360" t="str">
        <f t="shared" si="23"/>
        <v>Apply Discount / Promotion</v>
      </c>
    </row>
    <row r="361" spans="1:21" x14ac:dyDescent="0.25">
      <c r="A361">
        <v>360</v>
      </c>
      <c r="B361" t="s">
        <v>32</v>
      </c>
      <c r="C361" t="s">
        <v>117</v>
      </c>
      <c r="D361" t="s">
        <v>124</v>
      </c>
      <c r="E361">
        <v>385</v>
      </c>
      <c r="F361">
        <v>220</v>
      </c>
      <c r="G361">
        <v>247</v>
      </c>
      <c r="H361">
        <v>2870.11</v>
      </c>
      <c r="I361">
        <v>1583.93</v>
      </c>
      <c r="J361">
        <v>52</v>
      </c>
      <c r="K361">
        <v>8</v>
      </c>
      <c r="L361" t="s">
        <v>131</v>
      </c>
      <c r="M361">
        <v>288</v>
      </c>
      <c r="N361">
        <v>5</v>
      </c>
      <c r="O361">
        <v>39</v>
      </c>
      <c r="P361" t="s">
        <v>216</v>
      </c>
      <c r="Q361" t="s">
        <v>219</v>
      </c>
      <c r="R361">
        <f t="shared" si="24"/>
        <v>-27</v>
      </c>
      <c r="S361">
        <f t="shared" si="21"/>
        <v>0.5714285714285714</v>
      </c>
      <c r="T361" t="str">
        <f t="shared" si="22"/>
        <v>Medium Risk</v>
      </c>
      <c r="U361" t="str">
        <f t="shared" si="23"/>
        <v>Monitor Sales</v>
      </c>
    </row>
    <row r="362" spans="1:21" x14ac:dyDescent="0.25">
      <c r="A362">
        <v>361</v>
      </c>
      <c r="B362" t="s">
        <v>83</v>
      </c>
      <c r="C362" t="s">
        <v>117</v>
      </c>
      <c r="D362" t="s">
        <v>122</v>
      </c>
      <c r="E362">
        <v>229</v>
      </c>
      <c r="F362">
        <v>53</v>
      </c>
      <c r="G362">
        <v>78</v>
      </c>
      <c r="H362">
        <v>379.25</v>
      </c>
      <c r="I362">
        <v>261.06</v>
      </c>
      <c r="J362">
        <v>73</v>
      </c>
      <c r="K362">
        <v>1</v>
      </c>
      <c r="L362" t="s">
        <v>167</v>
      </c>
      <c r="M362">
        <v>344</v>
      </c>
      <c r="N362">
        <v>5</v>
      </c>
      <c r="O362">
        <v>50</v>
      </c>
      <c r="P362" t="s">
        <v>216</v>
      </c>
      <c r="Q362" t="s">
        <v>218</v>
      </c>
      <c r="R362">
        <f t="shared" si="24"/>
        <v>-25</v>
      </c>
      <c r="S362">
        <f t="shared" si="21"/>
        <v>0.23144104803493451</v>
      </c>
      <c r="T362" t="str">
        <f t="shared" si="22"/>
        <v>High Risk</v>
      </c>
      <c r="U362" t="str">
        <f t="shared" si="23"/>
        <v>Apply Discount / Promotion</v>
      </c>
    </row>
    <row r="363" spans="1:21" x14ac:dyDescent="0.25">
      <c r="A363">
        <v>362</v>
      </c>
      <c r="B363" t="s">
        <v>30</v>
      </c>
      <c r="C363" t="s">
        <v>119</v>
      </c>
      <c r="D363" t="s">
        <v>123</v>
      </c>
      <c r="E363">
        <v>298</v>
      </c>
      <c r="F363">
        <v>24</v>
      </c>
      <c r="G363">
        <v>16</v>
      </c>
      <c r="H363">
        <v>4569.53</v>
      </c>
      <c r="I363">
        <v>3200.47</v>
      </c>
      <c r="J363">
        <v>136</v>
      </c>
      <c r="K363">
        <v>14</v>
      </c>
      <c r="L363" t="s">
        <v>143</v>
      </c>
      <c r="M363">
        <v>220</v>
      </c>
      <c r="N363">
        <v>2</v>
      </c>
      <c r="O363">
        <v>15</v>
      </c>
      <c r="P363" t="s">
        <v>215</v>
      </c>
      <c r="Q363" t="s">
        <v>218</v>
      </c>
      <c r="R363">
        <f t="shared" si="24"/>
        <v>8</v>
      </c>
      <c r="S363">
        <f t="shared" si="21"/>
        <v>8.0536912751677847E-2</v>
      </c>
      <c r="T363" t="str">
        <f t="shared" si="22"/>
        <v>High Risk</v>
      </c>
      <c r="U363" t="str">
        <f t="shared" si="23"/>
        <v>Apply Discount / Promotion</v>
      </c>
    </row>
    <row r="364" spans="1:21" x14ac:dyDescent="0.25">
      <c r="A364">
        <v>363</v>
      </c>
      <c r="B364" t="s">
        <v>17</v>
      </c>
      <c r="C364" t="s">
        <v>119</v>
      </c>
      <c r="D364" t="s">
        <v>122</v>
      </c>
      <c r="E364">
        <v>232</v>
      </c>
      <c r="F364">
        <v>251</v>
      </c>
      <c r="G364">
        <v>263</v>
      </c>
      <c r="H364">
        <v>4160.78</v>
      </c>
      <c r="I364">
        <v>2161.2800000000002</v>
      </c>
      <c r="J364">
        <v>55</v>
      </c>
      <c r="K364">
        <v>9</v>
      </c>
      <c r="L364" t="s">
        <v>207</v>
      </c>
      <c r="M364">
        <v>196</v>
      </c>
      <c r="N364">
        <v>5</v>
      </c>
      <c r="O364">
        <v>33</v>
      </c>
      <c r="P364" t="s">
        <v>216</v>
      </c>
      <c r="Q364" t="s">
        <v>218</v>
      </c>
      <c r="R364">
        <f t="shared" si="24"/>
        <v>-12</v>
      </c>
      <c r="S364">
        <f t="shared" si="21"/>
        <v>1.0818965517241379</v>
      </c>
      <c r="T364" t="str">
        <f t="shared" si="22"/>
        <v>Low Risk</v>
      </c>
      <c r="U364" t="str">
        <f t="shared" si="23"/>
        <v>Maintain Stock</v>
      </c>
    </row>
    <row r="365" spans="1:21" x14ac:dyDescent="0.25">
      <c r="A365">
        <v>364</v>
      </c>
      <c r="B365" t="s">
        <v>111</v>
      </c>
      <c r="C365" t="s">
        <v>119</v>
      </c>
      <c r="D365" t="s">
        <v>124</v>
      </c>
      <c r="E365">
        <v>58</v>
      </c>
      <c r="F365">
        <v>371</v>
      </c>
      <c r="G365">
        <v>331</v>
      </c>
      <c r="H365">
        <v>847.53</v>
      </c>
      <c r="I365">
        <v>529.42999999999995</v>
      </c>
      <c r="J365">
        <v>121</v>
      </c>
      <c r="K365">
        <v>9</v>
      </c>
      <c r="L365" t="s">
        <v>177</v>
      </c>
      <c r="M365">
        <v>219</v>
      </c>
      <c r="N365">
        <v>4</v>
      </c>
      <c r="O365">
        <v>41</v>
      </c>
      <c r="P365" t="s">
        <v>216</v>
      </c>
      <c r="Q365" t="s">
        <v>217</v>
      </c>
      <c r="R365">
        <f t="shared" si="24"/>
        <v>40</v>
      </c>
      <c r="S365">
        <f t="shared" si="21"/>
        <v>6.3965517241379306</v>
      </c>
      <c r="T365" t="str">
        <f t="shared" si="22"/>
        <v>Low Risk</v>
      </c>
      <c r="U365" t="str">
        <f t="shared" si="23"/>
        <v>Maintain Stock</v>
      </c>
    </row>
    <row r="366" spans="1:21" x14ac:dyDescent="0.25">
      <c r="A366">
        <v>365</v>
      </c>
      <c r="B366" t="s">
        <v>34</v>
      </c>
      <c r="C366" t="s">
        <v>118</v>
      </c>
      <c r="D366" t="s">
        <v>123</v>
      </c>
      <c r="E366">
        <v>326</v>
      </c>
      <c r="F366">
        <v>135</v>
      </c>
      <c r="G366">
        <v>85</v>
      </c>
      <c r="H366">
        <v>4366.2700000000004</v>
      </c>
      <c r="I366">
        <v>2312.83</v>
      </c>
      <c r="J366">
        <v>64</v>
      </c>
      <c r="K366">
        <v>7</v>
      </c>
      <c r="L366" t="s">
        <v>186</v>
      </c>
      <c r="M366">
        <v>252</v>
      </c>
      <c r="N366">
        <v>1</v>
      </c>
      <c r="O366">
        <v>39</v>
      </c>
      <c r="P366" t="s">
        <v>216</v>
      </c>
      <c r="Q366" t="s">
        <v>217</v>
      </c>
      <c r="R366">
        <f t="shared" si="24"/>
        <v>50</v>
      </c>
      <c r="S366">
        <f t="shared" si="21"/>
        <v>0.41411042944785276</v>
      </c>
      <c r="T366" t="str">
        <f t="shared" si="22"/>
        <v>High Risk</v>
      </c>
      <c r="U366" t="str">
        <f t="shared" si="23"/>
        <v>Apply Discount / Promotion</v>
      </c>
    </row>
    <row r="367" spans="1:21" x14ac:dyDescent="0.25">
      <c r="A367">
        <v>366</v>
      </c>
      <c r="B367" t="s">
        <v>72</v>
      </c>
      <c r="C367" t="s">
        <v>119</v>
      </c>
      <c r="D367" t="s">
        <v>124</v>
      </c>
      <c r="E367">
        <v>119</v>
      </c>
      <c r="F367">
        <v>81</v>
      </c>
      <c r="G367">
        <v>64</v>
      </c>
      <c r="H367">
        <v>1263.3499999999999</v>
      </c>
      <c r="I367">
        <v>693.13</v>
      </c>
      <c r="J367">
        <v>47</v>
      </c>
      <c r="K367">
        <v>3</v>
      </c>
      <c r="L367" t="s">
        <v>207</v>
      </c>
      <c r="M367">
        <v>199</v>
      </c>
      <c r="N367">
        <v>4</v>
      </c>
      <c r="O367">
        <v>14</v>
      </c>
      <c r="P367" t="s">
        <v>216</v>
      </c>
      <c r="Q367" t="s">
        <v>218</v>
      </c>
      <c r="R367">
        <f t="shared" si="24"/>
        <v>17</v>
      </c>
      <c r="S367">
        <f t="shared" si="21"/>
        <v>0.68067226890756305</v>
      </c>
      <c r="T367" t="str">
        <f t="shared" si="22"/>
        <v>Medium Risk</v>
      </c>
      <c r="U367" t="str">
        <f t="shared" si="23"/>
        <v>Monitor Sales</v>
      </c>
    </row>
    <row r="368" spans="1:21" x14ac:dyDescent="0.25">
      <c r="A368">
        <v>367</v>
      </c>
      <c r="B368" t="s">
        <v>37</v>
      </c>
      <c r="C368" t="s">
        <v>118</v>
      </c>
      <c r="D368" t="s">
        <v>123</v>
      </c>
      <c r="E368">
        <v>246</v>
      </c>
      <c r="F368">
        <v>119</v>
      </c>
      <c r="G368">
        <v>81</v>
      </c>
      <c r="H368">
        <v>2062.06</v>
      </c>
      <c r="I368">
        <v>1538.19</v>
      </c>
      <c r="J368">
        <v>150</v>
      </c>
      <c r="K368">
        <v>14</v>
      </c>
      <c r="L368" t="s">
        <v>173</v>
      </c>
      <c r="M368">
        <v>258</v>
      </c>
      <c r="N368">
        <v>5</v>
      </c>
      <c r="O368">
        <v>10</v>
      </c>
      <c r="P368" t="s">
        <v>216</v>
      </c>
      <c r="Q368" t="s">
        <v>217</v>
      </c>
      <c r="R368">
        <f t="shared" si="24"/>
        <v>38</v>
      </c>
      <c r="S368">
        <f t="shared" si="21"/>
        <v>0.48373983739837401</v>
      </c>
      <c r="T368" t="str">
        <f t="shared" si="22"/>
        <v>High Risk</v>
      </c>
      <c r="U368" t="str">
        <f t="shared" si="23"/>
        <v>Apply Discount / Promotion</v>
      </c>
    </row>
    <row r="369" spans="1:21" x14ac:dyDescent="0.25">
      <c r="A369">
        <v>368</v>
      </c>
      <c r="B369" t="s">
        <v>43</v>
      </c>
      <c r="C369" t="s">
        <v>118</v>
      </c>
      <c r="D369" t="s">
        <v>123</v>
      </c>
      <c r="E369">
        <v>40</v>
      </c>
      <c r="F369">
        <v>29</v>
      </c>
      <c r="G369">
        <v>17</v>
      </c>
      <c r="H369">
        <v>401.82</v>
      </c>
      <c r="I369">
        <v>234.51</v>
      </c>
      <c r="J369">
        <v>92</v>
      </c>
      <c r="K369">
        <v>2</v>
      </c>
      <c r="L369" t="s">
        <v>129</v>
      </c>
      <c r="M369">
        <v>238</v>
      </c>
      <c r="N369">
        <v>5</v>
      </c>
      <c r="O369">
        <v>7</v>
      </c>
      <c r="P369" t="s">
        <v>215</v>
      </c>
      <c r="Q369" t="s">
        <v>219</v>
      </c>
      <c r="R369">
        <f t="shared" si="24"/>
        <v>12</v>
      </c>
      <c r="S369">
        <f t="shared" si="21"/>
        <v>0.72499999999999998</v>
      </c>
      <c r="T369" t="str">
        <f t="shared" si="22"/>
        <v>Medium Risk</v>
      </c>
      <c r="U369" t="str">
        <f t="shared" si="23"/>
        <v>Monitor Sales</v>
      </c>
    </row>
    <row r="370" spans="1:21" x14ac:dyDescent="0.25">
      <c r="A370">
        <v>369</v>
      </c>
      <c r="B370" t="s">
        <v>59</v>
      </c>
      <c r="C370" t="s">
        <v>116</v>
      </c>
      <c r="D370" t="s">
        <v>121</v>
      </c>
      <c r="E370">
        <v>65</v>
      </c>
      <c r="F370">
        <v>369</v>
      </c>
      <c r="G370">
        <v>351</v>
      </c>
      <c r="H370">
        <v>4346.6899999999996</v>
      </c>
      <c r="I370">
        <v>2235.46</v>
      </c>
      <c r="J370">
        <v>41</v>
      </c>
      <c r="K370">
        <v>5</v>
      </c>
      <c r="L370" t="s">
        <v>165</v>
      </c>
      <c r="M370">
        <v>314</v>
      </c>
      <c r="N370">
        <v>1</v>
      </c>
      <c r="O370">
        <v>36</v>
      </c>
      <c r="P370" t="s">
        <v>215</v>
      </c>
      <c r="Q370" t="s">
        <v>219</v>
      </c>
      <c r="R370">
        <f t="shared" si="24"/>
        <v>18</v>
      </c>
      <c r="S370">
        <f t="shared" si="21"/>
        <v>5.6769230769230772</v>
      </c>
      <c r="T370" t="str">
        <f t="shared" si="22"/>
        <v>Low Risk</v>
      </c>
      <c r="U370" t="str">
        <f t="shared" si="23"/>
        <v>Maintain Stock</v>
      </c>
    </row>
    <row r="371" spans="1:21" x14ac:dyDescent="0.25">
      <c r="A371">
        <v>370</v>
      </c>
      <c r="B371" t="s">
        <v>29</v>
      </c>
      <c r="C371" t="s">
        <v>116</v>
      </c>
      <c r="D371" t="s">
        <v>121</v>
      </c>
      <c r="E371">
        <v>299</v>
      </c>
      <c r="F371">
        <v>73</v>
      </c>
      <c r="G371">
        <v>69</v>
      </c>
      <c r="H371">
        <v>2014.59</v>
      </c>
      <c r="I371">
        <v>1328.69</v>
      </c>
      <c r="J371">
        <v>103</v>
      </c>
      <c r="K371">
        <v>4</v>
      </c>
      <c r="L371" t="s">
        <v>189</v>
      </c>
      <c r="M371">
        <v>89</v>
      </c>
      <c r="N371">
        <v>5</v>
      </c>
      <c r="O371">
        <v>42</v>
      </c>
      <c r="P371" t="s">
        <v>216</v>
      </c>
      <c r="Q371" t="s">
        <v>218</v>
      </c>
      <c r="R371">
        <f t="shared" si="24"/>
        <v>4</v>
      </c>
      <c r="S371">
        <f t="shared" si="21"/>
        <v>0.24414715719063546</v>
      </c>
      <c r="T371" t="str">
        <f t="shared" si="22"/>
        <v>High Risk</v>
      </c>
      <c r="U371" t="str">
        <f t="shared" si="23"/>
        <v>Apply Discount / Promotion</v>
      </c>
    </row>
    <row r="372" spans="1:21" x14ac:dyDescent="0.25">
      <c r="A372">
        <v>371</v>
      </c>
      <c r="B372" t="s">
        <v>48</v>
      </c>
      <c r="C372" t="s">
        <v>118</v>
      </c>
      <c r="D372" t="s">
        <v>123</v>
      </c>
      <c r="E372">
        <v>358</v>
      </c>
      <c r="F372">
        <v>5</v>
      </c>
      <c r="G372">
        <v>41</v>
      </c>
      <c r="H372">
        <v>4084.23</v>
      </c>
      <c r="I372">
        <v>2442.98</v>
      </c>
      <c r="J372">
        <v>40</v>
      </c>
      <c r="K372">
        <v>4</v>
      </c>
      <c r="L372" t="s">
        <v>163</v>
      </c>
      <c r="M372">
        <v>293</v>
      </c>
      <c r="N372">
        <v>1</v>
      </c>
      <c r="O372">
        <v>21</v>
      </c>
      <c r="P372" t="s">
        <v>215</v>
      </c>
      <c r="Q372" t="s">
        <v>217</v>
      </c>
      <c r="R372">
        <f t="shared" si="24"/>
        <v>-36</v>
      </c>
      <c r="S372">
        <f t="shared" si="21"/>
        <v>1.3966480446927373E-2</v>
      </c>
      <c r="T372" t="str">
        <f t="shared" si="22"/>
        <v>High Risk</v>
      </c>
      <c r="U372" t="str">
        <f t="shared" si="23"/>
        <v>Apply Discount / Promotion</v>
      </c>
    </row>
    <row r="373" spans="1:21" x14ac:dyDescent="0.25">
      <c r="A373">
        <v>372</v>
      </c>
      <c r="B373" t="s">
        <v>85</v>
      </c>
      <c r="C373" t="s">
        <v>117</v>
      </c>
      <c r="D373" t="s">
        <v>124</v>
      </c>
      <c r="E373">
        <v>390</v>
      </c>
      <c r="F373">
        <v>73</v>
      </c>
      <c r="G373">
        <v>36</v>
      </c>
      <c r="H373">
        <v>1877.03</v>
      </c>
      <c r="I373">
        <v>1254.8699999999999</v>
      </c>
      <c r="J373">
        <v>69</v>
      </c>
      <c r="K373">
        <v>7</v>
      </c>
      <c r="L373" t="s">
        <v>136</v>
      </c>
      <c r="M373">
        <v>182</v>
      </c>
      <c r="N373">
        <v>2</v>
      </c>
      <c r="O373">
        <v>19</v>
      </c>
      <c r="P373" t="s">
        <v>216</v>
      </c>
      <c r="Q373" t="s">
        <v>218</v>
      </c>
      <c r="R373">
        <f t="shared" si="24"/>
        <v>37</v>
      </c>
      <c r="S373">
        <f t="shared" si="21"/>
        <v>0.18717948717948718</v>
      </c>
      <c r="T373" t="str">
        <f t="shared" si="22"/>
        <v>High Risk</v>
      </c>
      <c r="U373" t="str">
        <f t="shared" si="23"/>
        <v>Apply Discount / Promotion</v>
      </c>
    </row>
    <row r="374" spans="1:21" x14ac:dyDescent="0.25">
      <c r="A374">
        <v>373</v>
      </c>
      <c r="B374" t="s">
        <v>35</v>
      </c>
      <c r="C374" t="s">
        <v>118</v>
      </c>
      <c r="D374" t="s">
        <v>121</v>
      </c>
      <c r="E374">
        <v>382</v>
      </c>
      <c r="F374">
        <v>145</v>
      </c>
      <c r="G374">
        <v>135</v>
      </c>
      <c r="H374">
        <v>246.38</v>
      </c>
      <c r="I374">
        <v>186.31</v>
      </c>
      <c r="J374">
        <v>61</v>
      </c>
      <c r="K374">
        <v>6</v>
      </c>
      <c r="L374" t="s">
        <v>159</v>
      </c>
      <c r="M374">
        <v>92</v>
      </c>
      <c r="N374">
        <v>4</v>
      </c>
      <c r="O374">
        <v>16</v>
      </c>
      <c r="P374" t="s">
        <v>215</v>
      </c>
      <c r="Q374" t="s">
        <v>217</v>
      </c>
      <c r="R374">
        <f t="shared" si="24"/>
        <v>10</v>
      </c>
      <c r="S374">
        <f t="shared" si="21"/>
        <v>0.37958115183246072</v>
      </c>
      <c r="T374" t="str">
        <f t="shared" si="22"/>
        <v>High Risk</v>
      </c>
      <c r="U374" t="str">
        <f t="shared" si="23"/>
        <v>Apply Discount / Promotion</v>
      </c>
    </row>
    <row r="375" spans="1:21" x14ac:dyDescent="0.25">
      <c r="A375">
        <v>374</v>
      </c>
      <c r="B375" t="s">
        <v>75</v>
      </c>
      <c r="C375" t="s">
        <v>119</v>
      </c>
      <c r="D375" t="s">
        <v>121</v>
      </c>
      <c r="E375">
        <v>454</v>
      </c>
      <c r="F375">
        <v>16</v>
      </c>
      <c r="G375">
        <v>34</v>
      </c>
      <c r="H375">
        <v>4086</v>
      </c>
      <c r="I375">
        <v>2913.14</v>
      </c>
      <c r="J375">
        <v>31</v>
      </c>
      <c r="K375">
        <v>12</v>
      </c>
      <c r="L375" t="s">
        <v>203</v>
      </c>
      <c r="M375">
        <v>80</v>
      </c>
      <c r="N375">
        <v>5</v>
      </c>
      <c r="O375">
        <v>6</v>
      </c>
      <c r="P375" t="s">
        <v>216</v>
      </c>
      <c r="Q375" t="s">
        <v>217</v>
      </c>
      <c r="R375">
        <f t="shared" si="24"/>
        <v>-18</v>
      </c>
      <c r="S375">
        <f t="shared" si="21"/>
        <v>3.5242290748898682E-2</v>
      </c>
      <c r="T375" t="str">
        <f t="shared" si="22"/>
        <v>High Risk</v>
      </c>
      <c r="U375" t="str">
        <f t="shared" si="23"/>
        <v>Apply Discount / Promotion</v>
      </c>
    </row>
    <row r="376" spans="1:21" x14ac:dyDescent="0.25">
      <c r="A376">
        <v>375</v>
      </c>
      <c r="B376" t="s">
        <v>44</v>
      </c>
      <c r="C376" t="s">
        <v>118</v>
      </c>
      <c r="D376" t="s">
        <v>122</v>
      </c>
      <c r="E376">
        <v>220</v>
      </c>
      <c r="F376">
        <v>75</v>
      </c>
      <c r="G376">
        <v>87</v>
      </c>
      <c r="H376">
        <v>3688.88</v>
      </c>
      <c r="I376">
        <v>2785.5</v>
      </c>
      <c r="J376">
        <v>72</v>
      </c>
      <c r="K376">
        <v>4</v>
      </c>
      <c r="L376" t="s">
        <v>138</v>
      </c>
      <c r="M376">
        <v>199</v>
      </c>
      <c r="N376">
        <v>4</v>
      </c>
      <c r="O376">
        <v>28</v>
      </c>
      <c r="P376" t="s">
        <v>215</v>
      </c>
      <c r="Q376" t="s">
        <v>218</v>
      </c>
      <c r="R376">
        <f t="shared" si="24"/>
        <v>-12</v>
      </c>
      <c r="S376">
        <f t="shared" si="21"/>
        <v>0.34090909090909088</v>
      </c>
      <c r="T376" t="str">
        <f t="shared" si="22"/>
        <v>High Risk</v>
      </c>
      <c r="U376" t="str">
        <f t="shared" si="23"/>
        <v>Apply Discount / Promotion</v>
      </c>
    </row>
    <row r="377" spans="1:21" x14ac:dyDescent="0.25">
      <c r="A377">
        <v>376</v>
      </c>
      <c r="B377" t="s">
        <v>49</v>
      </c>
      <c r="C377" t="s">
        <v>117</v>
      </c>
      <c r="D377" t="s">
        <v>121</v>
      </c>
      <c r="E377">
        <v>267</v>
      </c>
      <c r="F377">
        <v>359</v>
      </c>
      <c r="G377">
        <v>344</v>
      </c>
      <c r="H377">
        <v>4514.45</v>
      </c>
      <c r="I377">
        <v>2995.47</v>
      </c>
      <c r="J377">
        <v>117</v>
      </c>
      <c r="K377">
        <v>1</v>
      </c>
      <c r="L377" t="s">
        <v>151</v>
      </c>
      <c r="M377">
        <v>89</v>
      </c>
      <c r="N377">
        <v>1</v>
      </c>
      <c r="O377">
        <v>49</v>
      </c>
      <c r="P377" t="s">
        <v>216</v>
      </c>
      <c r="Q377" t="s">
        <v>219</v>
      </c>
      <c r="R377">
        <f t="shared" si="24"/>
        <v>15</v>
      </c>
      <c r="S377">
        <f t="shared" si="21"/>
        <v>1.3445692883895131</v>
      </c>
      <c r="T377" t="str">
        <f t="shared" si="22"/>
        <v>Low Risk</v>
      </c>
      <c r="U377" t="str">
        <f t="shared" si="23"/>
        <v>Maintain Stock</v>
      </c>
    </row>
    <row r="378" spans="1:21" x14ac:dyDescent="0.25">
      <c r="A378">
        <v>377</v>
      </c>
      <c r="B378" t="s">
        <v>65</v>
      </c>
      <c r="C378" t="s">
        <v>117</v>
      </c>
      <c r="D378" t="s">
        <v>121</v>
      </c>
      <c r="E378">
        <v>495</v>
      </c>
      <c r="F378">
        <v>144</v>
      </c>
      <c r="G378">
        <v>191</v>
      </c>
      <c r="H378">
        <v>2823.81</v>
      </c>
      <c r="I378">
        <v>2174.29</v>
      </c>
      <c r="J378">
        <v>59</v>
      </c>
      <c r="K378">
        <v>13</v>
      </c>
      <c r="L378" t="s">
        <v>137</v>
      </c>
      <c r="M378">
        <v>71</v>
      </c>
      <c r="N378">
        <v>5</v>
      </c>
      <c r="O378">
        <v>34</v>
      </c>
      <c r="P378" t="s">
        <v>216</v>
      </c>
      <c r="Q378" t="s">
        <v>219</v>
      </c>
      <c r="R378">
        <f t="shared" si="24"/>
        <v>-47</v>
      </c>
      <c r="S378">
        <f t="shared" si="21"/>
        <v>0.29090909090909089</v>
      </c>
      <c r="T378" t="str">
        <f t="shared" si="22"/>
        <v>High Risk</v>
      </c>
      <c r="U378" t="str">
        <f t="shared" si="23"/>
        <v>Apply Discount / Promotion</v>
      </c>
    </row>
    <row r="379" spans="1:21" x14ac:dyDescent="0.25">
      <c r="A379">
        <v>378</v>
      </c>
      <c r="B379" t="s">
        <v>81</v>
      </c>
      <c r="C379" t="s">
        <v>118</v>
      </c>
      <c r="D379" t="s">
        <v>122</v>
      </c>
      <c r="E379">
        <v>89</v>
      </c>
      <c r="F379">
        <v>88</v>
      </c>
      <c r="G379">
        <v>46</v>
      </c>
      <c r="H379">
        <v>478.03</v>
      </c>
      <c r="I379">
        <v>361.87</v>
      </c>
      <c r="J379">
        <v>32</v>
      </c>
      <c r="K379">
        <v>3</v>
      </c>
      <c r="L379" t="s">
        <v>151</v>
      </c>
      <c r="M379">
        <v>163</v>
      </c>
      <c r="N379">
        <v>5</v>
      </c>
      <c r="O379">
        <v>43</v>
      </c>
      <c r="P379" t="s">
        <v>216</v>
      </c>
      <c r="Q379" t="s">
        <v>217</v>
      </c>
      <c r="R379">
        <f t="shared" si="24"/>
        <v>42</v>
      </c>
      <c r="S379">
        <f t="shared" si="21"/>
        <v>0.9887640449438202</v>
      </c>
      <c r="T379" t="str">
        <f t="shared" si="22"/>
        <v>Medium Risk</v>
      </c>
      <c r="U379" t="str">
        <f t="shared" si="23"/>
        <v>Monitor Sales</v>
      </c>
    </row>
    <row r="380" spans="1:21" x14ac:dyDescent="0.25">
      <c r="A380">
        <v>379</v>
      </c>
      <c r="B380" t="s">
        <v>28</v>
      </c>
      <c r="C380" t="s">
        <v>118</v>
      </c>
      <c r="D380" t="s">
        <v>123</v>
      </c>
      <c r="E380">
        <v>114</v>
      </c>
      <c r="F380">
        <v>242</v>
      </c>
      <c r="G380">
        <v>201</v>
      </c>
      <c r="H380">
        <v>3398.21</v>
      </c>
      <c r="I380">
        <v>2156.56</v>
      </c>
      <c r="J380">
        <v>116</v>
      </c>
      <c r="K380">
        <v>9</v>
      </c>
      <c r="L380" t="s">
        <v>173</v>
      </c>
      <c r="M380">
        <v>166</v>
      </c>
      <c r="N380">
        <v>2</v>
      </c>
      <c r="O380">
        <v>14</v>
      </c>
      <c r="P380" t="s">
        <v>216</v>
      </c>
      <c r="Q380" t="s">
        <v>217</v>
      </c>
      <c r="R380">
        <f t="shared" si="24"/>
        <v>41</v>
      </c>
      <c r="S380">
        <f t="shared" si="21"/>
        <v>2.1228070175438596</v>
      </c>
      <c r="T380" t="str">
        <f t="shared" si="22"/>
        <v>Low Risk</v>
      </c>
      <c r="U380" t="str">
        <f t="shared" si="23"/>
        <v>Maintain Stock</v>
      </c>
    </row>
    <row r="381" spans="1:21" x14ac:dyDescent="0.25">
      <c r="A381">
        <v>380</v>
      </c>
      <c r="B381" t="s">
        <v>58</v>
      </c>
      <c r="C381" t="s">
        <v>117</v>
      </c>
      <c r="D381" t="s">
        <v>122</v>
      </c>
      <c r="E381">
        <v>227</v>
      </c>
      <c r="F381">
        <v>256</v>
      </c>
      <c r="G381">
        <v>248</v>
      </c>
      <c r="H381">
        <v>2480.1</v>
      </c>
      <c r="I381">
        <v>1979.03</v>
      </c>
      <c r="J381">
        <v>120</v>
      </c>
      <c r="K381">
        <v>3</v>
      </c>
      <c r="L381" t="s">
        <v>184</v>
      </c>
      <c r="M381">
        <v>272</v>
      </c>
      <c r="N381">
        <v>1</v>
      </c>
      <c r="O381">
        <v>18</v>
      </c>
      <c r="P381" t="s">
        <v>216</v>
      </c>
      <c r="Q381" t="s">
        <v>219</v>
      </c>
      <c r="R381">
        <f t="shared" si="24"/>
        <v>8</v>
      </c>
      <c r="S381">
        <f t="shared" si="21"/>
        <v>1.1277533039647578</v>
      </c>
      <c r="T381" t="str">
        <f t="shared" si="22"/>
        <v>Low Risk</v>
      </c>
      <c r="U381" t="str">
        <f t="shared" si="23"/>
        <v>Maintain Stock</v>
      </c>
    </row>
    <row r="382" spans="1:21" x14ac:dyDescent="0.25">
      <c r="A382">
        <v>381</v>
      </c>
      <c r="B382" t="s">
        <v>83</v>
      </c>
      <c r="C382" t="s">
        <v>117</v>
      </c>
      <c r="D382" t="s">
        <v>122</v>
      </c>
      <c r="E382">
        <v>176</v>
      </c>
      <c r="F382">
        <v>195</v>
      </c>
      <c r="G382">
        <v>210</v>
      </c>
      <c r="H382">
        <v>1395.11</v>
      </c>
      <c r="I382">
        <v>990.91</v>
      </c>
      <c r="J382">
        <v>139</v>
      </c>
      <c r="K382">
        <v>11</v>
      </c>
      <c r="L382" t="s">
        <v>166</v>
      </c>
      <c r="M382">
        <v>298</v>
      </c>
      <c r="N382">
        <v>5</v>
      </c>
      <c r="O382">
        <v>45</v>
      </c>
      <c r="P382" t="s">
        <v>215</v>
      </c>
      <c r="Q382" t="s">
        <v>217</v>
      </c>
      <c r="R382">
        <f t="shared" si="24"/>
        <v>-15</v>
      </c>
      <c r="S382">
        <f t="shared" si="21"/>
        <v>1.1079545454545454</v>
      </c>
      <c r="T382" t="str">
        <f t="shared" si="22"/>
        <v>Low Risk</v>
      </c>
      <c r="U382" t="str">
        <f t="shared" si="23"/>
        <v>Maintain Stock</v>
      </c>
    </row>
    <row r="383" spans="1:21" x14ac:dyDescent="0.25">
      <c r="A383">
        <v>382</v>
      </c>
      <c r="B383" t="s">
        <v>52</v>
      </c>
      <c r="C383" t="s">
        <v>119</v>
      </c>
      <c r="D383" t="s">
        <v>121</v>
      </c>
      <c r="E383">
        <v>388</v>
      </c>
      <c r="F383">
        <v>122</v>
      </c>
      <c r="G383">
        <v>147</v>
      </c>
      <c r="H383">
        <v>3677.38</v>
      </c>
      <c r="I383">
        <v>2181.64</v>
      </c>
      <c r="J383">
        <v>32</v>
      </c>
      <c r="K383">
        <v>3</v>
      </c>
      <c r="L383" t="s">
        <v>190</v>
      </c>
      <c r="M383">
        <v>100</v>
      </c>
      <c r="N383">
        <v>4</v>
      </c>
      <c r="O383">
        <v>16</v>
      </c>
      <c r="P383" t="s">
        <v>215</v>
      </c>
      <c r="Q383" t="s">
        <v>219</v>
      </c>
      <c r="R383">
        <f t="shared" si="24"/>
        <v>-25</v>
      </c>
      <c r="S383">
        <f t="shared" si="21"/>
        <v>0.31443298969072164</v>
      </c>
      <c r="T383" t="str">
        <f t="shared" si="22"/>
        <v>High Risk</v>
      </c>
      <c r="U383" t="str">
        <f t="shared" si="23"/>
        <v>Apply Discount / Promotion</v>
      </c>
    </row>
    <row r="384" spans="1:21" x14ac:dyDescent="0.25">
      <c r="A384">
        <v>383</v>
      </c>
      <c r="B384" t="s">
        <v>34</v>
      </c>
      <c r="C384" t="s">
        <v>116</v>
      </c>
      <c r="D384" t="s">
        <v>122</v>
      </c>
      <c r="E384">
        <v>447</v>
      </c>
      <c r="F384">
        <v>148</v>
      </c>
      <c r="G384">
        <v>184</v>
      </c>
      <c r="H384">
        <v>2457.6799999999998</v>
      </c>
      <c r="I384">
        <v>1364.65</v>
      </c>
      <c r="J384">
        <v>61</v>
      </c>
      <c r="K384">
        <v>7</v>
      </c>
      <c r="L384" t="s">
        <v>198</v>
      </c>
      <c r="M384">
        <v>165</v>
      </c>
      <c r="N384">
        <v>5</v>
      </c>
      <c r="O384">
        <v>10</v>
      </c>
      <c r="P384" t="s">
        <v>215</v>
      </c>
      <c r="Q384" t="s">
        <v>217</v>
      </c>
      <c r="R384">
        <f t="shared" si="24"/>
        <v>-36</v>
      </c>
      <c r="S384">
        <f t="shared" si="21"/>
        <v>0.33109619686800895</v>
      </c>
      <c r="T384" t="str">
        <f t="shared" si="22"/>
        <v>High Risk</v>
      </c>
      <c r="U384" t="str">
        <f t="shared" si="23"/>
        <v>Apply Discount / Promotion</v>
      </c>
    </row>
    <row r="385" spans="1:21" x14ac:dyDescent="0.25">
      <c r="A385">
        <v>384</v>
      </c>
      <c r="B385" t="s">
        <v>112</v>
      </c>
      <c r="C385" t="s">
        <v>117</v>
      </c>
      <c r="D385" t="s">
        <v>123</v>
      </c>
      <c r="E385">
        <v>105</v>
      </c>
      <c r="F385">
        <v>168</v>
      </c>
      <c r="G385">
        <v>188</v>
      </c>
      <c r="H385">
        <v>2838.9</v>
      </c>
      <c r="I385">
        <v>1618.35</v>
      </c>
      <c r="J385">
        <v>80</v>
      </c>
      <c r="K385">
        <v>7</v>
      </c>
      <c r="L385" t="s">
        <v>168</v>
      </c>
      <c r="M385">
        <v>62</v>
      </c>
      <c r="N385">
        <v>3</v>
      </c>
      <c r="O385">
        <v>43</v>
      </c>
      <c r="P385" t="s">
        <v>215</v>
      </c>
      <c r="Q385" t="s">
        <v>218</v>
      </c>
      <c r="R385">
        <f t="shared" si="24"/>
        <v>-20</v>
      </c>
      <c r="S385">
        <f t="shared" si="21"/>
        <v>1.6</v>
      </c>
      <c r="T385" t="str">
        <f t="shared" si="22"/>
        <v>Low Risk</v>
      </c>
      <c r="U385" t="str">
        <f t="shared" si="23"/>
        <v>Maintain Stock</v>
      </c>
    </row>
    <row r="386" spans="1:21" x14ac:dyDescent="0.25">
      <c r="A386">
        <v>385</v>
      </c>
      <c r="B386" t="s">
        <v>86</v>
      </c>
      <c r="C386" t="s">
        <v>117</v>
      </c>
      <c r="D386" t="s">
        <v>121</v>
      </c>
      <c r="E386">
        <v>335</v>
      </c>
      <c r="F386">
        <v>229</v>
      </c>
      <c r="G386">
        <v>279</v>
      </c>
      <c r="H386">
        <v>4882.2700000000004</v>
      </c>
      <c r="I386">
        <v>3007.18</v>
      </c>
      <c r="J386">
        <v>65</v>
      </c>
      <c r="K386">
        <v>14</v>
      </c>
      <c r="L386" t="s">
        <v>194</v>
      </c>
      <c r="M386">
        <v>158</v>
      </c>
      <c r="N386">
        <v>2</v>
      </c>
      <c r="O386">
        <v>46</v>
      </c>
      <c r="P386" t="s">
        <v>216</v>
      </c>
      <c r="Q386" t="s">
        <v>219</v>
      </c>
      <c r="R386">
        <f t="shared" si="24"/>
        <v>-50</v>
      </c>
      <c r="S386">
        <f t="shared" ref="S386:S449" si="25">F386/E386</f>
        <v>0.68358208955223876</v>
      </c>
      <c r="T386" t="str">
        <f t="shared" si="22"/>
        <v>Medium Risk</v>
      </c>
      <c r="U386" t="str">
        <f t="shared" si="23"/>
        <v>Monitor Sales</v>
      </c>
    </row>
    <row r="387" spans="1:21" x14ac:dyDescent="0.25">
      <c r="A387">
        <v>386</v>
      </c>
      <c r="B387" t="s">
        <v>79</v>
      </c>
      <c r="C387" t="s">
        <v>120</v>
      </c>
      <c r="D387" t="s">
        <v>122</v>
      </c>
      <c r="E387">
        <v>141</v>
      </c>
      <c r="F387">
        <v>10</v>
      </c>
      <c r="G387">
        <v>38</v>
      </c>
      <c r="H387">
        <v>2473.75</v>
      </c>
      <c r="I387">
        <v>1864.25</v>
      </c>
      <c r="J387">
        <v>38</v>
      </c>
      <c r="K387">
        <v>7</v>
      </c>
      <c r="L387" t="s">
        <v>150</v>
      </c>
      <c r="M387">
        <v>298</v>
      </c>
      <c r="N387">
        <v>2</v>
      </c>
      <c r="O387">
        <v>1</v>
      </c>
      <c r="P387" t="s">
        <v>215</v>
      </c>
      <c r="Q387" t="s">
        <v>217</v>
      </c>
      <c r="R387">
        <f t="shared" si="24"/>
        <v>-28</v>
      </c>
      <c r="S387">
        <f t="shared" si="25"/>
        <v>7.0921985815602842E-2</v>
      </c>
      <c r="T387" t="str">
        <f t="shared" ref="T387:T450" si="26">IF(S387&lt;0.5,"High Risk",IF(S387&lt;1,"Medium Risk","Low Risk"))</f>
        <v>High Risk</v>
      </c>
      <c r="U387" t="str">
        <f t="shared" ref="U387:U450" si="27">IF(T387="High Risk","Apply Discount / Promotion",
IF(T387="Medium Risk","Monitor Sales",
"Maintain Stock"))</f>
        <v>Apply Discount / Promotion</v>
      </c>
    </row>
    <row r="388" spans="1:21" x14ac:dyDescent="0.25">
      <c r="A388">
        <v>387</v>
      </c>
      <c r="B388" t="s">
        <v>89</v>
      </c>
      <c r="C388" t="s">
        <v>116</v>
      </c>
      <c r="D388" t="s">
        <v>122</v>
      </c>
      <c r="E388">
        <v>151</v>
      </c>
      <c r="F388">
        <v>156</v>
      </c>
      <c r="G388">
        <v>106</v>
      </c>
      <c r="H388">
        <v>524.75</v>
      </c>
      <c r="I388">
        <v>276.93</v>
      </c>
      <c r="J388">
        <v>126</v>
      </c>
      <c r="K388">
        <v>11</v>
      </c>
      <c r="L388" t="s">
        <v>160</v>
      </c>
      <c r="M388">
        <v>73</v>
      </c>
      <c r="N388">
        <v>4</v>
      </c>
      <c r="O388">
        <v>25</v>
      </c>
      <c r="P388" t="s">
        <v>215</v>
      </c>
      <c r="Q388" t="s">
        <v>217</v>
      </c>
      <c r="R388">
        <f t="shared" si="24"/>
        <v>50</v>
      </c>
      <c r="S388">
        <f t="shared" si="25"/>
        <v>1.0331125827814569</v>
      </c>
      <c r="T388" t="str">
        <f t="shared" si="26"/>
        <v>Low Risk</v>
      </c>
      <c r="U388" t="str">
        <f t="shared" si="27"/>
        <v>Maintain Stock</v>
      </c>
    </row>
    <row r="389" spans="1:21" x14ac:dyDescent="0.25">
      <c r="A389">
        <v>388</v>
      </c>
      <c r="B389" t="s">
        <v>113</v>
      </c>
      <c r="C389" t="s">
        <v>119</v>
      </c>
      <c r="D389" t="s">
        <v>122</v>
      </c>
      <c r="E389">
        <v>457</v>
      </c>
      <c r="F389">
        <v>120</v>
      </c>
      <c r="G389">
        <v>166</v>
      </c>
      <c r="H389">
        <v>2377.02</v>
      </c>
      <c r="I389">
        <v>1685.07</v>
      </c>
      <c r="J389">
        <v>103</v>
      </c>
      <c r="K389">
        <v>3</v>
      </c>
      <c r="L389" t="s">
        <v>139</v>
      </c>
      <c r="M389">
        <v>326</v>
      </c>
      <c r="N389">
        <v>1</v>
      </c>
      <c r="O389">
        <v>17</v>
      </c>
      <c r="P389" t="s">
        <v>215</v>
      </c>
      <c r="Q389" t="s">
        <v>217</v>
      </c>
      <c r="R389">
        <f t="shared" si="24"/>
        <v>-46</v>
      </c>
      <c r="S389">
        <f t="shared" si="25"/>
        <v>0.26258205689277897</v>
      </c>
      <c r="T389" t="str">
        <f t="shared" si="26"/>
        <v>High Risk</v>
      </c>
      <c r="U389" t="str">
        <f t="shared" si="27"/>
        <v>Apply Discount / Promotion</v>
      </c>
    </row>
    <row r="390" spans="1:21" x14ac:dyDescent="0.25">
      <c r="A390">
        <v>389</v>
      </c>
      <c r="B390" t="s">
        <v>76</v>
      </c>
      <c r="C390" t="s">
        <v>116</v>
      </c>
      <c r="D390" t="s">
        <v>122</v>
      </c>
      <c r="E390">
        <v>319</v>
      </c>
      <c r="F390">
        <v>128</v>
      </c>
      <c r="G390">
        <v>149</v>
      </c>
      <c r="H390">
        <v>691.25</v>
      </c>
      <c r="I390">
        <v>345.76</v>
      </c>
      <c r="J390">
        <v>116</v>
      </c>
      <c r="K390">
        <v>7</v>
      </c>
      <c r="L390" t="s">
        <v>127</v>
      </c>
      <c r="M390">
        <v>160</v>
      </c>
      <c r="N390">
        <v>4</v>
      </c>
      <c r="O390">
        <v>26</v>
      </c>
      <c r="P390" t="s">
        <v>216</v>
      </c>
      <c r="Q390" t="s">
        <v>218</v>
      </c>
      <c r="R390">
        <f t="shared" si="24"/>
        <v>-21</v>
      </c>
      <c r="S390">
        <f t="shared" si="25"/>
        <v>0.40125391849529779</v>
      </c>
      <c r="T390" t="str">
        <f t="shared" si="26"/>
        <v>High Risk</v>
      </c>
      <c r="U390" t="str">
        <f t="shared" si="27"/>
        <v>Apply Discount / Promotion</v>
      </c>
    </row>
    <row r="391" spans="1:21" x14ac:dyDescent="0.25">
      <c r="A391">
        <v>390</v>
      </c>
      <c r="B391" t="s">
        <v>38</v>
      </c>
      <c r="C391" t="s">
        <v>116</v>
      </c>
      <c r="D391" t="s">
        <v>123</v>
      </c>
      <c r="E391">
        <v>425</v>
      </c>
      <c r="F391">
        <v>105</v>
      </c>
      <c r="G391">
        <v>92</v>
      </c>
      <c r="H391">
        <v>1180.51</v>
      </c>
      <c r="I391">
        <v>899.79</v>
      </c>
      <c r="J391">
        <v>130</v>
      </c>
      <c r="K391">
        <v>15</v>
      </c>
      <c r="L391" t="s">
        <v>158</v>
      </c>
      <c r="M391">
        <v>254</v>
      </c>
      <c r="N391">
        <v>2</v>
      </c>
      <c r="O391">
        <v>2</v>
      </c>
      <c r="P391" t="s">
        <v>215</v>
      </c>
      <c r="Q391" t="s">
        <v>218</v>
      </c>
      <c r="R391">
        <f t="shared" si="24"/>
        <v>13</v>
      </c>
      <c r="S391">
        <f t="shared" si="25"/>
        <v>0.24705882352941178</v>
      </c>
      <c r="T391" t="str">
        <f t="shared" si="26"/>
        <v>High Risk</v>
      </c>
      <c r="U391" t="str">
        <f t="shared" si="27"/>
        <v>Apply Discount / Promotion</v>
      </c>
    </row>
    <row r="392" spans="1:21" x14ac:dyDescent="0.25">
      <c r="A392">
        <v>391</v>
      </c>
      <c r="B392" t="s">
        <v>77</v>
      </c>
      <c r="C392" t="s">
        <v>120</v>
      </c>
      <c r="D392" t="s">
        <v>123</v>
      </c>
      <c r="E392">
        <v>146</v>
      </c>
      <c r="F392">
        <v>134</v>
      </c>
      <c r="G392">
        <v>116</v>
      </c>
      <c r="H392">
        <v>4932.96</v>
      </c>
      <c r="I392">
        <v>3330.17</v>
      </c>
      <c r="J392">
        <v>145</v>
      </c>
      <c r="K392">
        <v>5</v>
      </c>
      <c r="L392" t="s">
        <v>201</v>
      </c>
      <c r="M392">
        <v>153</v>
      </c>
      <c r="N392">
        <v>5</v>
      </c>
      <c r="O392">
        <v>34</v>
      </c>
      <c r="P392" t="s">
        <v>216</v>
      </c>
      <c r="Q392" t="s">
        <v>219</v>
      </c>
      <c r="R392">
        <f t="shared" si="24"/>
        <v>18</v>
      </c>
      <c r="S392">
        <f t="shared" si="25"/>
        <v>0.9178082191780822</v>
      </c>
      <c r="T392" t="str">
        <f t="shared" si="26"/>
        <v>Medium Risk</v>
      </c>
      <c r="U392" t="str">
        <f t="shared" si="27"/>
        <v>Monitor Sales</v>
      </c>
    </row>
    <row r="393" spans="1:21" x14ac:dyDescent="0.25">
      <c r="A393">
        <v>392</v>
      </c>
      <c r="B393" t="s">
        <v>42</v>
      </c>
      <c r="C393" t="s">
        <v>120</v>
      </c>
      <c r="D393" t="s">
        <v>124</v>
      </c>
      <c r="E393">
        <v>363</v>
      </c>
      <c r="F393">
        <v>394</v>
      </c>
      <c r="G393">
        <v>374</v>
      </c>
      <c r="H393">
        <v>2822.14</v>
      </c>
      <c r="I393">
        <v>1493.79</v>
      </c>
      <c r="J393">
        <v>105</v>
      </c>
      <c r="K393">
        <v>14</v>
      </c>
      <c r="L393" t="s">
        <v>210</v>
      </c>
      <c r="M393">
        <v>126</v>
      </c>
      <c r="N393">
        <v>4</v>
      </c>
      <c r="O393">
        <v>36</v>
      </c>
      <c r="P393" t="s">
        <v>216</v>
      </c>
      <c r="Q393" t="s">
        <v>218</v>
      </c>
      <c r="R393">
        <f t="shared" si="24"/>
        <v>20</v>
      </c>
      <c r="S393">
        <f t="shared" si="25"/>
        <v>1.0853994490358128</v>
      </c>
      <c r="T393" t="str">
        <f t="shared" si="26"/>
        <v>Low Risk</v>
      </c>
      <c r="U393" t="str">
        <f t="shared" si="27"/>
        <v>Maintain Stock</v>
      </c>
    </row>
    <row r="394" spans="1:21" x14ac:dyDescent="0.25">
      <c r="A394">
        <v>393</v>
      </c>
      <c r="B394" t="s">
        <v>102</v>
      </c>
      <c r="C394" t="s">
        <v>120</v>
      </c>
      <c r="D394" t="s">
        <v>121</v>
      </c>
      <c r="E394">
        <v>230</v>
      </c>
      <c r="F394">
        <v>368</v>
      </c>
      <c r="G394">
        <v>360</v>
      </c>
      <c r="H394">
        <v>3251.07</v>
      </c>
      <c r="I394">
        <v>2272.1799999999998</v>
      </c>
      <c r="J394">
        <v>92</v>
      </c>
      <c r="K394">
        <v>1</v>
      </c>
      <c r="L394" t="s">
        <v>205</v>
      </c>
      <c r="M394">
        <v>66</v>
      </c>
      <c r="N394">
        <v>4</v>
      </c>
      <c r="O394">
        <v>10</v>
      </c>
      <c r="P394" t="s">
        <v>215</v>
      </c>
      <c r="Q394" t="s">
        <v>219</v>
      </c>
      <c r="R394">
        <f t="shared" si="24"/>
        <v>8</v>
      </c>
      <c r="S394">
        <f t="shared" si="25"/>
        <v>1.6</v>
      </c>
      <c r="T394" t="str">
        <f t="shared" si="26"/>
        <v>Low Risk</v>
      </c>
      <c r="U394" t="str">
        <f t="shared" si="27"/>
        <v>Maintain Stock</v>
      </c>
    </row>
    <row r="395" spans="1:21" x14ac:dyDescent="0.25">
      <c r="A395">
        <v>394</v>
      </c>
      <c r="B395" t="s">
        <v>78</v>
      </c>
      <c r="C395" t="s">
        <v>120</v>
      </c>
      <c r="D395" t="s">
        <v>123</v>
      </c>
      <c r="E395">
        <v>166</v>
      </c>
      <c r="F395">
        <v>201</v>
      </c>
      <c r="G395">
        <v>241</v>
      </c>
      <c r="H395">
        <v>1029.26</v>
      </c>
      <c r="I395">
        <v>822.22</v>
      </c>
      <c r="J395">
        <v>78</v>
      </c>
      <c r="K395">
        <v>13</v>
      </c>
      <c r="L395" t="s">
        <v>189</v>
      </c>
      <c r="M395">
        <v>178</v>
      </c>
      <c r="N395">
        <v>3</v>
      </c>
      <c r="O395">
        <v>2</v>
      </c>
      <c r="P395" t="s">
        <v>215</v>
      </c>
      <c r="Q395" t="s">
        <v>218</v>
      </c>
      <c r="R395">
        <f t="shared" ref="R395:R458" si="28">F395-G395</f>
        <v>-40</v>
      </c>
      <c r="S395">
        <f t="shared" si="25"/>
        <v>1.2108433734939759</v>
      </c>
      <c r="T395" t="str">
        <f t="shared" si="26"/>
        <v>Low Risk</v>
      </c>
      <c r="U395" t="str">
        <f t="shared" si="27"/>
        <v>Maintain Stock</v>
      </c>
    </row>
    <row r="396" spans="1:21" x14ac:dyDescent="0.25">
      <c r="A396">
        <v>395</v>
      </c>
      <c r="B396" t="s">
        <v>34</v>
      </c>
      <c r="C396" t="s">
        <v>117</v>
      </c>
      <c r="D396" t="s">
        <v>121</v>
      </c>
      <c r="E396">
        <v>456</v>
      </c>
      <c r="F396">
        <v>303</v>
      </c>
      <c r="G396">
        <v>267</v>
      </c>
      <c r="H396">
        <v>941.57</v>
      </c>
      <c r="I396">
        <v>692.51</v>
      </c>
      <c r="J396">
        <v>41</v>
      </c>
      <c r="K396">
        <v>7</v>
      </c>
      <c r="L396" t="s">
        <v>187</v>
      </c>
      <c r="M396">
        <v>281</v>
      </c>
      <c r="N396">
        <v>3</v>
      </c>
      <c r="O396">
        <v>38</v>
      </c>
      <c r="P396" t="s">
        <v>215</v>
      </c>
      <c r="Q396" t="s">
        <v>217</v>
      </c>
      <c r="R396">
        <f t="shared" si="28"/>
        <v>36</v>
      </c>
      <c r="S396">
        <f t="shared" si="25"/>
        <v>0.66447368421052633</v>
      </c>
      <c r="T396" t="str">
        <f t="shared" si="26"/>
        <v>Medium Risk</v>
      </c>
      <c r="U396" t="str">
        <f t="shared" si="27"/>
        <v>Monitor Sales</v>
      </c>
    </row>
    <row r="397" spans="1:21" x14ac:dyDescent="0.25">
      <c r="A397">
        <v>396</v>
      </c>
      <c r="B397" t="s">
        <v>66</v>
      </c>
      <c r="C397" t="s">
        <v>118</v>
      </c>
      <c r="D397" t="s">
        <v>121</v>
      </c>
      <c r="E397">
        <v>57</v>
      </c>
      <c r="F397">
        <v>334</v>
      </c>
      <c r="G397">
        <v>344</v>
      </c>
      <c r="H397">
        <v>375.48</v>
      </c>
      <c r="I397">
        <v>239.41</v>
      </c>
      <c r="J397">
        <v>148</v>
      </c>
      <c r="K397">
        <v>10</v>
      </c>
      <c r="L397" t="s">
        <v>155</v>
      </c>
      <c r="M397">
        <v>350</v>
      </c>
      <c r="N397">
        <v>3</v>
      </c>
      <c r="O397">
        <v>32</v>
      </c>
      <c r="P397" t="s">
        <v>215</v>
      </c>
      <c r="Q397" t="s">
        <v>217</v>
      </c>
      <c r="R397">
        <f t="shared" si="28"/>
        <v>-10</v>
      </c>
      <c r="S397">
        <f t="shared" si="25"/>
        <v>5.8596491228070171</v>
      </c>
      <c r="T397" t="str">
        <f t="shared" si="26"/>
        <v>Low Risk</v>
      </c>
      <c r="U397" t="str">
        <f t="shared" si="27"/>
        <v>Maintain Stock</v>
      </c>
    </row>
    <row r="398" spans="1:21" x14ac:dyDescent="0.25">
      <c r="A398">
        <v>397</v>
      </c>
      <c r="B398" t="s">
        <v>74</v>
      </c>
      <c r="C398" t="s">
        <v>120</v>
      </c>
      <c r="D398" t="s">
        <v>124</v>
      </c>
      <c r="E398">
        <v>63</v>
      </c>
      <c r="F398">
        <v>221</v>
      </c>
      <c r="G398">
        <v>203</v>
      </c>
      <c r="H398">
        <v>1925.99</v>
      </c>
      <c r="I398">
        <v>1213.68</v>
      </c>
      <c r="J398">
        <v>95</v>
      </c>
      <c r="K398">
        <v>13</v>
      </c>
      <c r="L398" t="s">
        <v>154</v>
      </c>
      <c r="M398">
        <v>192</v>
      </c>
      <c r="N398">
        <v>4</v>
      </c>
      <c r="O398">
        <v>4</v>
      </c>
      <c r="P398" t="s">
        <v>216</v>
      </c>
      <c r="Q398" t="s">
        <v>217</v>
      </c>
      <c r="R398">
        <f t="shared" si="28"/>
        <v>18</v>
      </c>
      <c r="S398">
        <f t="shared" si="25"/>
        <v>3.5079365079365079</v>
      </c>
      <c r="T398" t="str">
        <f t="shared" si="26"/>
        <v>Low Risk</v>
      </c>
      <c r="U398" t="str">
        <f t="shared" si="27"/>
        <v>Maintain Stock</v>
      </c>
    </row>
    <row r="399" spans="1:21" x14ac:dyDescent="0.25">
      <c r="A399">
        <v>398</v>
      </c>
      <c r="B399" t="s">
        <v>106</v>
      </c>
      <c r="C399" t="s">
        <v>116</v>
      </c>
      <c r="D399" t="s">
        <v>121</v>
      </c>
      <c r="E399">
        <v>141</v>
      </c>
      <c r="F399">
        <v>379</v>
      </c>
      <c r="G399">
        <v>333</v>
      </c>
      <c r="H399">
        <v>4337.78</v>
      </c>
      <c r="I399">
        <v>3241.61</v>
      </c>
      <c r="J399">
        <v>120</v>
      </c>
      <c r="K399">
        <v>5</v>
      </c>
      <c r="L399" t="s">
        <v>182</v>
      </c>
      <c r="M399">
        <v>271</v>
      </c>
      <c r="N399">
        <v>4</v>
      </c>
      <c r="O399">
        <v>50</v>
      </c>
      <c r="P399" t="s">
        <v>215</v>
      </c>
      <c r="Q399" t="s">
        <v>219</v>
      </c>
      <c r="R399">
        <f t="shared" si="28"/>
        <v>46</v>
      </c>
      <c r="S399">
        <f t="shared" si="25"/>
        <v>2.6879432624113475</v>
      </c>
      <c r="T399" t="str">
        <f t="shared" si="26"/>
        <v>Low Risk</v>
      </c>
      <c r="U399" t="str">
        <f t="shared" si="27"/>
        <v>Maintain Stock</v>
      </c>
    </row>
    <row r="400" spans="1:21" x14ac:dyDescent="0.25">
      <c r="A400">
        <v>399</v>
      </c>
      <c r="B400" t="s">
        <v>71</v>
      </c>
      <c r="C400" t="s">
        <v>118</v>
      </c>
      <c r="D400" t="s">
        <v>123</v>
      </c>
      <c r="E400">
        <v>57</v>
      </c>
      <c r="F400">
        <v>204</v>
      </c>
      <c r="G400">
        <v>168</v>
      </c>
      <c r="H400">
        <v>2428.2399999999998</v>
      </c>
      <c r="I400">
        <v>1379.39</v>
      </c>
      <c r="J400">
        <v>86</v>
      </c>
      <c r="K400">
        <v>12</v>
      </c>
      <c r="L400" t="s">
        <v>199</v>
      </c>
      <c r="M400">
        <v>35</v>
      </c>
      <c r="N400">
        <v>1</v>
      </c>
      <c r="O400">
        <v>21</v>
      </c>
      <c r="P400" t="s">
        <v>216</v>
      </c>
      <c r="Q400" t="s">
        <v>218</v>
      </c>
      <c r="R400">
        <f t="shared" si="28"/>
        <v>36</v>
      </c>
      <c r="S400">
        <f t="shared" si="25"/>
        <v>3.5789473684210527</v>
      </c>
      <c r="T400" t="str">
        <f t="shared" si="26"/>
        <v>Low Risk</v>
      </c>
      <c r="U400" t="str">
        <f t="shared" si="27"/>
        <v>Maintain Stock</v>
      </c>
    </row>
    <row r="401" spans="1:21" x14ac:dyDescent="0.25">
      <c r="A401">
        <v>400</v>
      </c>
      <c r="B401" t="s">
        <v>47</v>
      </c>
      <c r="C401" t="s">
        <v>117</v>
      </c>
      <c r="D401" t="s">
        <v>124</v>
      </c>
      <c r="E401">
        <v>28</v>
      </c>
      <c r="F401">
        <v>159</v>
      </c>
      <c r="G401">
        <v>121</v>
      </c>
      <c r="H401">
        <v>1993.22</v>
      </c>
      <c r="I401">
        <v>1492.1</v>
      </c>
      <c r="J401">
        <v>53</v>
      </c>
      <c r="K401">
        <v>8</v>
      </c>
      <c r="L401" t="s">
        <v>173</v>
      </c>
      <c r="M401">
        <v>184</v>
      </c>
      <c r="N401">
        <v>4</v>
      </c>
      <c r="O401">
        <v>13</v>
      </c>
      <c r="P401" t="s">
        <v>215</v>
      </c>
      <c r="Q401" t="s">
        <v>219</v>
      </c>
      <c r="R401">
        <f t="shared" si="28"/>
        <v>38</v>
      </c>
      <c r="S401">
        <f t="shared" si="25"/>
        <v>5.6785714285714288</v>
      </c>
      <c r="T401" t="str">
        <f t="shared" si="26"/>
        <v>Low Risk</v>
      </c>
      <c r="U401" t="str">
        <f t="shared" si="27"/>
        <v>Maintain Stock</v>
      </c>
    </row>
    <row r="402" spans="1:21" x14ac:dyDescent="0.25">
      <c r="A402">
        <v>401</v>
      </c>
      <c r="B402" t="s">
        <v>39</v>
      </c>
      <c r="C402" t="s">
        <v>117</v>
      </c>
      <c r="D402" t="s">
        <v>121</v>
      </c>
      <c r="E402">
        <v>158</v>
      </c>
      <c r="F402">
        <v>132</v>
      </c>
      <c r="G402">
        <v>109</v>
      </c>
      <c r="H402">
        <v>4639</v>
      </c>
      <c r="I402">
        <v>2419.13</v>
      </c>
      <c r="J402">
        <v>144</v>
      </c>
      <c r="K402">
        <v>11</v>
      </c>
      <c r="L402" t="s">
        <v>140</v>
      </c>
      <c r="M402">
        <v>297</v>
      </c>
      <c r="N402">
        <v>4</v>
      </c>
      <c r="O402">
        <v>24</v>
      </c>
      <c r="P402" t="s">
        <v>215</v>
      </c>
      <c r="Q402" t="s">
        <v>217</v>
      </c>
      <c r="R402">
        <f t="shared" si="28"/>
        <v>23</v>
      </c>
      <c r="S402">
        <f t="shared" si="25"/>
        <v>0.83544303797468356</v>
      </c>
      <c r="T402" t="str">
        <f t="shared" si="26"/>
        <v>Medium Risk</v>
      </c>
      <c r="U402" t="str">
        <f t="shared" si="27"/>
        <v>Monitor Sales</v>
      </c>
    </row>
    <row r="403" spans="1:21" x14ac:dyDescent="0.25">
      <c r="A403">
        <v>402</v>
      </c>
      <c r="B403" t="s">
        <v>44</v>
      </c>
      <c r="C403" t="s">
        <v>117</v>
      </c>
      <c r="D403" t="s">
        <v>121</v>
      </c>
      <c r="E403">
        <v>73</v>
      </c>
      <c r="F403">
        <v>151</v>
      </c>
      <c r="G403">
        <v>161</v>
      </c>
      <c r="H403">
        <v>3999.44</v>
      </c>
      <c r="I403">
        <v>2393.89</v>
      </c>
      <c r="J403">
        <v>57</v>
      </c>
      <c r="K403">
        <v>3</v>
      </c>
      <c r="L403" t="s">
        <v>183</v>
      </c>
      <c r="M403">
        <v>135</v>
      </c>
      <c r="N403">
        <v>1</v>
      </c>
      <c r="O403">
        <v>8</v>
      </c>
      <c r="P403" t="s">
        <v>216</v>
      </c>
      <c r="Q403" t="s">
        <v>218</v>
      </c>
      <c r="R403">
        <f t="shared" si="28"/>
        <v>-10</v>
      </c>
      <c r="S403">
        <f t="shared" si="25"/>
        <v>2.0684931506849313</v>
      </c>
      <c r="T403" t="str">
        <f t="shared" si="26"/>
        <v>Low Risk</v>
      </c>
      <c r="U403" t="str">
        <f t="shared" si="27"/>
        <v>Maintain Stock</v>
      </c>
    </row>
    <row r="404" spans="1:21" x14ac:dyDescent="0.25">
      <c r="A404">
        <v>403</v>
      </c>
      <c r="B404" t="s">
        <v>95</v>
      </c>
      <c r="C404" t="s">
        <v>117</v>
      </c>
      <c r="D404" t="s">
        <v>122</v>
      </c>
      <c r="E404">
        <v>187</v>
      </c>
      <c r="F404">
        <v>251</v>
      </c>
      <c r="G404">
        <v>231</v>
      </c>
      <c r="H404">
        <v>3477.06</v>
      </c>
      <c r="I404">
        <v>2556.96</v>
      </c>
      <c r="J404">
        <v>76</v>
      </c>
      <c r="K404">
        <v>1</v>
      </c>
      <c r="L404" t="s">
        <v>136</v>
      </c>
      <c r="M404">
        <v>310</v>
      </c>
      <c r="N404">
        <v>3</v>
      </c>
      <c r="O404">
        <v>42</v>
      </c>
      <c r="P404" t="s">
        <v>216</v>
      </c>
      <c r="Q404" t="s">
        <v>218</v>
      </c>
      <c r="R404">
        <f t="shared" si="28"/>
        <v>20</v>
      </c>
      <c r="S404">
        <f t="shared" si="25"/>
        <v>1.3422459893048129</v>
      </c>
      <c r="T404" t="str">
        <f t="shared" si="26"/>
        <v>Low Risk</v>
      </c>
      <c r="U404" t="str">
        <f t="shared" si="27"/>
        <v>Maintain Stock</v>
      </c>
    </row>
    <row r="405" spans="1:21" x14ac:dyDescent="0.25">
      <c r="A405">
        <v>404</v>
      </c>
      <c r="B405" t="s">
        <v>47</v>
      </c>
      <c r="C405" t="s">
        <v>118</v>
      </c>
      <c r="D405" t="s">
        <v>124</v>
      </c>
      <c r="E405">
        <v>216</v>
      </c>
      <c r="F405">
        <v>285</v>
      </c>
      <c r="G405">
        <v>288</v>
      </c>
      <c r="H405">
        <v>4040.39</v>
      </c>
      <c r="I405">
        <v>2374.1</v>
      </c>
      <c r="J405">
        <v>138</v>
      </c>
      <c r="K405">
        <v>10</v>
      </c>
      <c r="L405" t="s">
        <v>156</v>
      </c>
      <c r="M405">
        <v>168</v>
      </c>
      <c r="N405">
        <v>1</v>
      </c>
      <c r="O405">
        <v>38</v>
      </c>
      <c r="P405" t="s">
        <v>215</v>
      </c>
      <c r="Q405" t="s">
        <v>219</v>
      </c>
      <c r="R405">
        <f t="shared" si="28"/>
        <v>-3</v>
      </c>
      <c r="S405">
        <f t="shared" si="25"/>
        <v>1.3194444444444444</v>
      </c>
      <c r="T405" t="str">
        <f t="shared" si="26"/>
        <v>Low Risk</v>
      </c>
      <c r="U405" t="str">
        <f t="shared" si="27"/>
        <v>Maintain Stock</v>
      </c>
    </row>
    <row r="406" spans="1:21" x14ac:dyDescent="0.25">
      <c r="A406">
        <v>405</v>
      </c>
      <c r="B406" t="s">
        <v>49</v>
      </c>
      <c r="C406" t="s">
        <v>118</v>
      </c>
      <c r="D406" t="s">
        <v>122</v>
      </c>
      <c r="E406">
        <v>354</v>
      </c>
      <c r="F406">
        <v>77</v>
      </c>
      <c r="G406">
        <v>86</v>
      </c>
      <c r="H406">
        <v>3753.37</v>
      </c>
      <c r="I406">
        <v>2372.5500000000002</v>
      </c>
      <c r="J406">
        <v>44</v>
      </c>
      <c r="K406">
        <v>3</v>
      </c>
      <c r="L406" t="s">
        <v>139</v>
      </c>
      <c r="M406">
        <v>258</v>
      </c>
      <c r="N406">
        <v>1</v>
      </c>
      <c r="O406">
        <v>13</v>
      </c>
      <c r="P406" t="s">
        <v>215</v>
      </c>
      <c r="Q406" t="s">
        <v>217</v>
      </c>
      <c r="R406">
        <f t="shared" si="28"/>
        <v>-9</v>
      </c>
      <c r="S406">
        <f t="shared" si="25"/>
        <v>0.2175141242937853</v>
      </c>
      <c r="T406" t="str">
        <f t="shared" si="26"/>
        <v>High Risk</v>
      </c>
      <c r="U406" t="str">
        <f t="shared" si="27"/>
        <v>Apply Discount / Promotion</v>
      </c>
    </row>
    <row r="407" spans="1:21" x14ac:dyDescent="0.25">
      <c r="A407">
        <v>406</v>
      </c>
      <c r="B407" t="s">
        <v>44</v>
      </c>
      <c r="C407" t="s">
        <v>116</v>
      </c>
      <c r="D407" t="s">
        <v>124</v>
      </c>
      <c r="E407">
        <v>132</v>
      </c>
      <c r="F407">
        <v>0</v>
      </c>
      <c r="G407">
        <v>10</v>
      </c>
      <c r="H407">
        <v>460.62</v>
      </c>
      <c r="I407">
        <v>297.89999999999998</v>
      </c>
      <c r="J407">
        <v>137</v>
      </c>
      <c r="K407">
        <v>8</v>
      </c>
      <c r="L407" t="s">
        <v>195</v>
      </c>
      <c r="M407">
        <v>223</v>
      </c>
      <c r="N407">
        <v>2</v>
      </c>
      <c r="O407">
        <v>25</v>
      </c>
      <c r="P407" t="s">
        <v>215</v>
      </c>
      <c r="Q407" t="s">
        <v>218</v>
      </c>
      <c r="R407">
        <f t="shared" si="28"/>
        <v>-10</v>
      </c>
      <c r="S407">
        <f t="shared" si="25"/>
        <v>0</v>
      </c>
      <c r="T407" t="str">
        <f t="shared" si="26"/>
        <v>High Risk</v>
      </c>
      <c r="U407" t="str">
        <f t="shared" si="27"/>
        <v>Apply Discount / Promotion</v>
      </c>
    </row>
    <row r="408" spans="1:21" x14ac:dyDescent="0.25">
      <c r="A408">
        <v>407</v>
      </c>
      <c r="B408" t="s">
        <v>58</v>
      </c>
      <c r="C408" t="s">
        <v>116</v>
      </c>
      <c r="D408" t="s">
        <v>121</v>
      </c>
      <c r="E408">
        <v>265</v>
      </c>
      <c r="F408">
        <v>103</v>
      </c>
      <c r="G408">
        <v>62</v>
      </c>
      <c r="H408">
        <v>3514.3</v>
      </c>
      <c r="I408">
        <v>2096.39</v>
      </c>
      <c r="J408">
        <v>76</v>
      </c>
      <c r="K408">
        <v>7</v>
      </c>
      <c r="L408" t="s">
        <v>190</v>
      </c>
      <c r="M408">
        <v>356</v>
      </c>
      <c r="N408">
        <v>2</v>
      </c>
      <c r="O408">
        <v>47</v>
      </c>
      <c r="P408" t="s">
        <v>216</v>
      </c>
      <c r="Q408" t="s">
        <v>218</v>
      </c>
      <c r="R408">
        <f t="shared" si="28"/>
        <v>41</v>
      </c>
      <c r="S408">
        <f t="shared" si="25"/>
        <v>0.38867924528301889</v>
      </c>
      <c r="T408" t="str">
        <f t="shared" si="26"/>
        <v>High Risk</v>
      </c>
      <c r="U408" t="str">
        <f t="shared" si="27"/>
        <v>Apply Discount / Promotion</v>
      </c>
    </row>
    <row r="409" spans="1:21" x14ac:dyDescent="0.25">
      <c r="A409">
        <v>408</v>
      </c>
      <c r="B409" t="s">
        <v>44</v>
      </c>
      <c r="C409" t="s">
        <v>120</v>
      </c>
      <c r="D409" t="s">
        <v>121</v>
      </c>
      <c r="E409">
        <v>234</v>
      </c>
      <c r="F409">
        <v>228</v>
      </c>
      <c r="G409">
        <v>198</v>
      </c>
      <c r="H409">
        <v>2972.35</v>
      </c>
      <c r="I409">
        <v>1990.86</v>
      </c>
      <c r="J409">
        <v>32</v>
      </c>
      <c r="K409">
        <v>14</v>
      </c>
      <c r="L409" t="s">
        <v>149</v>
      </c>
      <c r="M409">
        <v>303</v>
      </c>
      <c r="N409">
        <v>2</v>
      </c>
      <c r="O409">
        <v>23</v>
      </c>
      <c r="P409" t="s">
        <v>216</v>
      </c>
      <c r="Q409" t="s">
        <v>219</v>
      </c>
      <c r="R409">
        <f t="shared" si="28"/>
        <v>30</v>
      </c>
      <c r="S409">
        <f t="shared" si="25"/>
        <v>0.97435897435897434</v>
      </c>
      <c r="T409" t="str">
        <f t="shared" si="26"/>
        <v>Medium Risk</v>
      </c>
      <c r="U409" t="str">
        <f t="shared" si="27"/>
        <v>Monitor Sales</v>
      </c>
    </row>
    <row r="410" spans="1:21" x14ac:dyDescent="0.25">
      <c r="A410">
        <v>409</v>
      </c>
      <c r="B410" t="s">
        <v>48</v>
      </c>
      <c r="C410" t="s">
        <v>120</v>
      </c>
      <c r="D410" t="s">
        <v>124</v>
      </c>
      <c r="E410">
        <v>419</v>
      </c>
      <c r="F410">
        <v>121</v>
      </c>
      <c r="G410">
        <v>157</v>
      </c>
      <c r="H410">
        <v>3414.45</v>
      </c>
      <c r="I410">
        <v>2202.0700000000002</v>
      </c>
      <c r="J410">
        <v>51</v>
      </c>
      <c r="K410">
        <v>13</v>
      </c>
      <c r="L410" t="s">
        <v>129</v>
      </c>
      <c r="M410">
        <v>251</v>
      </c>
      <c r="N410">
        <v>1</v>
      </c>
      <c r="O410">
        <v>31</v>
      </c>
      <c r="P410" t="s">
        <v>216</v>
      </c>
      <c r="Q410" t="s">
        <v>218</v>
      </c>
      <c r="R410">
        <f t="shared" si="28"/>
        <v>-36</v>
      </c>
      <c r="S410">
        <f t="shared" si="25"/>
        <v>0.28878281622911695</v>
      </c>
      <c r="T410" t="str">
        <f t="shared" si="26"/>
        <v>High Risk</v>
      </c>
      <c r="U410" t="str">
        <f t="shared" si="27"/>
        <v>Apply Discount / Promotion</v>
      </c>
    </row>
    <row r="411" spans="1:21" x14ac:dyDescent="0.25">
      <c r="A411">
        <v>410</v>
      </c>
      <c r="B411" t="s">
        <v>102</v>
      </c>
      <c r="C411" t="s">
        <v>117</v>
      </c>
      <c r="D411" t="s">
        <v>124</v>
      </c>
      <c r="E411">
        <v>145</v>
      </c>
      <c r="F411">
        <v>365</v>
      </c>
      <c r="G411">
        <v>329</v>
      </c>
      <c r="H411">
        <v>4576.4399999999996</v>
      </c>
      <c r="I411">
        <v>3621.98</v>
      </c>
      <c r="J411">
        <v>67</v>
      </c>
      <c r="K411">
        <v>14</v>
      </c>
      <c r="L411" t="s">
        <v>191</v>
      </c>
      <c r="M411">
        <v>186</v>
      </c>
      <c r="N411">
        <v>3</v>
      </c>
      <c r="O411">
        <v>29</v>
      </c>
      <c r="P411" t="s">
        <v>215</v>
      </c>
      <c r="Q411" t="s">
        <v>217</v>
      </c>
      <c r="R411">
        <f t="shared" si="28"/>
        <v>36</v>
      </c>
      <c r="S411">
        <f t="shared" si="25"/>
        <v>2.5172413793103448</v>
      </c>
      <c r="T411" t="str">
        <f t="shared" si="26"/>
        <v>Low Risk</v>
      </c>
      <c r="U411" t="str">
        <f t="shared" si="27"/>
        <v>Maintain Stock</v>
      </c>
    </row>
    <row r="412" spans="1:21" x14ac:dyDescent="0.25">
      <c r="A412">
        <v>411</v>
      </c>
      <c r="B412" t="s">
        <v>63</v>
      </c>
      <c r="C412" t="s">
        <v>118</v>
      </c>
      <c r="D412" t="s">
        <v>124</v>
      </c>
      <c r="E412">
        <v>311</v>
      </c>
      <c r="F412">
        <v>382</v>
      </c>
      <c r="G412">
        <v>341</v>
      </c>
      <c r="H412">
        <v>3692.75</v>
      </c>
      <c r="I412">
        <v>2034.48</v>
      </c>
      <c r="J412">
        <v>123</v>
      </c>
      <c r="K412">
        <v>8</v>
      </c>
      <c r="L412" t="s">
        <v>201</v>
      </c>
      <c r="M412">
        <v>143</v>
      </c>
      <c r="N412">
        <v>1</v>
      </c>
      <c r="O412">
        <v>47</v>
      </c>
      <c r="P412" t="s">
        <v>215</v>
      </c>
      <c r="Q412" t="s">
        <v>219</v>
      </c>
      <c r="R412">
        <f t="shared" si="28"/>
        <v>41</v>
      </c>
      <c r="S412">
        <f t="shared" si="25"/>
        <v>1.2282958199356913</v>
      </c>
      <c r="T412" t="str">
        <f t="shared" si="26"/>
        <v>Low Risk</v>
      </c>
      <c r="U412" t="str">
        <f t="shared" si="27"/>
        <v>Maintain Stock</v>
      </c>
    </row>
    <row r="413" spans="1:21" x14ac:dyDescent="0.25">
      <c r="A413">
        <v>412</v>
      </c>
      <c r="B413" t="s">
        <v>38</v>
      </c>
      <c r="C413" t="s">
        <v>120</v>
      </c>
      <c r="D413" t="s">
        <v>121</v>
      </c>
      <c r="E413">
        <v>478</v>
      </c>
      <c r="F413">
        <v>22</v>
      </c>
      <c r="G413">
        <v>24</v>
      </c>
      <c r="H413">
        <v>278.91000000000003</v>
      </c>
      <c r="I413">
        <v>164.77</v>
      </c>
      <c r="J413">
        <v>82</v>
      </c>
      <c r="K413">
        <v>13</v>
      </c>
      <c r="L413" t="s">
        <v>156</v>
      </c>
      <c r="M413">
        <v>147</v>
      </c>
      <c r="N413">
        <v>4</v>
      </c>
      <c r="O413">
        <v>25</v>
      </c>
      <c r="P413" t="s">
        <v>216</v>
      </c>
      <c r="Q413" t="s">
        <v>217</v>
      </c>
      <c r="R413">
        <f t="shared" si="28"/>
        <v>-2</v>
      </c>
      <c r="S413">
        <f t="shared" si="25"/>
        <v>4.6025104602510462E-2</v>
      </c>
      <c r="T413" t="str">
        <f t="shared" si="26"/>
        <v>High Risk</v>
      </c>
      <c r="U413" t="str">
        <f t="shared" si="27"/>
        <v>Apply Discount / Promotion</v>
      </c>
    </row>
    <row r="414" spans="1:21" x14ac:dyDescent="0.25">
      <c r="A414">
        <v>413</v>
      </c>
      <c r="B414" t="s">
        <v>93</v>
      </c>
      <c r="C414" t="s">
        <v>118</v>
      </c>
      <c r="D414" t="s">
        <v>124</v>
      </c>
      <c r="E414">
        <v>498</v>
      </c>
      <c r="F414">
        <v>348</v>
      </c>
      <c r="G414">
        <v>395</v>
      </c>
      <c r="H414">
        <v>2445.9699999999998</v>
      </c>
      <c r="I414">
        <v>1282.0899999999999</v>
      </c>
      <c r="J414">
        <v>96</v>
      </c>
      <c r="K414">
        <v>15</v>
      </c>
      <c r="L414" t="s">
        <v>163</v>
      </c>
      <c r="M414">
        <v>278</v>
      </c>
      <c r="N414">
        <v>1</v>
      </c>
      <c r="O414">
        <v>3</v>
      </c>
      <c r="P414" t="s">
        <v>215</v>
      </c>
      <c r="Q414" t="s">
        <v>219</v>
      </c>
      <c r="R414">
        <f t="shared" si="28"/>
        <v>-47</v>
      </c>
      <c r="S414">
        <f t="shared" si="25"/>
        <v>0.6987951807228916</v>
      </c>
      <c r="T414" t="str">
        <f t="shared" si="26"/>
        <v>Medium Risk</v>
      </c>
      <c r="U414" t="str">
        <f t="shared" si="27"/>
        <v>Monitor Sales</v>
      </c>
    </row>
    <row r="415" spans="1:21" x14ac:dyDescent="0.25">
      <c r="A415">
        <v>414</v>
      </c>
      <c r="B415" t="s">
        <v>84</v>
      </c>
      <c r="C415" t="s">
        <v>116</v>
      </c>
      <c r="D415" t="s">
        <v>124</v>
      </c>
      <c r="E415">
        <v>76</v>
      </c>
      <c r="F415">
        <v>58</v>
      </c>
      <c r="G415">
        <v>33</v>
      </c>
      <c r="H415">
        <v>1118.06</v>
      </c>
      <c r="I415">
        <v>883.05</v>
      </c>
      <c r="J415">
        <v>62</v>
      </c>
      <c r="K415">
        <v>9</v>
      </c>
      <c r="L415" t="s">
        <v>181</v>
      </c>
      <c r="M415">
        <v>286</v>
      </c>
      <c r="N415">
        <v>3</v>
      </c>
      <c r="O415">
        <v>0</v>
      </c>
      <c r="P415" t="s">
        <v>215</v>
      </c>
      <c r="Q415" t="s">
        <v>217</v>
      </c>
      <c r="R415">
        <f t="shared" si="28"/>
        <v>25</v>
      </c>
      <c r="S415">
        <f t="shared" si="25"/>
        <v>0.76315789473684215</v>
      </c>
      <c r="T415" t="str">
        <f t="shared" si="26"/>
        <v>Medium Risk</v>
      </c>
      <c r="U415" t="str">
        <f t="shared" si="27"/>
        <v>Monitor Sales</v>
      </c>
    </row>
    <row r="416" spans="1:21" x14ac:dyDescent="0.25">
      <c r="A416">
        <v>415</v>
      </c>
      <c r="B416" t="s">
        <v>114</v>
      </c>
      <c r="C416" t="s">
        <v>120</v>
      </c>
      <c r="D416" t="s">
        <v>122</v>
      </c>
      <c r="E416">
        <v>236</v>
      </c>
      <c r="F416">
        <v>236</v>
      </c>
      <c r="G416">
        <v>195</v>
      </c>
      <c r="H416">
        <v>3757.89</v>
      </c>
      <c r="I416">
        <v>2759.43</v>
      </c>
      <c r="J416">
        <v>133</v>
      </c>
      <c r="K416">
        <v>7</v>
      </c>
      <c r="L416" t="s">
        <v>190</v>
      </c>
      <c r="M416">
        <v>122</v>
      </c>
      <c r="N416">
        <v>2</v>
      </c>
      <c r="O416">
        <v>47</v>
      </c>
      <c r="P416" t="s">
        <v>215</v>
      </c>
      <c r="Q416" t="s">
        <v>219</v>
      </c>
      <c r="R416">
        <f t="shared" si="28"/>
        <v>41</v>
      </c>
      <c r="S416">
        <f t="shared" si="25"/>
        <v>1</v>
      </c>
      <c r="T416" t="str">
        <f t="shared" si="26"/>
        <v>Low Risk</v>
      </c>
      <c r="U416" t="str">
        <f t="shared" si="27"/>
        <v>Maintain Stock</v>
      </c>
    </row>
    <row r="417" spans="1:21" x14ac:dyDescent="0.25">
      <c r="A417">
        <v>416</v>
      </c>
      <c r="B417" t="s">
        <v>50</v>
      </c>
      <c r="C417" t="s">
        <v>120</v>
      </c>
      <c r="D417" t="s">
        <v>122</v>
      </c>
      <c r="E417">
        <v>157</v>
      </c>
      <c r="F417">
        <v>379</v>
      </c>
      <c r="G417">
        <v>358</v>
      </c>
      <c r="H417">
        <v>3396.82</v>
      </c>
      <c r="I417">
        <v>1833.43</v>
      </c>
      <c r="J417">
        <v>61</v>
      </c>
      <c r="K417">
        <v>2</v>
      </c>
      <c r="L417" t="s">
        <v>177</v>
      </c>
      <c r="M417">
        <v>91</v>
      </c>
      <c r="N417">
        <v>2</v>
      </c>
      <c r="O417">
        <v>46</v>
      </c>
      <c r="P417" t="s">
        <v>215</v>
      </c>
      <c r="Q417" t="s">
        <v>217</v>
      </c>
      <c r="R417">
        <f t="shared" si="28"/>
        <v>21</v>
      </c>
      <c r="S417">
        <f t="shared" si="25"/>
        <v>2.4140127388535033</v>
      </c>
      <c r="T417" t="str">
        <f t="shared" si="26"/>
        <v>Low Risk</v>
      </c>
      <c r="U417" t="str">
        <f t="shared" si="27"/>
        <v>Maintain Stock</v>
      </c>
    </row>
    <row r="418" spans="1:21" x14ac:dyDescent="0.25">
      <c r="A418">
        <v>417</v>
      </c>
      <c r="B418" t="s">
        <v>64</v>
      </c>
      <c r="C418" t="s">
        <v>116</v>
      </c>
      <c r="D418" t="s">
        <v>121</v>
      </c>
      <c r="E418">
        <v>288</v>
      </c>
      <c r="F418">
        <v>318</v>
      </c>
      <c r="G418">
        <v>360</v>
      </c>
      <c r="H418">
        <v>2128.44</v>
      </c>
      <c r="I418">
        <v>1275</v>
      </c>
      <c r="J418">
        <v>134</v>
      </c>
      <c r="K418">
        <v>14</v>
      </c>
      <c r="L418" t="s">
        <v>163</v>
      </c>
      <c r="M418">
        <v>60</v>
      </c>
      <c r="N418">
        <v>5</v>
      </c>
      <c r="O418">
        <v>50</v>
      </c>
      <c r="P418" t="s">
        <v>215</v>
      </c>
      <c r="Q418" t="s">
        <v>217</v>
      </c>
      <c r="R418">
        <f t="shared" si="28"/>
        <v>-42</v>
      </c>
      <c r="S418">
        <f t="shared" si="25"/>
        <v>1.1041666666666667</v>
      </c>
      <c r="T418" t="str">
        <f t="shared" si="26"/>
        <v>Low Risk</v>
      </c>
      <c r="U418" t="str">
        <f t="shared" si="27"/>
        <v>Maintain Stock</v>
      </c>
    </row>
    <row r="419" spans="1:21" x14ac:dyDescent="0.25">
      <c r="A419">
        <v>418</v>
      </c>
      <c r="B419" t="s">
        <v>86</v>
      </c>
      <c r="C419" t="s">
        <v>117</v>
      </c>
      <c r="D419" t="s">
        <v>121</v>
      </c>
      <c r="E419">
        <v>168</v>
      </c>
      <c r="F419">
        <v>355</v>
      </c>
      <c r="G419">
        <v>312</v>
      </c>
      <c r="H419">
        <v>1697.17</v>
      </c>
      <c r="I419">
        <v>1176.51</v>
      </c>
      <c r="J419">
        <v>120</v>
      </c>
      <c r="K419">
        <v>9</v>
      </c>
      <c r="L419" t="s">
        <v>133</v>
      </c>
      <c r="M419">
        <v>359</v>
      </c>
      <c r="N419">
        <v>3</v>
      </c>
      <c r="O419">
        <v>28</v>
      </c>
      <c r="P419" t="s">
        <v>215</v>
      </c>
      <c r="Q419" t="s">
        <v>218</v>
      </c>
      <c r="R419">
        <f t="shared" si="28"/>
        <v>43</v>
      </c>
      <c r="S419">
        <f t="shared" si="25"/>
        <v>2.1130952380952381</v>
      </c>
      <c r="T419" t="str">
        <f t="shared" si="26"/>
        <v>Low Risk</v>
      </c>
      <c r="U419" t="str">
        <f t="shared" si="27"/>
        <v>Maintain Stock</v>
      </c>
    </row>
    <row r="420" spans="1:21" x14ac:dyDescent="0.25">
      <c r="A420">
        <v>419</v>
      </c>
      <c r="B420" t="s">
        <v>27</v>
      </c>
      <c r="C420" t="s">
        <v>116</v>
      </c>
      <c r="D420" t="s">
        <v>121</v>
      </c>
      <c r="E420">
        <v>118</v>
      </c>
      <c r="F420">
        <v>113</v>
      </c>
      <c r="G420">
        <v>136</v>
      </c>
      <c r="H420">
        <v>2670.17</v>
      </c>
      <c r="I420">
        <v>1916.62</v>
      </c>
      <c r="J420">
        <v>114</v>
      </c>
      <c r="K420">
        <v>11</v>
      </c>
      <c r="L420" t="s">
        <v>190</v>
      </c>
      <c r="M420">
        <v>37</v>
      </c>
      <c r="N420">
        <v>4</v>
      </c>
      <c r="O420">
        <v>17</v>
      </c>
      <c r="P420" t="s">
        <v>215</v>
      </c>
      <c r="Q420" t="s">
        <v>218</v>
      </c>
      <c r="R420">
        <f t="shared" si="28"/>
        <v>-23</v>
      </c>
      <c r="S420">
        <f t="shared" si="25"/>
        <v>0.9576271186440678</v>
      </c>
      <c r="T420" t="str">
        <f t="shared" si="26"/>
        <v>Medium Risk</v>
      </c>
      <c r="U420" t="str">
        <f t="shared" si="27"/>
        <v>Monitor Sales</v>
      </c>
    </row>
    <row r="421" spans="1:21" x14ac:dyDescent="0.25">
      <c r="A421">
        <v>420</v>
      </c>
      <c r="B421" t="s">
        <v>62</v>
      </c>
      <c r="C421" t="s">
        <v>120</v>
      </c>
      <c r="D421" t="s">
        <v>121</v>
      </c>
      <c r="E421">
        <v>210</v>
      </c>
      <c r="F421">
        <v>0</v>
      </c>
      <c r="G421">
        <v>10</v>
      </c>
      <c r="H421">
        <v>4399.93</v>
      </c>
      <c r="I421">
        <v>2810.3</v>
      </c>
      <c r="J421">
        <v>62</v>
      </c>
      <c r="K421">
        <v>2</v>
      </c>
      <c r="L421" t="s">
        <v>180</v>
      </c>
      <c r="M421">
        <v>350</v>
      </c>
      <c r="N421">
        <v>5</v>
      </c>
      <c r="O421">
        <v>27</v>
      </c>
      <c r="P421" t="s">
        <v>215</v>
      </c>
      <c r="Q421" t="s">
        <v>217</v>
      </c>
      <c r="R421">
        <f t="shared" si="28"/>
        <v>-10</v>
      </c>
      <c r="S421">
        <f t="shared" si="25"/>
        <v>0</v>
      </c>
      <c r="T421" t="str">
        <f t="shared" si="26"/>
        <v>High Risk</v>
      </c>
      <c r="U421" t="str">
        <f t="shared" si="27"/>
        <v>Apply Discount / Promotion</v>
      </c>
    </row>
    <row r="422" spans="1:21" x14ac:dyDescent="0.25">
      <c r="A422">
        <v>421</v>
      </c>
      <c r="B422" t="s">
        <v>90</v>
      </c>
      <c r="C422" t="s">
        <v>116</v>
      </c>
      <c r="D422" t="s">
        <v>123</v>
      </c>
      <c r="E422">
        <v>24</v>
      </c>
      <c r="F422">
        <v>125</v>
      </c>
      <c r="G422">
        <v>129</v>
      </c>
      <c r="H422">
        <v>3349.32</v>
      </c>
      <c r="I422">
        <v>2552.79</v>
      </c>
      <c r="J422">
        <v>130</v>
      </c>
      <c r="K422">
        <v>10</v>
      </c>
      <c r="L422" t="s">
        <v>153</v>
      </c>
      <c r="M422">
        <v>96</v>
      </c>
      <c r="N422">
        <v>2</v>
      </c>
      <c r="O422">
        <v>25</v>
      </c>
      <c r="P422" t="s">
        <v>215</v>
      </c>
      <c r="Q422" t="s">
        <v>217</v>
      </c>
      <c r="R422">
        <f t="shared" si="28"/>
        <v>-4</v>
      </c>
      <c r="S422">
        <f t="shared" si="25"/>
        <v>5.208333333333333</v>
      </c>
      <c r="T422" t="str">
        <f t="shared" si="26"/>
        <v>Low Risk</v>
      </c>
      <c r="U422" t="str">
        <f t="shared" si="27"/>
        <v>Maintain Stock</v>
      </c>
    </row>
    <row r="423" spans="1:21" x14ac:dyDescent="0.25">
      <c r="A423">
        <v>422</v>
      </c>
      <c r="B423" t="s">
        <v>75</v>
      </c>
      <c r="C423" t="s">
        <v>117</v>
      </c>
      <c r="D423" t="s">
        <v>123</v>
      </c>
      <c r="E423">
        <v>73</v>
      </c>
      <c r="F423">
        <v>61</v>
      </c>
      <c r="G423">
        <v>98</v>
      </c>
      <c r="H423">
        <v>2623.46</v>
      </c>
      <c r="I423">
        <v>1496.99</v>
      </c>
      <c r="J423">
        <v>86</v>
      </c>
      <c r="K423">
        <v>1</v>
      </c>
      <c r="L423" t="s">
        <v>184</v>
      </c>
      <c r="M423">
        <v>109</v>
      </c>
      <c r="N423">
        <v>4</v>
      </c>
      <c r="O423">
        <v>37</v>
      </c>
      <c r="P423" t="s">
        <v>216</v>
      </c>
      <c r="Q423" t="s">
        <v>218</v>
      </c>
      <c r="R423">
        <f t="shared" si="28"/>
        <v>-37</v>
      </c>
      <c r="S423">
        <f t="shared" si="25"/>
        <v>0.83561643835616439</v>
      </c>
      <c r="T423" t="str">
        <f t="shared" si="26"/>
        <v>Medium Risk</v>
      </c>
      <c r="U423" t="str">
        <f t="shared" si="27"/>
        <v>Monitor Sales</v>
      </c>
    </row>
    <row r="424" spans="1:21" x14ac:dyDescent="0.25">
      <c r="A424">
        <v>423</v>
      </c>
      <c r="B424" t="s">
        <v>101</v>
      </c>
      <c r="C424" t="s">
        <v>120</v>
      </c>
      <c r="D424" t="s">
        <v>124</v>
      </c>
      <c r="E424">
        <v>273</v>
      </c>
      <c r="F424">
        <v>113</v>
      </c>
      <c r="G424">
        <v>90</v>
      </c>
      <c r="H424">
        <v>2411.23</v>
      </c>
      <c r="I424">
        <v>1617.43</v>
      </c>
      <c r="J424">
        <v>118</v>
      </c>
      <c r="K424">
        <v>13</v>
      </c>
      <c r="L424" t="s">
        <v>201</v>
      </c>
      <c r="M424">
        <v>317</v>
      </c>
      <c r="N424">
        <v>1</v>
      </c>
      <c r="O424">
        <v>25</v>
      </c>
      <c r="P424" t="s">
        <v>215</v>
      </c>
      <c r="Q424" t="s">
        <v>219</v>
      </c>
      <c r="R424">
        <f t="shared" si="28"/>
        <v>23</v>
      </c>
      <c r="S424">
        <f t="shared" si="25"/>
        <v>0.41391941391941389</v>
      </c>
      <c r="T424" t="str">
        <f t="shared" si="26"/>
        <v>High Risk</v>
      </c>
      <c r="U424" t="str">
        <f t="shared" si="27"/>
        <v>Apply Discount / Promotion</v>
      </c>
    </row>
    <row r="425" spans="1:21" x14ac:dyDescent="0.25">
      <c r="A425">
        <v>424</v>
      </c>
      <c r="B425" t="s">
        <v>27</v>
      </c>
      <c r="C425" t="s">
        <v>119</v>
      </c>
      <c r="D425" t="s">
        <v>123</v>
      </c>
      <c r="E425">
        <v>468</v>
      </c>
      <c r="F425">
        <v>45</v>
      </c>
      <c r="G425">
        <v>29</v>
      </c>
      <c r="H425">
        <v>2070.19</v>
      </c>
      <c r="I425">
        <v>1338.66</v>
      </c>
      <c r="J425">
        <v>89</v>
      </c>
      <c r="K425">
        <v>13</v>
      </c>
      <c r="L425" t="s">
        <v>182</v>
      </c>
      <c r="M425">
        <v>251</v>
      </c>
      <c r="N425">
        <v>2</v>
      </c>
      <c r="O425">
        <v>40</v>
      </c>
      <c r="P425" t="s">
        <v>216</v>
      </c>
      <c r="Q425" t="s">
        <v>217</v>
      </c>
      <c r="R425">
        <f t="shared" si="28"/>
        <v>16</v>
      </c>
      <c r="S425">
        <f t="shared" si="25"/>
        <v>9.6153846153846159E-2</v>
      </c>
      <c r="T425" t="str">
        <f t="shared" si="26"/>
        <v>High Risk</v>
      </c>
      <c r="U425" t="str">
        <f t="shared" si="27"/>
        <v>Apply Discount / Promotion</v>
      </c>
    </row>
    <row r="426" spans="1:21" x14ac:dyDescent="0.25">
      <c r="A426">
        <v>425</v>
      </c>
      <c r="B426" t="s">
        <v>25</v>
      </c>
      <c r="C426" t="s">
        <v>119</v>
      </c>
      <c r="D426" t="s">
        <v>121</v>
      </c>
      <c r="E426">
        <v>20</v>
      </c>
      <c r="F426">
        <v>113</v>
      </c>
      <c r="G426">
        <v>87</v>
      </c>
      <c r="H426">
        <v>905.42</v>
      </c>
      <c r="I426">
        <v>703.41</v>
      </c>
      <c r="J426">
        <v>140</v>
      </c>
      <c r="K426">
        <v>7</v>
      </c>
      <c r="L426" t="s">
        <v>188</v>
      </c>
      <c r="M426">
        <v>35</v>
      </c>
      <c r="N426">
        <v>2</v>
      </c>
      <c r="O426">
        <v>26</v>
      </c>
      <c r="P426" t="s">
        <v>216</v>
      </c>
      <c r="Q426" t="s">
        <v>219</v>
      </c>
      <c r="R426">
        <f t="shared" si="28"/>
        <v>26</v>
      </c>
      <c r="S426">
        <f t="shared" si="25"/>
        <v>5.65</v>
      </c>
      <c r="T426" t="str">
        <f t="shared" si="26"/>
        <v>Low Risk</v>
      </c>
      <c r="U426" t="str">
        <f t="shared" si="27"/>
        <v>Maintain Stock</v>
      </c>
    </row>
    <row r="427" spans="1:21" x14ac:dyDescent="0.25">
      <c r="A427">
        <v>426</v>
      </c>
      <c r="B427" t="s">
        <v>97</v>
      </c>
      <c r="C427" t="s">
        <v>118</v>
      </c>
      <c r="D427" t="s">
        <v>121</v>
      </c>
      <c r="E427">
        <v>391</v>
      </c>
      <c r="F427">
        <v>264</v>
      </c>
      <c r="G427">
        <v>298</v>
      </c>
      <c r="H427">
        <v>2962.21</v>
      </c>
      <c r="I427">
        <v>2214.25</v>
      </c>
      <c r="J427">
        <v>142</v>
      </c>
      <c r="K427">
        <v>2</v>
      </c>
      <c r="L427" t="s">
        <v>213</v>
      </c>
      <c r="M427">
        <v>238</v>
      </c>
      <c r="N427">
        <v>5</v>
      </c>
      <c r="O427">
        <v>40</v>
      </c>
      <c r="P427" t="s">
        <v>216</v>
      </c>
      <c r="Q427" t="s">
        <v>219</v>
      </c>
      <c r="R427">
        <f t="shared" si="28"/>
        <v>-34</v>
      </c>
      <c r="S427">
        <f t="shared" si="25"/>
        <v>0.67519181585677746</v>
      </c>
      <c r="T427" t="str">
        <f t="shared" si="26"/>
        <v>Medium Risk</v>
      </c>
      <c r="U427" t="str">
        <f t="shared" si="27"/>
        <v>Monitor Sales</v>
      </c>
    </row>
    <row r="428" spans="1:21" x14ac:dyDescent="0.25">
      <c r="A428">
        <v>427</v>
      </c>
      <c r="B428" t="s">
        <v>96</v>
      </c>
      <c r="C428" t="s">
        <v>117</v>
      </c>
      <c r="D428" t="s">
        <v>122</v>
      </c>
      <c r="E428">
        <v>423</v>
      </c>
      <c r="F428">
        <v>324</v>
      </c>
      <c r="G428">
        <v>352</v>
      </c>
      <c r="H428">
        <v>4100.41</v>
      </c>
      <c r="I428">
        <v>3234.75</v>
      </c>
      <c r="J428">
        <v>46</v>
      </c>
      <c r="K428">
        <v>3</v>
      </c>
      <c r="L428" t="s">
        <v>162</v>
      </c>
      <c r="M428">
        <v>121</v>
      </c>
      <c r="N428">
        <v>5</v>
      </c>
      <c r="O428">
        <v>15</v>
      </c>
      <c r="P428" t="s">
        <v>216</v>
      </c>
      <c r="Q428" t="s">
        <v>217</v>
      </c>
      <c r="R428">
        <f t="shared" si="28"/>
        <v>-28</v>
      </c>
      <c r="S428">
        <f t="shared" si="25"/>
        <v>0.76595744680851063</v>
      </c>
      <c r="T428" t="str">
        <f t="shared" si="26"/>
        <v>Medium Risk</v>
      </c>
      <c r="U428" t="str">
        <f t="shared" si="27"/>
        <v>Monitor Sales</v>
      </c>
    </row>
    <row r="429" spans="1:21" x14ac:dyDescent="0.25">
      <c r="A429">
        <v>428</v>
      </c>
      <c r="B429" t="s">
        <v>98</v>
      </c>
      <c r="C429" t="s">
        <v>120</v>
      </c>
      <c r="D429" t="s">
        <v>121</v>
      </c>
      <c r="E429">
        <v>418</v>
      </c>
      <c r="F429">
        <v>210</v>
      </c>
      <c r="G429">
        <v>224</v>
      </c>
      <c r="H429">
        <v>154.05000000000001</v>
      </c>
      <c r="I429">
        <v>94.15</v>
      </c>
      <c r="J429">
        <v>45</v>
      </c>
      <c r="K429">
        <v>10</v>
      </c>
      <c r="L429" t="s">
        <v>142</v>
      </c>
      <c r="M429">
        <v>215</v>
      </c>
      <c r="N429">
        <v>1</v>
      </c>
      <c r="O429">
        <v>6</v>
      </c>
      <c r="P429" t="s">
        <v>215</v>
      </c>
      <c r="Q429" t="s">
        <v>218</v>
      </c>
      <c r="R429">
        <f t="shared" si="28"/>
        <v>-14</v>
      </c>
      <c r="S429">
        <f t="shared" si="25"/>
        <v>0.50239234449760761</v>
      </c>
      <c r="T429" t="str">
        <f t="shared" si="26"/>
        <v>Medium Risk</v>
      </c>
      <c r="U429" t="str">
        <f t="shared" si="27"/>
        <v>Monitor Sales</v>
      </c>
    </row>
    <row r="430" spans="1:21" x14ac:dyDescent="0.25">
      <c r="A430">
        <v>429</v>
      </c>
      <c r="B430" t="s">
        <v>105</v>
      </c>
      <c r="C430" t="s">
        <v>120</v>
      </c>
      <c r="D430" t="s">
        <v>121</v>
      </c>
      <c r="E430">
        <v>246</v>
      </c>
      <c r="F430">
        <v>265</v>
      </c>
      <c r="G430">
        <v>303</v>
      </c>
      <c r="H430">
        <v>2259.62</v>
      </c>
      <c r="I430">
        <v>1273.8499999999999</v>
      </c>
      <c r="J430">
        <v>63</v>
      </c>
      <c r="K430">
        <v>8</v>
      </c>
      <c r="L430" t="s">
        <v>172</v>
      </c>
      <c r="M430">
        <v>234</v>
      </c>
      <c r="N430">
        <v>5</v>
      </c>
      <c r="O430">
        <v>44</v>
      </c>
      <c r="P430" t="s">
        <v>216</v>
      </c>
      <c r="Q430" t="s">
        <v>217</v>
      </c>
      <c r="R430">
        <f t="shared" si="28"/>
        <v>-38</v>
      </c>
      <c r="S430">
        <f t="shared" si="25"/>
        <v>1.0772357723577235</v>
      </c>
      <c r="T430" t="str">
        <f t="shared" si="26"/>
        <v>Low Risk</v>
      </c>
      <c r="U430" t="str">
        <f t="shared" si="27"/>
        <v>Maintain Stock</v>
      </c>
    </row>
    <row r="431" spans="1:21" x14ac:dyDescent="0.25">
      <c r="A431">
        <v>430</v>
      </c>
      <c r="B431" t="s">
        <v>54</v>
      </c>
      <c r="C431" t="s">
        <v>118</v>
      </c>
      <c r="D431" t="s">
        <v>122</v>
      </c>
      <c r="E431">
        <v>288</v>
      </c>
      <c r="F431">
        <v>336</v>
      </c>
      <c r="G431">
        <v>322</v>
      </c>
      <c r="H431">
        <v>3602.56</v>
      </c>
      <c r="I431">
        <v>2321.0300000000002</v>
      </c>
      <c r="J431">
        <v>145</v>
      </c>
      <c r="K431">
        <v>14</v>
      </c>
      <c r="L431" t="s">
        <v>159</v>
      </c>
      <c r="M431">
        <v>338</v>
      </c>
      <c r="N431">
        <v>3</v>
      </c>
      <c r="O431">
        <v>6</v>
      </c>
      <c r="P431" t="s">
        <v>215</v>
      </c>
      <c r="Q431" t="s">
        <v>217</v>
      </c>
      <c r="R431">
        <f t="shared" si="28"/>
        <v>14</v>
      </c>
      <c r="S431">
        <f t="shared" si="25"/>
        <v>1.1666666666666667</v>
      </c>
      <c r="T431" t="str">
        <f t="shared" si="26"/>
        <v>Low Risk</v>
      </c>
      <c r="U431" t="str">
        <f t="shared" si="27"/>
        <v>Maintain Stock</v>
      </c>
    </row>
    <row r="432" spans="1:21" x14ac:dyDescent="0.25">
      <c r="A432">
        <v>431</v>
      </c>
      <c r="B432" t="s">
        <v>28</v>
      </c>
      <c r="C432" t="s">
        <v>119</v>
      </c>
      <c r="D432" t="s">
        <v>123</v>
      </c>
      <c r="E432">
        <v>378</v>
      </c>
      <c r="F432">
        <v>175</v>
      </c>
      <c r="G432">
        <v>221</v>
      </c>
      <c r="H432">
        <v>3509.24</v>
      </c>
      <c r="I432">
        <v>2069.48</v>
      </c>
      <c r="J432">
        <v>86</v>
      </c>
      <c r="K432">
        <v>4</v>
      </c>
      <c r="L432" t="s">
        <v>143</v>
      </c>
      <c r="M432">
        <v>117</v>
      </c>
      <c r="N432">
        <v>1</v>
      </c>
      <c r="O432">
        <v>10</v>
      </c>
      <c r="P432" t="s">
        <v>216</v>
      </c>
      <c r="Q432" t="s">
        <v>217</v>
      </c>
      <c r="R432">
        <f t="shared" si="28"/>
        <v>-46</v>
      </c>
      <c r="S432">
        <f t="shared" si="25"/>
        <v>0.46296296296296297</v>
      </c>
      <c r="T432" t="str">
        <f t="shared" si="26"/>
        <v>High Risk</v>
      </c>
      <c r="U432" t="str">
        <f t="shared" si="27"/>
        <v>Apply Discount / Promotion</v>
      </c>
    </row>
    <row r="433" spans="1:21" x14ac:dyDescent="0.25">
      <c r="A433">
        <v>432</v>
      </c>
      <c r="B433" t="s">
        <v>66</v>
      </c>
      <c r="C433" t="s">
        <v>118</v>
      </c>
      <c r="D433" t="s">
        <v>121</v>
      </c>
      <c r="E433">
        <v>166</v>
      </c>
      <c r="F433">
        <v>77</v>
      </c>
      <c r="G433">
        <v>117</v>
      </c>
      <c r="H433">
        <v>2259.31</v>
      </c>
      <c r="I433">
        <v>1771.78</v>
      </c>
      <c r="J433">
        <v>129</v>
      </c>
      <c r="K433">
        <v>5</v>
      </c>
      <c r="L433" t="s">
        <v>176</v>
      </c>
      <c r="M433">
        <v>249</v>
      </c>
      <c r="N433">
        <v>2</v>
      </c>
      <c r="O433">
        <v>46</v>
      </c>
      <c r="P433" t="s">
        <v>215</v>
      </c>
      <c r="Q433" t="s">
        <v>219</v>
      </c>
      <c r="R433">
        <f t="shared" si="28"/>
        <v>-40</v>
      </c>
      <c r="S433">
        <f t="shared" si="25"/>
        <v>0.46385542168674698</v>
      </c>
      <c r="T433" t="str">
        <f t="shared" si="26"/>
        <v>High Risk</v>
      </c>
      <c r="U433" t="str">
        <f t="shared" si="27"/>
        <v>Apply Discount / Promotion</v>
      </c>
    </row>
    <row r="434" spans="1:21" x14ac:dyDescent="0.25">
      <c r="A434">
        <v>433</v>
      </c>
      <c r="B434" t="s">
        <v>32</v>
      </c>
      <c r="C434" t="s">
        <v>119</v>
      </c>
      <c r="D434" t="s">
        <v>122</v>
      </c>
      <c r="E434">
        <v>138</v>
      </c>
      <c r="F434">
        <v>294</v>
      </c>
      <c r="G434">
        <v>251</v>
      </c>
      <c r="H434">
        <v>3471.81</v>
      </c>
      <c r="I434">
        <v>2446.59</v>
      </c>
      <c r="J434">
        <v>128</v>
      </c>
      <c r="K434">
        <v>2</v>
      </c>
      <c r="L434" t="s">
        <v>136</v>
      </c>
      <c r="M434">
        <v>134</v>
      </c>
      <c r="N434">
        <v>5</v>
      </c>
      <c r="O434">
        <v>18</v>
      </c>
      <c r="P434" t="s">
        <v>216</v>
      </c>
      <c r="Q434" t="s">
        <v>218</v>
      </c>
      <c r="R434">
        <f t="shared" si="28"/>
        <v>43</v>
      </c>
      <c r="S434">
        <f t="shared" si="25"/>
        <v>2.1304347826086958</v>
      </c>
      <c r="T434" t="str">
        <f t="shared" si="26"/>
        <v>Low Risk</v>
      </c>
      <c r="U434" t="str">
        <f t="shared" si="27"/>
        <v>Maintain Stock</v>
      </c>
    </row>
    <row r="435" spans="1:21" x14ac:dyDescent="0.25">
      <c r="A435">
        <v>434</v>
      </c>
      <c r="B435" t="s">
        <v>94</v>
      </c>
      <c r="C435" t="s">
        <v>116</v>
      </c>
      <c r="D435" t="s">
        <v>124</v>
      </c>
      <c r="E435">
        <v>146</v>
      </c>
      <c r="F435">
        <v>282</v>
      </c>
      <c r="G435">
        <v>252</v>
      </c>
      <c r="H435">
        <v>2977.31</v>
      </c>
      <c r="I435">
        <v>1593.19</v>
      </c>
      <c r="J435">
        <v>69</v>
      </c>
      <c r="K435">
        <v>13</v>
      </c>
      <c r="L435" t="s">
        <v>126</v>
      </c>
      <c r="M435">
        <v>80</v>
      </c>
      <c r="N435">
        <v>5</v>
      </c>
      <c r="O435">
        <v>32</v>
      </c>
      <c r="P435" t="s">
        <v>216</v>
      </c>
      <c r="Q435" t="s">
        <v>219</v>
      </c>
      <c r="R435">
        <f t="shared" si="28"/>
        <v>30</v>
      </c>
      <c r="S435">
        <f t="shared" si="25"/>
        <v>1.9315068493150684</v>
      </c>
      <c r="T435" t="str">
        <f t="shared" si="26"/>
        <v>Low Risk</v>
      </c>
      <c r="U435" t="str">
        <f t="shared" si="27"/>
        <v>Maintain Stock</v>
      </c>
    </row>
    <row r="436" spans="1:21" x14ac:dyDescent="0.25">
      <c r="A436">
        <v>435</v>
      </c>
      <c r="B436" t="s">
        <v>29</v>
      </c>
      <c r="C436" t="s">
        <v>119</v>
      </c>
      <c r="D436" t="s">
        <v>121</v>
      </c>
      <c r="E436">
        <v>281</v>
      </c>
      <c r="F436">
        <v>143</v>
      </c>
      <c r="G436">
        <v>109</v>
      </c>
      <c r="H436">
        <v>4559.93</v>
      </c>
      <c r="I436">
        <v>2903.15</v>
      </c>
      <c r="J436">
        <v>69</v>
      </c>
      <c r="K436">
        <v>13</v>
      </c>
      <c r="L436" t="s">
        <v>150</v>
      </c>
      <c r="M436">
        <v>343</v>
      </c>
      <c r="N436">
        <v>4</v>
      </c>
      <c r="O436">
        <v>41</v>
      </c>
      <c r="P436" t="s">
        <v>216</v>
      </c>
      <c r="Q436" t="s">
        <v>218</v>
      </c>
      <c r="R436">
        <f t="shared" si="28"/>
        <v>34</v>
      </c>
      <c r="S436">
        <f t="shared" si="25"/>
        <v>0.50889679715302494</v>
      </c>
      <c r="T436" t="str">
        <f t="shared" si="26"/>
        <v>Medium Risk</v>
      </c>
      <c r="U436" t="str">
        <f t="shared" si="27"/>
        <v>Monitor Sales</v>
      </c>
    </row>
    <row r="437" spans="1:21" x14ac:dyDescent="0.25">
      <c r="A437">
        <v>436</v>
      </c>
      <c r="B437" t="s">
        <v>33</v>
      </c>
      <c r="C437" t="s">
        <v>119</v>
      </c>
      <c r="D437" t="s">
        <v>124</v>
      </c>
      <c r="E437">
        <v>124</v>
      </c>
      <c r="F437">
        <v>281</v>
      </c>
      <c r="G437">
        <v>281</v>
      </c>
      <c r="H437">
        <v>3944.82</v>
      </c>
      <c r="I437">
        <v>2658.89</v>
      </c>
      <c r="J437">
        <v>119</v>
      </c>
      <c r="K437">
        <v>1</v>
      </c>
      <c r="L437" t="s">
        <v>155</v>
      </c>
      <c r="M437">
        <v>149</v>
      </c>
      <c r="N437">
        <v>2</v>
      </c>
      <c r="O437">
        <v>39</v>
      </c>
      <c r="P437" t="s">
        <v>215</v>
      </c>
      <c r="Q437" t="s">
        <v>218</v>
      </c>
      <c r="R437">
        <f t="shared" si="28"/>
        <v>0</v>
      </c>
      <c r="S437">
        <f t="shared" si="25"/>
        <v>2.2661290322580645</v>
      </c>
      <c r="T437" t="str">
        <f t="shared" si="26"/>
        <v>Low Risk</v>
      </c>
      <c r="U437" t="str">
        <f t="shared" si="27"/>
        <v>Maintain Stock</v>
      </c>
    </row>
    <row r="438" spans="1:21" x14ac:dyDescent="0.25">
      <c r="A438">
        <v>437</v>
      </c>
      <c r="B438" t="s">
        <v>109</v>
      </c>
      <c r="C438" t="s">
        <v>118</v>
      </c>
      <c r="D438" t="s">
        <v>122</v>
      </c>
      <c r="E438">
        <v>199</v>
      </c>
      <c r="F438">
        <v>67</v>
      </c>
      <c r="G438">
        <v>54</v>
      </c>
      <c r="H438">
        <v>366.87</v>
      </c>
      <c r="I438">
        <v>244.14</v>
      </c>
      <c r="J438">
        <v>116</v>
      </c>
      <c r="K438">
        <v>14</v>
      </c>
      <c r="L438" t="s">
        <v>158</v>
      </c>
      <c r="M438">
        <v>50</v>
      </c>
      <c r="N438">
        <v>2</v>
      </c>
      <c r="O438">
        <v>22</v>
      </c>
      <c r="P438" t="s">
        <v>216</v>
      </c>
      <c r="Q438" t="s">
        <v>218</v>
      </c>
      <c r="R438">
        <f t="shared" si="28"/>
        <v>13</v>
      </c>
      <c r="S438">
        <f t="shared" si="25"/>
        <v>0.33668341708542715</v>
      </c>
      <c r="T438" t="str">
        <f t="shared" si="26"/>
        <v>High Risk</v>
      </c>
      <c r="U438" t="str">
        <f t="shared" si="27"/>
        <v>Apply Discount / Promotion</v>
      </c>
    </row>
    <row r="439" spans="1:21" x14ac:dyDescent="0.25">
      <c r="A439">
        <v>438</v>
      </c>
      <c r="B439" t="s">
        <v>16</v>
      </c>
      <c r="C439" t="s">
        <v>118</v>
      </c>
      <c r="D439" t="s">
        <v>122</v>
      </c>
      <c r="E439">
        <v>271</v>
      </c>
      <c r="F439">
        <v>329</v>
      </c>
      <c r="G439">
        <v>307</v>
      </c>
      <c r="H439">
        <v>759.16</v>
      </c>
      <c r="I439">
        <v>385.12</v>
      </c>
      <c r="J439">
        <v>43</v>
      </c>
      <c r="K439">
        <v>5</v>
      </c>
      <c r="L439" t="s">
        <v>134</v>
      </c>
      <c r="M439">
        <v>240</v>
      </c>
      <c r="N439">
        <v>2</v>
      </c>
      <c r="O439">
        <v>18</v>
      </c>
      <c r="P439" t="s">
        <v>215</v>
      </c>
      <c r="Q439" t="s">
        <v>218</v>
      </c>
      <c r="R439">
        <f t="shared" si="28"/>
        <v>22</v>
      </c>
      <c r="S439">
        <f t="shared" si="25"/>
        <v>1.2140221402214022</v>
      </c>
      <c r="T439" t="str">
        <f t="shared" si="26"/>
        <v>Low Risk</v>
      </c>
      <c r="U439" t="str">
        <f t="shared" si="27"/>
        <v>Maintain Stock</v>
      </c>
    </row>
    <row r="440" spans="1:21" x14ac:dyDescent="0.25">
      <c r="A440">
        <v>439</v>
      </c>
      <c r="B440" t="s">
        <v>65</v>
      </c>
      <c r="C440" t="s">
        <v>118</v>
      </c>
      <c r="D440" t="s">
        <v>124</v>
      </c>
      <c r="E440">
        <v>485</v>
      </c>
      <c r="F440">
        <v>311</v>
      </c>
      <c r="G440">
        <v>340</v>
      </c>
      <c r="H440">
        <v>1785.2</v>
      </c>
      <c r="I440">
        <v>1307.46</v>
      </c>
      <c r="J440">
        <v>68</v>
      </c>
      <c r="K440">
        <v>9</v>
      </c>
      <c r="L440" t="s">
        <v>142</v>
      </c>
      <c r="M440">
        <v>324</v>
      </c>
      <c r="N440">
        <v>2</v>
      </c>
      <c r="O440">
        <v>43</v>
      </c>
      <c r="P440" t="s">
        <v>216</v>
      </c>
      <c r="Q440" t="s">
        <v>218</v>
      </c>
      <c r="R440">
        <f t="shared" si="28"/>
        <v>-29</v>
      </c>
      <c r="S440">
        <f t="shared" si="25"/>
        <v>0.64123711340206191</v>
      </c>
      <c r="T440" t="str">
        <f t="shared" si="26"/>
        <v>Medium Risk</v>
      </c>
      <c r="U440" t="str">
        <f t="shared" si="27"/>
        <v>Monitor Sales</v>
      </c>
    </row>
    <row r="441" spans="1:21" x14ac:dyDescent="0.25">
      <c r="A441">
        <v>440</v>
      </c>
      <c r="B441" t="s">
        <v>88</v>
      </c>
      <c r="C441" t="s">
        <v>116</v>
      </c>
      <c r="D441" t="s">
        <v>122</v>
      </c>
      <c r="E441">
        <v>245</v>
      </c>
      <c r="F441">
        <v>164</v>
      </c>
      <c r="G441">
        <v>213</v>
      </c>
      <c r="H441">
        <v>3936.23</v>
      </c>
      <c r="I441">
        <v>2232.23</v>
      </c>
      <c r="J441">
        <v>139</v>
      </c>
      <c r="K441">
        <v>10</v>
      </c>
      <c r="L441" t="s">
        <v>135</v>
      </c>
      <c r="M441">
        <v>88</v>
      </c>
      <c r="N441">
        <v>3</v>
      </c>
      <c r="O441">
        <v>21</v>
      </c>
      <c r="P441" t="s">
        <v>216</v>
      </c>
      <c r="Q441" t="s">
        <v>218</v>
      </c>
      <c r="R441">
        <f t="shared" si="28"/>
        <v>-49</v>
      </c>
      <c r="S441">
        <f t="shared" si="25"/>
        <v>0.66938775510204085</v>
      </c>
      <c r="T441" t="str">
        <f t="shared" si="26"/>
        <v>Medium Risk</v>
      </c>
      <c r="U441" t="str">
        <f t="shared" si="27"/>
        <v>Monitor Sales</v>
      </c>
    </row>
    <row r="442" spans="1:21" x14ac:dyDescent="0.25">
      <c r="A442">
        <v>441</v>
      </c>
      <c r="B442" t="s">
        <v>64</v>
      </c>
      <c r="C442" t="s">
        <v>118</v>
      </c>
      <c r="D442" t="s">
        <v>123</v>
      </c>
      <c r="E442">
        <v>215</v>
      </c>
      <c r="F442">
        <v>271</v>
      </c>
      <c r="G442">
        <v>267</v>
      </c>
      <c r="H442">
        <v>2000.9</v>
      </c>
      <c r="I442">
        <v>1559.77</v>
      </c>
      <c r="J442">
        <v>65</v>
      </c>
      <c r="K442">
        <v>6</v>
      </c>
      <c r="L442" t="s">
        <v>158</v>
      </c>
      <c r="M442">
        <v>92</v>
      </c>
      <c r="N442">
        <v>1</v>
      </c>
      <c r="O442">
        <v>45</v>
      </c>
      <c r="P442" t="s">
        <v>215</v>
      </c>
      <c r="Q442" t="s">
        <v>218</v>
      </c>
      <c r="R442">
        <f t="shared" si="28"/>
        <v>4</v>
      </c>
      <c r="S442">
        <f t="shared" si="25"/>
        <v>1.2604651162790699</v>
      </c>
      <c r="T442" t="str">
        <f t="shared" si="26"/>
        <v>Low Risk</v>
      </c>
      <c r="U442" t="str">
        <f t="shared" si="27"/>
        <v>Maintain Stock</v>
      </c>
    </row>
    <row r="443" spans="1:21" x14ac:dyDescent="0.25">
      <c r="A443">
        <v>442</v>
      </c>
      <c r="B443" t="s">
        <v>16</v>
      </c>
      <c r="C443" t="s">
        <v>116</v>
      </c>
      <c r="D443" t="s">
        <v>122</v>
      </c>
      <c r="E443">
        <v>101</v>
      </c>
      <c r="F443">
        <v>189</v>
      </c>
      <c r="G443">
        <v>189</v>
      </c>
      <c r="H443">
        <v>1859.1</v>
      </c>
      <c r="I443">
        <v>1138.3800000000001</v>
      </c>
      <c r="J443">
        <v>34</v>
      </c>
      <c r="K443">
        <v>10</v>
      </c>
      <c r="L443" t="s">
        <v>189</v>
      </c>
      <c r="M443">
        <v>178</v>
      </c>
      <c r="N443">
        <v>4</v>
      </c>
      <c r="O443">
        <v>42</v>
      </c>
      <c r="P443" t="s">
        <v>215</v>
      </c>
      <c r="Q443" t="s">
        <v>217</v>
      </c>
      <c r="R443">
        <f t="shared" si="28"/>
        <v>0</v>
      </c>
      <c r="S443">
        <f t="shared" si="25"/>
        <v>1.8712871287128714</v>
      </c>
      <c r="T443" t="str">
        <f t="shared" si="26"/>
        <v>Low Risk</v>
      </c>
      <c r="U443" t="str">
        <f t="shared" si="27"/>
        <v>Maintain Stock</v>
      </c>
    </row>
    <row r="444" spans="1:21" x14ac:dyDescent="0.25">
      <c r="A444">
        <v>443</v>
      </c>
      <c r="B444" t="s">
        <v>111</v>
      </c>
      <c r="C444" t="s">
        <v>118</v>
      </c>
      <c r="D444" t="s">
        <v>124</v>
      </c>
      <c r="E444">
        <v>71</v>
      </c>
      <c r="F444">
        <v>153</v>
      </c>
      <c r="G444">
        <v>120</v>
      </c>
      <c r="H444">
        <v>1104.8499999999999</v>
      </c>
      <c r="I444">
        <v>747.88</v>
      </c>
      <c r="J444">
        <v>136</v>
      </c>
      <c r="K444">
        <v>1</v>
      </c>
      <c r="L444" t="s">
        <v>161</v>
      </c>
      <c r="M444">
        <v>317</v>
      </c>
      <c r="N444">
        <v>4</v>
      </c>
      <c r="O444">
        <v>40</v>
      </c>
      <c r="P444" t="s">
        <v>216</v>
      </c>
      <c r="Q444" t="s">
        <v>219</v>
      </c>
      <c r="R444">
        <f t="shared" si="28"/>
        <v>33</v>
      </c>
      <c r="S444">
        <f t="shared" si="25"/>
        <v>2.1549295774647885</v>
      </c>
      <c r="T444" t="str">
        <f t="shared" si="26"/>
        <v>Low Risk</v>
      </c>
      <c r="U444" t="str">
        <f t="shared" si="27"/>
        <v>Maintain Stock</v>
      </c>
    </row>
    <row r="445" spans="1:21" x14ac:dyDescent="0.25">
      <c r="A445">
        <v>444</v>
      </c>
      <c r="B445" t="s">
        <v>32</v>
      </c>
      <c r="C445" t="s">
        <v>116</v>
      </c>
      <c r="D445" t="s">
        <v>121</v>
      </c>
      <c r="E445">
        <v>239</v>
      </c>
      <c r="F445">
        <v>169</v>
      </c>
      <c r="G445">
        <v>191</v>
      </c>
      <c r="H445">
        <v>345.87</v>
      </c>
      <c r="I445">
        <v>221.37</v>
      </c>
      <c r="J445">
        <v>49</v>
      </c>
      <c r="K445">
        <v>10</v>
      </c>
      <c r="L445" t="s">
        <v>201</v>
      </c>
      <c r="M445">
        <v>59</v>
      </c>
      <c r="N445">
        <v>5</v>
      </c>
      <c r="O445">
        <v>15</v>
      </c>
      <c r="P445" t="s">
        <v>215</v>
      </c>
      <c r="Q445" t="s">
        <v>219</v>
      </c>
      <c r="R445">
        <f t="shared" si="28"/>
        <v>-22</v>
      </c>
      <c r="S445">
        <f t="shared" si="25"/>
        <v>0.70711297071129708</v>
      </c>
      <c r="T445" t="str">
        <f t="shared" si="26"/>
        <v>Medium Risk</v>
      </c>
      <c r="U445" t="str">
        <f t="shared" si="27"/>
        <v>Monitor Sales</v>
      </c>
    </row>
    <row r="446" spans="1:21" x14ac:dyDescent="0.25">
      <c r="A446">
        <v>445</v>
      </c>
      <c r="B446" t="s">
        <v>111</v>
      </c>
      <c r="C446" t="s">
        <v>120</v>
      </c>
      <c r="D446" t="s">
        <v>124</v>
      </c>
      <c r="E446">
        <v>351</v>
      </c>
      <c r="F446">
        <v>198</v>
      </c>
      <c r="G446">
        <v>231</v>
      </c>
      <c r="H446">
        <v>4433.8599999999997</v>
      </c>
      <c r="I446">
        <v>2265.37</v>
      </c>
      <c r="J446">
        <v>72</v>
      </c>
      <c r="K446">
        <v>14</v>
      </c>
      <c r="L446" t="s">
        <v>212</v>
      </c>
      <c r="M446">
        <v>256</v>
      </c>
      <c r="N446">
        <v>3</v>
      </c>
      <c r="O446">
        <v>15</v>
      </c>
      <c r="P446" t="s">
        <v>216</v>
      </c>
      <c r="Q446" t="s">
        <v>219</v>
      </c>
      <c r="R446">
        <f t="shared" si="28"/>
        <v>-33</v>
      </c>
      <c r="S446">
        <f t="shared" si="25"/>
        <v>0.5641025641025641</v>
      </c>
      <c r="T446" t="str">
        <f t="shared" si="26"/>
        <v>Medium Risk</v>
      </c>
      <c r="U446" t="str">
        <f t="shared" si="27"/>
        <v>Monitor Sales</v>
      </c>
    </row>
    <row r="447" spans="1:21" x14ac:dyDescent="0.25">
      <c r="A447">
        <v>446</v>
      </c>
      <c r="B447" t="s">
        <v>56</v>
      </c>
      <c r="C447" t="s">
        <v>116</v>
      </c>
      <c r="D447" t="s">
        <v>121</v>
      </c>
      <c r="E447">
        <v>326</v>
      </c>
      <c r="F447">
        <v>232</v>
      </c>
      <c r="G447">
        <v>182</v>
      </c>
      <c r="H447">
        <v>2910.7</v>
      </c>
      <c r="I447">
        <v>1570.37</v>
      </c>
      <c r="J447">
        <v>78</v>
      </c>
      <c r="K447">
        <v>13</v>
      </c>
      <c r="L447" t="s">
        <v>162</v>
      </c>
      <c r="M447">
        <v>231</v>
      </c>
      <c r="N447">
        <v>1</v>
      </c>
      <c r="O447">
        <v>7</v>
      </c>
      <c r="P447" t="s">
        <v>216</v>
      </c>
      <c r="Q447" t="s">
        <v>219</v>
      </c>
      <c r="R447">
        <f t="shared" si="28"/>
        <v>50</v>
      </c>
      <c r="S447">
        <f t="shared" si="25"/>
        <v>0.71165644171779141</v>
      </c>
      <c r="T447" t="str">
        <f t="shared" si="26"/>
        <v>Medium Risk</v>
      </c>
      <c r="U447" t="str">
        <f t="shared" si="27"/>
        <v>Monitor Sales</v>
      </c>
    </row>
    <row r="448" spans="1:21" x14ac:dyDescent="0.25">
      <c r="A448">
        <v>447</v>
      </c>
      <c r="B448" t="s">
        <v>42</v>
      </c>
      <c r="C448" t="s">
        <v>120</v>
      </c>
      <c r="D448" t="s">
        <v>121</v>
      </c>
      <c r="E448">
        <v>477</v>
      </c>
      <c r="F448">
        <v>252</v>
      </c>
      <c r="G448">
        <v>266</v>
      </c>
      <c r="H448">
        <v>4548.3900000000003</v>
      </c>
      <c r="I448">
        <v>2785.52</v>
      </c>
      <c r="J448">
        <v>61</v>
      </c>
      <c r="K448">
        <v>1</v>
      </c>
      <c r="L448" t="s">
        <v>175</v>
      </c>
      <c r="M448">
        <v>135</v>
      </c>
      <c r="N448">
        <v>1</v>
      </c>
      <c r="O448">
        <v>37</v>
      </c>
      <c r="P448" t="s">
        <v>216</v>
      </c>
      <c r="Q448" t="s">
        <v>218</v>
      </c>
      <c r="R448">
        <f t="shared" si="28"/>
        <v>-14</v>
      </c>
      <c r="S448">
        <f t="shared" si="25"/>
        <v>0.52830188679245282</v>
      </c>
      <c r="T448" t="str">
        <f t="shared" si="26"/>
        <v>Medium Risk</v>
      </c>
      <c r="U448" t="str">
        <f t="shared" si="27"/>
        <v>Monitor Sales</v>
      </c>
    </row>
    <row r="449" spans="1:21" x14ac:dyDescent="0.25">
      <c r="A449">
        <v>448</v>
      </c>
      <c r="B449" t="s">
        <v>63</v>
      </c>
      <c r="C449" t="s">
        <v>118</v>
      </c>
      <c r="D449" t="s">
        <v>123</v>
      </c>
      <c r="E449">
        <v>450</v>
      </c>
      <c r="F449">
        <v>394</v>
      </c>
      <c r="G449">
        <v>372</v>
      </c>
      <c r="H449">
        <v>224.4</v>
      </c>
      <c r="I449">
        <v>161.06</v>
      </c>
      <c r="J449">
        <v>141</v>
      </c>
      <c r="K449">
        <v>3</v>
      </c>
      <c r="L449" t="s">
        <v>207</v>
      </c>
      <c r="M449">
        <v>84</v>
      </c>
      <c r="N449">
        <v>4</v>
      </c>
      <c r="O449">
        <v>22</v>
      </c>
      <c r="P449" t="s">
        <v>216</v>
      </c>
      <c r="Q449" t="s">
        <v>217</v>
      </c>
      <c r="R449">
        <f t="shared" si="28"/>
        <v>22</v>
      </c>
      <c r="S449">
        <f t="shared" si="25"/>
        <v>0.87555555555555553</v>
      </c>
      <c r="T449" t="str">
        <f t="shared" si="26"/>
        <v>Medium Risk</v>
      </c>
      <c r="U449" t="str">
        <f t="shared" si="27"/>
        <v>Monitor Sales</v>
      </c>
    </row>
    <row r="450" spans="1:21" x14ac:dyDescent="0.25">
      <c r="A450">
        <v>449</v>
      </c>
      <c r="B450" t="s">
        <v>112</v>
      </c>
      <c r="C450" t="s">
        <v>120</v>
      </c>
      <c r="D450" t="s">
        <v>124</v>
      </c>
      <c r="E450">
        <v>417</v>
      </c>
      <c r="F450">
        <v>222</v>
      </c>
      <c r="G450">
        <v>195</v>
      </c>
      <c r="H450">
        <v>4179.6899999999996</v>
      </c>
      <c r="I450">
        <v>2323.2600000000002</v>
      </c>
      <c r="J450">
        <v>92</v>
      </c>
      <c r="K450">
        <v>6</v>
      </c>
      <c r="L450" t="s">
        <v>176</v>
      </c>
      <c r="M450">
        <v>330</v>
      </c>
      <c r="N450">
        <v>4</v>
      </c>
      <c r="O450">
        <v>30</v>
      </c>
      <c r="P450" t="s">
        <v>215</v>
      </c>
      <c r="Q450" t="s">
        <v>218</v>
      </c>
      <c r="R450">
        <f t="shared" si="28"/>
        <v>27</v>
      </c>
      <c r="S450">
        <f t="shared" ref="S450:S513" si="29">F450/E450</f>
        <v>0.53237410071942448</v>
      </c>
      <c r="T450" t="str">
        <f t="shared" si="26"/>
        <v>Medium Risk</v>
      </c>
      <c r="U450" t="str">
        <f t="shared" si="27"/>
        <v>Monitor Sales</v>
      </c>
    </row>
    <row r="451" spans="1:21" x14ac:dyDescent="0.25">
      <c r="A451">
        <v>450</v>
      </c>
      <c r="B451" t="s">
        <v>22</v>
      </c>
      <c r="C451" t="s">
        <v>119</v>
      </c>
      <c r="D451" t="s">
        <v>123</v>
      </c>
      <c r="E451">
        <v>241</v>
      </c>
      <c r="F451">
        <v>240</v>
      </c>
      <c r="G451">
        <v>239</v>
      </c>
      <c r="H451">
        <v>3673.33</v>
      </c>
      <c r="I451">
        <v>2374.7399999999998</v>
      </c>
      <c r="J451">
        <v>80</v>
      </c>
      <c r="K451">
        <v>11</v>
      </c>
      <c r="L451" t="s">
        <v>138</v>
      </c>
      <c r="M451">
        <v>273</v>
      </c>
      <c r="N451">
        <v>5</v>
      </c>
      <c r="O451">
        <v>4</v>
      </c>
      <c r="P451" t="s">
        <v>215</v>
      </c>
      <c r="Q451" t="s">
        <v>217</v>
      </c>
      <c r="R451">
        <f t="shared" si="28"/>
        <v>1</v>
      </c>
      <c r="S451">
        <f t="shared" si="29"/>
        <v>0.99585062240663902</v>
      </c>
      <c r="T451" t="str">
        <f t="shared" ref="T451:T514" si="30">IF(S451&lt;0.5,"High Risk",IF(S451&lt;1,"Medium Risk","Low Risk"))</f>
        <v>Medium Risk</v>
      </c>
      <c r="U451" t="str">
        <f t="shared" ref="U451:U514" si="31">IF(T451="High Risk","Apply Discount / Promotion",
IF(T451="Medium Risk","Monitor Sales",
"Maintain Stock"))</f>
        <v>Monitor Sales</v>
      </c>
    </row>
    <row r="452" spans="1:21" x14ac:dyDescent="0.25">
      <c r="A452">
        <v>451</v>
      </c>
      <c r="B452" t="s">
        <v>46</v>
      </c>
      <c r="C452" t="s">
        <v>119</v>
      </c>
      <c r="D452" t="s">
        <v>121</v>
      </c>
      <c r="E452">
        <v>110</v>
      </c>
      <c r="F452">
        <v>358</v>
      </c>
      <c r="G452">
        <v>375</v>
      </c>
      <c r="H452">
        <v>317.39</v>
      </c>
      <c r="I452">
        <v>229.97</v>
      </c>
      <c r="J452">
        <v>54</v>
      </c>
      <c r="K452">
        <v>15</v>
      </c>
      <c r="L452" t="s">
        <v>143</v>
      </c>
      <c r="M452">
        <v>352</v>
      </c>
      <c r="N452">
        <v>5</v>
      </c>
      <c r="O452">
        <v>32</v>
      </c>
      <c r="P452" t="s">
        <v>215</v>
      </c>
      <c r="Q452" t="s">
        <v>218</v>
      </c>
      <c r="R452">
        <f t="shared" si="28"/>
        <v>-17</v>
      </c>
      <c r="S452">
        <f t="shared" si="29"/>
        <v>3.2545454545454544</v>
      </c>
      <c r="T452" t="str">
        <f t="shared" si="30"/>
        <v>Low Risk</v>
      </c>
      <c r="U452" t="str">
        <f t="shared" si="31"/>
        <v>Maintain Stock</v>
      </c>
    </row>
    <row r="453" spans="1:21" x14ac:dyDescent="0.25">
      <c r="A453">
        <v>452</v>
      </c>
      <c r="B453" t="s">
        <v>64</v>
      </c>
      <c r="C453" t="s">
        <v>119</v>
      </c>
      <c r="D453" t="s">
        <v>124</v>
      </c>
      <c r="E453">
        <v>51</v>
      </c>
      <c r="F453">
        <v>233</v>
      </c>
      <c r="G453">
        <v>240</v>
      </c>
      <c r="H453">
        <v>2805.93</v>
      </c>
      <c r="I453">
        <v>2130.5300000000002</v>
      </c>
      <c r="J453">
        <v>117</v>
      </c>
      <c r="K453">
        <v>1</v>
      </c>
      <c r="L453" t="s">
        <v>202</v>
      </c>
      <c r="M453">
        <v>116</v>
      </c>
      <c r="N453">
        <v>3</v>
      </c>
      <c r="O453">
        <v>46</v>
      </c>
      <c r="P453" t="s">
        <v>216</v>
      </c>
      <c r="Q453" t="s">
        <v>219</v>
      </c>
      <c r="R453">
        <f t="shared" si="28"/>
        <v>-7</v>
      </c>
      <c r="S453">
        <f t="shared" si="29"/>
        <v>4.5686274509803919</v>
      </c>
      <c r="T453" t="str">
        <f t="shared" si="30"/>
        <v>Low Risk</v>
      </c>
      <c r="U453" t="str">
        <f t="shared" si="31"/>
        <v>Maintain Stock</v>
      </c>
    </row>
    <row r="454" spans="1:21" x14ac:dyDescent="0.25">
      <c r="A454">
        <v>453</v>
      </c>
      <c r="B454" t="s">
        <v>61</v>
      </c>
      <c r="C454" t="s">
        <v>117</v>
      </c>
      <c r="D454" t="s">
        <v>122</v>
      </c>
      <c r="E454">
        <v>455</v>
      </c>
      <c r="F454">
        <v>320</v>
      </c>
      <c r="G454">
        <v>370</v>
      </c>
      <c r="H454">
        <v>4939.9399999999996</v>
      </c>
      <c r="I454">
        <v>3133.63</v>
      </c>
      <c r="J454">
        <v>69</v>
      </c>
      <c r="K454">
        <v>11</v>
      </c>
      <c r="L454" t="s">
        <v>196</v>
      </c>
      <c r="M454">
        <v>214</v>
      </c>
      <c r="N454">
        <v>4</v>
      </c>
      <c r="O454">
        <v>27</v>
      </c>
      <c r="P454" t="s">
        <v>215</v>
      </c>
      <c r="Q454" t="s">
        <v>217</v>
      </c>
      <c r="R454">
        <f t="shared" si="28"/>
        <v>-50</v>
      </c>
      <c r="S454">
        <f t="shared" si="29"/>
        <v>0.70329670329670335</v>
      </c>
      <c r="T454" t="str">
        <f t="shared" si="30"/>
        <v>Medium Risk</v>
      </c>
      <c r="U454" t="str">
        <f t="shared" si="31"/>
        <v>Monitor Sales</v>
      </c>
    </row>
    <row r="455" spans="1:21" x14ac:dyDescent="0.25">
      <c r="A455">
        <v>454</v>
      </c>
      <c r="B455" t="s">
        <v>23</v>
      </c>
      <c r="C455" t="s">
        <v>117</v>
      </c>
      <c r="D455" t="s">
        <v>123</v>
      </c>
      <c r="E455">
        <v>72</v>
      </c>
      <c r="F455">
        <v>374</v>
      </c>
      <c r="G455">
        <v>329</v>
      </c>
      <c r="H455">
        <v>3959.25</v>
      </c>
      <c r="I455">
        <v>2327.25</v>
      </c>
      <c r="J455">
        <v>39</v>
      </c>
      <c r="K455">
        <v>15</v>
      </c>
      <c r="L455" t="s">
        <v>152</v>
      </c>
      <c r="M455">
        <v>247</v>
      </c>
      <c r="N455">
        <v>5</v>
      </c>
      <c r="O455">
        <v>35</v>
      </c>
      <c r="P455" t="s">
        <v>216</v>
      </c>
      <c r="Q455" t="s">
        <v>219</v>
      </c>
      <c r="R455">
        <f t="shared" si="28"/>
        <v>45</v>
      </c>
      <c r="S455">
        <f t="shared" si="29"/>
        <v>5.1944444444444446</v>
      </c>
      <c r="T455" t="str">
        <f t="shared" si="30"/>
        <v>Low Risk</v>
      </c>
      <c r="U455" t="str">
        <f t="shared" si="31"/>
        <v>Maintain Stock</v>
      </c>
    </row>
    <row r="456" spans="1:21" x14ac:dyDescent="0.25">
      <c r="A456">
        <v>455</v>
      </c>
      <c r="B456" t="s">
        <v>60</v>
      </c>
      <c r="C456" t="s">
        <v>117</v>
      </c>
      <c r="D456" t="s">
        <v>123</v>
      </c>
      <c r="E456">
        <v>317</v>
      </c>
      <c r="F456">
        <v>162</v>
      </c>
      <c r="G456">
        <v>130</v>
      </c>
      <c r="H456">
        <v>1251.83</v>
      </c>
      <c r="I456">
        <v>707.89</v>
      </c>
      <c r="J456">
        <v>43</v>
      </c>
      <c r="K456">
        <v>13</v>
      </c>
      <c r="L456" t="s">
        <v>133</v>
      </c>
      <c r="M456">
        <v>65</v>
      </c>
      <c r="N456">
        <v>2</v>
      </c>
      <c r="O456">
        <v>20</v>
      </c>
      <c r="P456" t="s">
        <v>215</v>
      </c>
      <c r="Q456" t="s">
        <v>219</v>
      </c>
      <c r="R456">
        <f t="shared" si="28"/>
        <v>32</v>
      </c>
      <c r="S456">
        <f t="shared" si="29"/>
        <v>0.51104100946372244</v>
      </c>
      <c r="T456" t="str">
        <f t="shared" si="30"/>
        <v>Medium Risk</v>
      </c>
      <c r="U456" t="str">
        <f t="shared" si="31"/>
        <v>Monitor Sales</v>
      </c>
    </row>
    <row r="457" spans="1:21" x14ac:dyDescent="0.25">
      <c r="A457">
        <v>456</v>
      </c>
      <c r="B457" t="s">
        <v>66</v>
      </c>
      <c r="C457" t="s">
        <v>117</v>
      </c>
      <c r="D457" t="s">
        <v>124</v>
      </c>
      <c r="E457">
        <v>168</v>
      </c>
      <c r="F457">
        <v>103</v>
      </c>
      <c r="G457">
        <v>137</v>
      </c>
      <c r="H457">
        <v>278.14</v>
      </c>
      <c r="I457">
        <v>169.88</v>
      </c>
      <c r="J457">
        <v>128</v>
      </c>
      <c r="K457">
        <v>13</v>
      </c>
      <c r="L457" t="s">
        <v>207</v>
      </c>
      <c r="M457">
        <v>348</v>
      </c>
      <c r="N457">
        <v>1</v>
      </c>
      <c r="O457">
        <v>39</v>
      </c>
      <c r="P457" t="s">
        <v>216</v>
      </c>
      <c r="Q457" t="s">
        <v>218</v>
      </c>
      <c r="R457">
        <f t="shared" si="28"/>
        <v>-34</v>
      </c>
      <c r="S457">
        <f t="shared" si="29"/>
        <v>0.61309523809523814</v>
      </c>
      <c r="T457" t="str">
        <f t="shared" si="30"/>
        <v>Medium Risk</v>
      </c>
      <c r="U457" t="str">
        <f t="shared" si="31"/>
        <v>Monitor Sales</v>
      </c>
    </row>
    <row r="458" spans="1:21" x14ac:dyDescent="0.25">
      <c r="A458">
        <v>457</v>
      </c>
      <c r="B458" t="s">
        <v>69</v>
      </c>
      <c r="C458" t="s">
        <v>118</v>
      </c>
      <c r="D458" t="s">
        <v>122</v>
      </c>
      <c r="E458">
        <v>34</v>
      </c>
      <c r="F458">
        <v>253</v>
      </c>
      <c r="G458">
        <v>216</v>
      </c>
      <c r="H458">
        <v>3418.35</v>
      </c>
      <c r="I458">
        <v>2193.48</v>
      </c>
      <c r="J458">
        <v>116</v>
      </c>
      <c r="K458">
        <v>15</v>
      </c>
      <c r="L458" t="s">
        <v>178</v>
      </c>
      <c r="M458">
        <v>100</v>
      </c>
      <c r="N458">
        <v>3</v>
      </c>
      <c r="O458">
        <v>45</v>
      </c>
      <c r="P458" t="s">
        <v>216</v>
      </c>
      <c r="Q458" t="s">
        <v>218</v>
      </c>
      <c r="R458">
        <f t="shared" si="28"/>
        <v>37</v>
      </c>
      <c r="S458">
        <f t="shared" si="29"/>
        <v>7.4411764705882355</v>
      </c>
      <c r="T458" t="str">
        <f t="shared" si="30"/>
        <v>Low Risk</v>
      </c>
      <c r="U458" t="str">
        <f t="shared" si="31"/>
        <v>Maintain Stock</v>
      </c>
    </row>
    <row r="459" spans="1:21" x14ac:dyDescent="0.25">
      <c r="A459">
        <v>458</v>
      </c>
      <c r="B459" t="s">
        <v>66</v>
      </c>
      <c r="C459" t="s">
        <v>119</v>
      </c>
      <c r="D459" t="s">
        <v>122</v>
      </c>
      <c r="E459">
        <v>152</v>
      </c>
      <c r="F459">
        <v>345</v>
      </c>
      <c r="G459">
        <v>305</v>
      </c>
      <c r="H459">
        <v>540.76</v>
      </c>
      <c r="I459">
        <v>343.08</v>
      </c>
      <c r="J459">
        <v>40</v>
      </c>
      <c r="K459">
        <v>4</v>
      </c>
      <c r="L459" t="s">
        <v>130</v>
      </c>
      <c r="M459">
        <v>108</v>
      </c>
      <c r="N459">
        <v>5</v>
      </c>
      <c r="O459">
        <v>42</v>
      </c>
      <c r="P459" t="s">
        <v>216</v>
      </c>
      <c r="Q459" t="s">
        <v>217</v>
      </c>
      <c r="R459">
        <f t="shared" ref="R459:R522" si="32">F459-G459</f>
        <v>40</v>
      </c>
      <c r="S459">
        <f t="shared" si="29"/>
        <v>2.2697368421052633</v>
      </c>
      <c r="T459" t="str">
        <f t="shared" si="30"/>
        <v>Low Risk</v>
      </c>
      <c r="U459" t="str">
        <f t="shared" si="31"/>
        <v>Maintain Stock</v>
      </c>
    </row>
    <row r="460" spans="1:21" x14ac:dyDescent="0.25">
      <c r="A460">
        <v>459</v>
      </c>
      <c r="B460" t="s">
        <v>24</v>
      </c>
      <c r="C460" t="s">
        <v>120</v>
      </c>
      <c r="D460" t="s">
        <v>124</v>
      </c>
      <c r="E460">
        <v>495</v>
      </c>
      <c r="F460">
        <v>99</v>
      </c>
      <c r="G460">
        <v>132</v>
      </c>
      <c r="H460">
        <v>1109.74</v>
      </c>
      <c r="I460">
        <v>698.85</v>
      </c>
      <c r="J460">
        <v>117</v>
      </c>
      <c r="K460">
        <v>12</v>
      </c>
      <c r="L460" t="s">
        <v>131</v>
      </c>
      <c r="M460">
        <v>339</v>
      </c>
      <c r="N460">
        <v>4</v>
      </c>
      <c r="O460">
        <v>31</v>
      </c>
      <c r="P460" t="s">
        <v>216</v>
      </c>
      <c r="Q460" t="s">
        <v>217</v>
      </c>
      <c r="R460">
        <f t="shared" si="32"/>
        <v>-33</v>
      </c>
      <c r="S460">
        <f t="shared" si="29"/>
        <v>0.2</v>
      </c>
      <c r="T460" t="str">
        <f t="shared" si="30"/>
        <v>High Risk</v>
      </c>
      <c r="U460" t="str">
        <f t="shared" si="31"/>
        <v>Apply Discount / Promotion</v>
      </c>
    </row>
    <row r="461" spans="1:21" x14ac:dyDescent="0.25">
      <c r="A461">
        <v>460</v>
      </c>
      <c r="B461" t="s">
        <v>21</v>
      </c>
      <c r="C461" t="s">
        <v>120</v>
      </c>
      <c r="D461" t="s">
        <v>122</v>
      </c>
      <c r="E461">
        <v>430</v>
      </c>
      <c r="F461">
        <v>154</v>
      </c>
      <c r="G461">
        <v>121</v>
      </c>
      <c r="H461">
        <v>1425.87</v>
      </c>
      <c r="I461">
        <v>817.62</v>
      </c>
      <c r="J461">
        <v>127</v>
      </c>
      <c r="K461">
        <v>3</v>
      </c>
      <c r="L461" t="s">
        <v>208</v>
      </c>
      <c r="M461">
        <v>230</v>
      </c>
      <c r="N461">
        <v>4</v>
      </c>
      <c r="O461">
        <v>39</v>
      </c>
      <c r="P461" t="s">
        <v>216</v>
      </c>
      <c r="Q461" t="s">
        <v>218</v>
      </c>
      <c r="R461">
        <f t="shared" si="32"/>
        <v>33</v>
      </c>
      <c r="S461">
        <f t="shared" si="29"/>
        <v>0.35813953488372091</v>
      </c>
      <c r="T461" t="str">
        <f t="shared" si="30"/>
        <v>High Risk</v>
      </c>
      <c r="U461" t="str">
        <f t="shared" si="31"/>
        <v>Apply Discount / Promotion</v>
      </c>
    </row>
    <row r="462" spans="1:21" x14ac:dyDescent="0.25">
      <c r="A462">
        <v>461</v>
      </c>
      <c r="B462" t="s">
        <v>110</v>
      </c>
      <c r="C462" t="s">
        <v>118</v>
      </c>
      <c r="D462" t="s">
        <v>123</v>
      </c>
      <c r="E462">
        <v>327</v>
      </c>
      <c r="F462">
        <v>293</v>
      </c>
      <c r="G462">
        <v>246</v>
      </c>
      <c r="H462">
        <v>4812.72</v>
      </c>
      <c r="I462">
        <v>3759.68</v>
      </c>
      <c r="J462">
        <v>64</v>
      </c>
      <c r="K462">
        <v>13</v>
      </c>
      <c r="L462" t="s">
        <v>172</v>
      </c>
      <c r="M462">
        <v>157</v>
      </c>
      <c r="N462">
        <v>5</v>
      </c>
      <c r="O462">
        <v>30</v>
      </c>
      <c r="P462" t="s">
        <v>215</v>
      </c>
      <c r="Q462" t="s">
        <v>217</v>
      </c>
      <c r="R462">
        <f t="shared" si="32"/>
        <v>47</v>
      </c>
      <c r="S462">
        <f t="shared" si="29"/>
        <v>0.89602446483180431</v>
      </c>
      <c r="T462" t="str">
        <f t="shared" si="30"/>
        <v>Medium Risk</v>
      </c>
      <c r="U462" t="str">
        <f t="shared" si="31"/>
        <v>Monitor Sales</v>
      </c>
    </row>
    <row r="463" spans="1:21" x14ac:dyDescent="0.25">
      <c r="A463">
        <v>462</v>
      </c>
      <c r="B463" t="s">
        <v>27</v>
      </c>
      <c r="C463" t="s">
        <v>120</v>
      </c>
      <c r="D463" t="s">
        <v>124</v>
      </c>
      <c r="E463">
        <v>448</v>
      </c>
      <c r="F463">
        <v>262</v>
      </c>
      <c r="G463">
        <v>223</v>
      </c>
      <c r="H463">
        <v>214.97</v>
      </c>
      <c r="I463">
        <v>132.02000000000001</v>
      </c>
      <c r="J463">
        <v>59</v>
      </c>
      <c r="K463">
        <v>2</v>
      </c>
      <c r="L463" t="s">
        <v>205</v>
      </c>
      <c r="M463">
        <v>165</v>
      </c>
      <c r="N463">
        <v>5</v>
      </c>
      <c r="O463">
        <v>15</v>
      </c>
      <c r="P463" t="s">
        <v>215</v>
      </c>
      <c r="Q463" t="s">
        <v>219</v>
      </c>
      <c r="R463">
        <f t="shared" si="32"/>
        <v>39</v>
      </c>
      <c r="S463">
        <f t="shared" si="29"/>
        <v>0.5848214285714286</v>
      </c>
      <c r="T463" t="str">
        <f t="shared" si="30"/>
        <v>Medium Risk</v>
      </c>
      <c r="U463" t="str">
        <f t="shared" si="31"/>
        <v>Monitor Sales</v>
      </c>
    </row>
    <row r="464" spans="1:21" x14ac:dyDescent="0.25">
      <c r="A464">
        <v>463</v>
      </c>
      <c r="B464" t="s">
        <v>43</v>
      </c>
      <c r="C464" t="s">
        <v>118</v>
      </c>
      <c r="D464" t="s">
        <v>124</v>
      </c>
      <c r="E464">
        <v>379</v>
      </c>
      <c r="F464">
        <v>300</v>
      </c>
      <c r="G464">
        <v>330</v>
      </c>
      <c r="H464">
        <v>399.33</v>
      </c>
      <c r="I464">
        <v>304.73</v>
      </c>
      <c r="J464">
        <v>46</v>
      </c>
      <c r="K464">
        <v>11</v>
      </c>
      <c r="L464" t="s">
        <v>151</v>
      </c>
      <c r="M464">
        <v>323</v>
      </c>
      <c r="N464">
        <v>3</v>
      </c>
      <c r="O464">
        <v>4</v>
      </c>
      <c r="P464" t="s">
        <v>216</v>
      </c>
      <c r="Q464" t="s">
        <v>217</v>
      </c>
      <c r="R464">
        <f t="shared" si="32"/>
        <v>-30</v>
      </c>
      <c r="S464">
        <f t="shared" si="29"/>
        <v>0.79155672823218992</v>
      </c>
      <c r="T464" t="str">
        <f t="shared" si="30"/>
        <v>Medium Risk</v>
      </c>
      <c r="U464" t="str">
        <f t="shared" si="31"/>
        <v>Monitor Sales</v>
      </c>
    </row>
    <row r="465" spans="1:21" x14ac:dyDescent="0.25">
      <c r="A465">
        <v>464</v>
      </c>
      <c r="B465" t="s">
        <v>110</v>
      </c>
      <c r="C465" t="s">
        <v>120</v>
      </c>
      <c r="D465" t="s">
        <v>124</v>
      </c>
      <c r="E465">
        <v>355</v>
      </c>
      <c r="F465">
        <v>148</v>
      </c>
      <c r="G465">
        <v>159</v>
      </c>
      <c r="H465">
        <v>3407.68</v>
      </c>
      <c r="I465">
        <v>2379.4899999999998</v>
      </c>
      <c r="J465">
        <v>80</v>
      </c>
      <c r="K465">
        <v>14</v>
      </c>
      <c r="L465" t="s">
        <v>161</v>
      </c>
      <c r="M465">
        <v>186</v>
      </c>
      <c r="N465">
        <v>5</v>
      </c>
      <c r="O465">
        <v>1</v>
      </c>
      <c r="P465" t="s">
        <v>216</v>
      </c>
      <c r="Q465" t="s">
        <v>217</v>
      </c>
      <c r="R465">
        <f t="shared" si="32"/>
        <v>-11</v>
      </c>
      <c r="S465">
        <f t="shared" si="29"/>
        <v>0.41690140845070423</v>
      </c>
      <c r="T465" t="str">
        <f t="shared" si="30"/>
        <v>High Risk</v>
      </c>
      <c r="U465" t="str">
        <f t="shared" si="31"/>
        <v>Apply Discount / Promotion</v>
      </c>
    </row>
    <row r="466" spans="1:21" x14ac:dyDescent="0.25">
      <c r="A466">
        <v>465</v>
      </c>
      <c r="B466" t="s">
        <v>68</v>
      </c>
      <c r="C466" t="s">
        <v>117</v>
      </c>
      <c r="D466" t="s">
        <v>122</v>
      </c>
      <c r="E466">
        <v>167</v>
      </c>
      <c r="F466">
        <v>273</v>
      </c>
      <c r="G466">
        <v>227</v>
      </c>
      <c r="H466">
        <v>927.02</v>
      </c>
      <c r="I466">
        <v>615.79</v>
      </c>
      <c r="J466">
        <v>87</v>
      </c>
      <c r="K466">
        <v>9</v>
      </c>
      <c r="L466" t="s">
        <v>204</v>
      </c>
      <c r="M466">
        <v>287</v>
      </c>
      <c r="N466">
        <v>2</v>
      </c>
      <c r="O466">
        <v>14</v>
      </c>
      <c r="P466" t="s">
        <v>216</v>
      </c>
      <c r="Q466" t="s">
        <v>218</v>
      </c>
      <c r="R466">
        <f t="shared" si="32"/>
        <v>46</v>
      </c>
      <c r="S466">
        <f t="shared" si="29"/>
        <v>1.6347305389221556</v>
      </c>
      <c r="T466" t="str">
        <f t="shared" si="30"/>
        <v>Low Risk</v>
      </c>
      <c r="U466" t="str">
        <f t="shared" si="31"/>
        <v>Maintain Stock</v>
      </c>
    </row>
    <row r="467" spans="1:21" x14ac:dyDescent="0.25">
      <c r="A467">
        <v>466</v>
      </c>
      <c r="B467" t="s">
        <v>79</v>
      </c>
      <c r="C467" t="s">
        <v>119</v>
      </c>
      <c r="D467" t="s">
        <v>124</v>
      </c>
      <c r="E467">
        <v>380</v>
      </c>
      <c r="F467">
        <v>300</v>
      </c>
      <c r="G467">
        <v>275</v>
      </c>
      <c r="H467">
        <v>1612.28</v>
      </c>
      <c r="I467">
        <v>828.63</v>
      </c>
      <c r="J467">
        <v>76</v>
      </c>
      <c r="K467">
        <v>7</v>
      </c>
      <c r="L467" t="s">
        <v>181</v>
      </c>
      <c r="M467">
        <v>182</v>
      </c>
      <c r="N467">
        <v>3</v>
      </c>
      <c r="O467">
        <v>40</v>
      </c>
      <c r="P467" t="s">
        <v>215</v>
      </c>
      <c r="Q467" t="s">
        <v>219</v>
      </c>
      <c r="R467">
        <f t="shared" si="32"/>
        <v>25</v>
      </c>
      <c r="S467">
        <f t="shared" si="29"/>
        <v>0.78947368421052633</v>
      </c>
      <c r="T467" t="str">
        <f t="shared" si="30"/>
        <v>Medium Risk</v>
      </c>
      <c r="U467" t="str">
        <f t="shared" si="31"/>
        <v>Monitor Sales</v>
      </c>
    </row>
    <row r="468" spans="1:21" x14ac:dyDescent="0.25">
      <c r="A468">
        <v>467</v>
      </c>
      <c r="B468" t="s">
        <v>62</v>
      </c>
      <c r="C468" t="s">
        <v>116</v>
      </c>
      <c r="D468" t="s">
        <v>121</v>
      </c>
      <c r="E468">
        <v>318</v>
      </c>
      <c r="F468">
        <v>63</v>
      </c>
      <c r="G468">
        <v>20</v>
      </c>
      <c r="H468">
        <v>711.25</v>
      </c>
      <c r="I468">
        <v>397.28</v>
      </c>
      <c r="J468">
        <v>97</v>
      </c>
      <c r="K468">
        <v>11</v>
      </c>
      <c r="L468" t="s">
        <v>133</v>
      </c>
      <c r="M468">
        <v>362</v>
      </c>
      <c r="N468">
        <v>3</v>
      </c>
      <c r="O468">
        <v>11</v>
      </c>
      <c r="P468" t="s">
        <v>216</v>
      </c>
      <c r="Q468" t="s">
        <v>219</v>
      </c>
      <c r="R468">
        <f t="shared" si="32"/>
        <v>43</v>
      </c>
      <c r="S468">
        <f t="shared" si="29"/>
        <v>0.19811320754716982</v>
      </c>
      <c r="T468" t="str">
        <f t="shared" si="30"/>
        <v>High Risk</v>
      </c>
      <c r="U468" t="str">
        <f t="shared" si="31"/>
        <v>Apply Discount / Promotion</v>
      </c>
    </row>
    <row r="469" spans="1:21" x14ac:dyDescent="0.25">
      <c r="A469">
        <v>468</v>
      </c>
      <c r="B469" t="s">
        <v>16</v>
      </c>
      <c r="C469" t="s">
        <v>119</v>
      </c>
      <c r="D469" t="s">
        <v>122</v>
      </c>
      <c r="E469">
        <v>192</v>
      </c>
      <c r="F469">
        <v>206</v>
      </c>
      <c r="G469">
        <v>215</v>
      </c>
      <c r="H469">
        <v>2896.7</v>
      </c>
      <c r="I469">
        <v>1821.76</v>
      </c>
      <c r="J469">
        <v>120</v>
      </c>
      <c r="K469">
        <v>4</v>
      </c>
      <c r="L469" t="s">
        <v>156</v>
      </c>
      <c r="M469">
        <v>314</v>
      </c>
      <c r="N469">
        <v>4</v>
      </c>
      <c r="O469">
        <v>48</v>
      </c>
      <c r="P469" t="s">
        <v>216</v>
      </c>
      <c r="Q469" t="s">
        <v>218</v>
      </c>
      <c r="R469">
        <f t="shared" si="32"/>
        <v>-9</v>
      </c>
      <c r="S469">
        <f t="shared" si="29"/>
        <v>1.0729166666666667</v>
      </c>
      <c r="T469" t="str">
        <f t="shared" si="30"/>
        <v>Low Risk</v>
      </c>
      <c r="U469" t="str">
        <f t="shared" si="31"/>
        <v>Maintain Stock</v>
      </c>
    </row>
    <row r="470" spans="1:21" x14ac:dyDescent="0.25">
      <c r="A470">
        <v>469</v>
      </c>
      <c r="B470" t="s">
        <v>28</v>
      </c>
      <c r="C470" t="s">
        <v>118</v>
      </c>
      <c r="D470" t="s">
        <v>123</v>
      </c>
      <c r="E470">
        <v>89</v>
      </c>
      <c r="F470">
        <v>184</v>
      </c>
      <c r="G470">
        <v>189</v>
      </c>
      <c r="H470">
        <v>2279.66</v>
      </c>
      <c r="I470">
        <v>1815.82</v>
      </c>
      <c r="J470">
        <v>55</v>
      </c>
      <c r="K470">
        <v>13</v>
      </c>
      <c r="L470" t="s">
        <v>144</v>
      </c>
      <c r="M470">
        <v>44</v>
      </c>
      <c r="N470">
        <v>4</v>
      </c>
      <c r="O470">
        <v>40</v>
      </c>
      <c r="P470" t="s">
        <v>215</v>
      </c>
      <c r="Q470" t="s">
        <v>219</v>
      </c>
      <c r="R470">
        <f t="shared" si="32"/>
        <v>-5</v>
      </c>
      <c r="S470">
        <f t="shared" si="29"/>
        <v>2.0674157303370788</v>
      </c>
      <c r="T470" t="str">
        <f t="shared" si="30"/>
        <v>Low Risk</v>
      </c>
      <c r="U470" t="str">
        <f t="shared" si="31"/>
        <v>Maintain Stock</v>
      </c>
    </row>
    <row r="471" spans="1:21" x14ac:dyDescent="0.25">
      <c r="A471">
        <v>470</v>
      </c>
      <c r="B471" t="s">
        <v>112</v>
      </c>
      <c r="C471" t="s">
        <v>119</v>
      </c>
      <c r="D471" t="s">
        <v>123</v>
      </c>
      <c r="E471">
        <v>352</v>
      </c>
      <c r="F471">
        <v>190</v>
      </c>
      <c r="G471">
        <v>236</v>
      </c>
      <c r="H471">
        <v>3150.78</v>
      </c>
      <c r="I471">
        <v>1633.17</v>
      </c>
      <c r="J471">
        <v>137</v>
      </c>
      <c r="K471">
        <v>9</v>
      </c>
      <c r="L471" t="s">
        <v>172</v>
      </c>
      <c r="M471">
        <v>138</v>
      </c>
      <c r="N471">
        <v>5</v>
      </c>
      <c r="O471">
        <v>2</v>
      </c>
      <c r="P471" t="s">
        <v>215</v>
      </c>
      <c r="Q471" t="s">
        <v>217</v>
      </c>
      <c r="R471">
        <f t="shared" si="32"/>
        <v>-46</v>
      </c>
      <c r="S471">
        <f t="shared" si="29"/>
        <v>0.53977272727272729</v>
      </c>
      <c r="T471" t="str">
        <f t="shared" si="30"/>
        <v>Medium Risk</v>
      </c>
      <c r="U471" t="str">
        <f t="shared" si="31"/>
        <v>Monitor Sales</v>
      </c>
    </row>
    <row r="472" spans="1:21" x14ac:dyDescent="0.25">
      <c r="A472">
        <v>471</v>
      </c>
      <c r="B472" t="s">
        <v>52</v>
      </c>
      <c r="C472" t="s">
        <v>119</v>
      </c>
      <c r="D472" t="s">
        <v>124</v>
      </c>
      <c r="E472">
        <v>189</v>
      </c>
      <c r="F472">
        <v>251</v>
      </c>
      <c r="G472">
        <v>297</v>
      </c>
      <c r="H472">
        <v>2498.17</v>
      </c>
      <c r="I472">
        <v>1348.58</v>
      </c>
      <c r="J472">
        <v>58</v>
      </c>
      <c r="K472">
        <v>9</v>
      </c>
      <c r="L472" t="s">
        <v>125</v>
      </c>
      <c r="M472">
        <v>334</v>
      </c>
      <c r="N472">
        <v>2</v>
      </c>
      <c r="O472">
        <v>1</v>
      </c>
      <c r="P472" t="s">
        <v>215</v>
      </c>
      <c r="Q472" t="s">
        <v>218</v>
      </c>
      <c r="R472">
        <f t="shared" si="32"/>
        <v>-46</v>
      </c>
      <c r="S472">
        <f t="shared" si="29"/>
        <v>1.3280423280423281</v>
      </c>
      <c r="T472" t="str">
        <f t="shared" si="30"/>
        <v>Low Risk</v>
      </c>
      <c r="U472" t="str">
        <f t="shared" si="31"/>
        <v>Maintain Stock</v>
      </c>
    </row>
    <row r="473" spans="1:21" x14ac:dyDescent="0.25">
      <c r="A473">
        <v>472</v>
      </c>
      <c r="B473" t="s">
        <v>101</v>
      </c>
      <c r="C473" t="s">
        <v>116</v>
      </c>
      <c r="D473" t="s">
        <v>123</v>
      </c>
      <c r="E473">
        <v>477</v>
      </c>
      <c r="F473">
        <v>239</v>
      </c>
      <c r="G473">
        <v>265</v>
      </c>
      <c r="H473">
        <v>1307.79</v>
      </c>
      <c r="I473">
        <v>996.4</v>
      </c>
      <c r="J473">
        <v>61</v>
      </c>
      <c r="K473">
        <v>15</v>
      </c>
      <c r="L473" t="s">
        <v>181</v>
      </c>
      <c r="M473">
        <v>242</v>
      </c>
      <c r="N473">
        <v>2</v>
      </c>
      <c r="O473">
        <v>15</v>
      </c>
      <c r="P473" t="s">
        <v>216</v>
      </c>
      <c r="Q473" t="s">
        <v>218</v>
      </c>
      <c r="R473">
        <f t="shared" si="32"/>
        <v>-26</v>
      </c>
      <c r="S473">
        <f t="shared" si="29"/>
        <v>0.50104821802935007</v>
      </c>
      <c r="T473" t="str">
        <f t="shared" si="30"/>
        <v>Medium Risk</v>
      </c>
      <c r="U473" t="str">
        <f t="shared" si="31"/>
        <v>Monitor Sales</v>
      </c>
    </row>
    <row r="474" spans="1:21" x14ac:dyDescent="0.25">
      <c r="A474">
        <v>473</v>
      </c>
      <c r="B474" t="s">
        <v>99</v>
      </c>
      <c r="C474" t="s">
        <v>119</v>
      </c>
      <c r="D474" t="s">
        <v>124</v>
      </c>
      <c r="E474">
        <v>132</v>
      </c>
      <c r="F474">
        <v>61</v>
      </c>
      <c r="G474">
        <v>35</v>
      </c>
      <c r="H474">
        <v>4550.07</v>
      </c>
      <c r="I474">
        <v>3341.41</v>
      </c>
      <c r="J474">
        <v>30</v>
      </c>
      <c r="K474">
        <v>11</v>
      </c>
      <c r="L474" t="s">
        <v>169</v>
      </c>
      <c r="M474">
        <v>49</v>
      </c>
      <c r="N474">
        <v>4</v>
      </c>
      <c r="O474">
        <v>15</v>
      </c>
      <c r="P474" t="s">
        <v>216</v>
      </c>
      <c r="Q474" t="s">
        <v>218</v>
      </c>
      <c r="R474">
        <f t="shared" si="32"/>
        <v>26</v>
      </c>
      <c r="S474">
        <f t="shared" si="29"/>
        <v>0.4621212121212121</v>
      </c>
      <c r="T474" t="str">
        <f t="shared" si="30"/>
        <v>High Risk</v>
      </c>
      <c r="U474" t="str">
        <f t="shared" si="31"/>
        <v>Apply Discount / Promotion</v>
      </c>
    </row>
    <row r="475" spans="1:21" x14ac:dyDescent="0.25">
      <c r="A475">
        <v>474</v>
      </c>
      <c r="B475" t="s">
        <v>28</v>
      </c>
      <c r="C475" t="s">
        <v>120</v>
      </c>
      <c r="D475" t="s">
        <v>123</v>
      </c>
      <c r="E475">
        <v>173</v>
      </c>
      <c r="F475">
        <v>25</v>
      </c>
      <c r="G475">
        <v>67</v>
      </c>
      <c r="H475">
        <v>1694.54</v>
      </c>
      <c r="I475">
        <v>983.05</v>
      </c>
      <c r="J475">
        <v>115</v>
      </c>
      <c r="K475">
        <v>12</v>
      </c>
      <c r="L475" t="s">
        <v>150</v>
      </c>
      <c r="M475">
        <v>41</v>
      </c>
      <c r="N475">
        <v>3</v>
      </c>
      <c r="O475">
        <v>10</v>
      </c>
      <c r="P475" t="s">
        <v>215</v>
      </c>
      <c r="Q475" t="s">
        <v>219</v>
      </c>
      <c r="R475">
        <f t="shared" si="32"/>
        <v>-42</v>
      </c>
      <c r="S475">
        <f t="shared" si="29"/>
        <v>0.14450867052023122</v>
      </c>
      <c r="T475" t="str">
        <f t="shared" si="30"/>
        <v>High Risk</v>
      </c>
      <c r="U475" t="str">
        <f t="shared" si="31"/>
        <v>Apply Discount / Promotion</v>
      </c>
    </row>
    <row r="476" spans="1:21" x14ac:dyDescent="0.25">
      <c r="A476">
        <v>475</v>
      </c>
      <c r="B476" t="s">
        <v>113</v>
      </c>
      <c r="C476" t="s">
        <v>120</v>
      </c>
      <c r="D476" t="s">
        <v>122</v>
      </c>
      <c r="E476">
        <v>28</v>
      </c>
      <c r="F476">
        <v>330</v>
      </c>
      <c r="G476">
        <v>362</v>
      </c>
      <c r="H476">
        <v>3576.62</v>
      </c>
      <c r="I476">
        <v>2812.91</v>
      </c>
      <c r="J476">
        <v>102</v>
      </c>
      <c r="K476">
        <v>12</v>
      </c>
      <c r="L476" t="s">
        <v>196</v>
      </c>
      <c r="M476">
        <v>176</v>
      </c>
      <c r="N476">
        <v>5</v>
      </c>
      <c r="O476">
        <v>13</v>
      </c>
      <c r="P476" t="s">
        <v>215</v>
      </c>
      <c r="Q476" t="s">
        <v>219</v>
      </c>
      <c r="R476">
        <f t="shared" si="32"/>
        <v>-32</v>
      </c>
      <c r="S476">
        <f t="shared" si="29"/>
        <v>11.785714285714286</v>
      </c>
      <c r="T476" t="str">
        <f t="shared" si="30"/>
        <v>Low Risk</v>
      </c>
      <c r="U476" t="str">
        <f t="shared" si="31"/>
        <v>Maintain Stock</v>
      </c>
    </row>
    <row r="477" spans="1:21" x14ac:dyDescent="0.25">
      <c r="A477">
        <v>476</v>
      </c>
      <c r="B477" t="s">
        <v>61</v>
      </c>
      <c r="C477" t="s">
        <v>120</v>
      </c>
      <c r="D477" t="s">
        <v>123</v>
      </c>
      <c r="E477">
        <v>352</v>
      </c>
      <c r="F477">
        <v>352</v>
      </c>
      <c r="G477">
        <v>336</v>
      </c>
      <c r="H477">
        <v>4258.8599999999997</v>
      </c>
      <c r="I477">
        <v>2493.66</v>
      </c>
      <c r="J477">
        <v>87</v>
      </c>
      <c r="K477">
        <v>10</v>
      </c>
      <c r="L477" t="s">
        <v>207</v>
      </c>
      <c r="M477">
        <v>248</v>
      </c>
      <c r="N477">
        <v>2</v>
      </c>
      <c r="O477">
        <v>32</v>
      </c>
      <c r="P477" t="s">
        <v>215</v>
      </c>
      <c r="Q477" t="s">
        <v>217</v>
      </c>
      <c r="R477">
        <f t="shared" si="32"/>
        <v>16</v>
      </c>
      <c r="S477">
        <f t="shared" si="29"/>
        <v>1</v>
      </c>
      <c r="T477" t="str">
        <f t="shared" si="30"/>
        <v>Low Risk</v>
      </c>
      <c r="U477" t="str">
        <f t="shared" si="31"/>
        <v>Maintain Stock</v>
      </c>
    </row>
    <row r="478" spans="1:21" x14ac:dyDescent="0.25">
      <c r="A478">
        <v>477</v>
      </c>
      <c r="B478" t="s">
        <v>97</v>
      </c>
      <c r="C478" t="s">
        <v>116</v>
      </c>
      <c r="D478" t="s">
        <v>123</v>
      </c>
      <c r="E478">
        <v>323</v>
      </c>
      <c r="F478">
        <v>168</v>
      </c>
      <c r="G478">
        <v>166</v>
      </c>
      <c r="H478">
        <v>1141.6099999999999</v>
      </c>
      <c r="I478">
        <v>812.2</v>
      </c>
      <c r="J478">
        <v>33</v>
      </c>
      <c r="K478">
        <v>2</v>
      </c>
      <c r="L478" t="s">
        <v>139</v>
      </c>
      <c r="M478">
        <v>103</v>
      </c>
      <c r="N478">
        <v>2</v>
      </c>
      <c r="O478">
        <v>40</v>
      </c>
      <c r="P478" t="s">
        <v>215</v>
      </c>
      <c r="Q478" t="s">
        <v>219</v>
      </c>
      <c r="R478">
        <f t="shared" si="32"/>
        <v>2</v>
      </c>
      <c r="S478">
        <f t="shared" si="29"/>
        <v>0.52012383900928794</v>
      </c>
      <c r="T478" t="str">
        <f t="shared" si="30"/>
        <v>Medium Risk</v>
      </c>
      <c r="U478" t="str">
        <f t="shared" si="31"/>
        <v>Monitor Sales</v>
      </c>
    </row>
    <row r="479" spans="1:21" x14ac:dyDescent="0.25">
      <c r="A479">
        <v>478</v>
      </c>
      <c r="B479" t="s">
        <v>95</v>
      </c>
      <c r="C479" t="s">
        <v>119</v>
      </c>
      <c r="D479" t="s">
        <v>122</v>
      </c>
      <c r="E479">
        <v>106</v>
      </c>
      <c r="F479">
        <v>236</v>
      </c>
      <c r="G479">
        <v>277</v>
      </c>
      <c r="H479">
        <v>3490.07</v>
      </c>
      <c r="I479">
        <v>2325.11</v>
      </c>
      <c r="J479">
        <v>57</v>
      </c>
      <c r="K479">
        <v>6</v>
      </c>
      <c r="L479" t="s">
        <v>176</v>
      </c>
      <c r="M479">
        <v>89</v>
      </c>
      <c r="N479">
        <v>2</v>
      </c>
      <c r="O479">
        <v>33</v>
      </c>
      <c r="P479" t="s">
        <v>216</v>
      </c>
      <c r="Q479" t="s">
        <v>218</v>
      </c>
      <c r="R479">
        <f t="shared" si="32"/>
        <v>-41</v>
      </c>
      <c r="S479">
        <f t="shared" si="29"/>
        <v>2.2264150943396226</v>
      </c>
      <c r="T479" t="str">
        <f t="shared" si="30"/>
        <v>Low Risk</v>
      </c>
      <c r="U479" t="str">
        <f t="shared" si="31"/>
        <v>Maintain Stock</v>
      </c>
    </row>
    <row r="480" spans="1:21" x14ac:dyDescent="0.25">
      <c r="A480">
        <v>479</v>
      </c>
      <c r="B480" t="s">
        <v>93</v>
      </c>
      <c r="C480" t="s">
        <v>119</v>
      </c>
      <c r="D480" t="s">
        <v>124</v>
      </c>
      <c r="E480">
        <v>162</v>
      </c>
      <c r="F480">
        <v>152</v>
      </c>
      <c r="G480">
        <v>116</v>
      </c>
      <c r="H480">
        <v>2077.5500000000002</v>
      </c>
      <c r="I480">
        <v>1463.04</v>
      </c>
      <c r="J480">
        <v>112</v>
      </c>
      <c r="K480">
        <v>5</v>
      </c>
      <c r="L480" t="s">
        <v>203</v>
      </c>
      <c r="M480">
        <v>79</v>
      </c>
      <c r="N480">
        <v>2</v>
      </c>
      <c r="O480">
        <v>38</v>
      </c>
      <c r="P480" t="s">
        <v>216</v>
      </c>
      <c r="Q480" t="s">
        <v>218</v>
      </c>
      <c r="R480">
        <f t="shared" si="32"/>
        <v>36</v>
      </c>
      <c r="S480">
        <f t="shared" si="29"/>
        <v>0.93827160493827155</v>
      </c>
      <c r="T480" t="str">
        <f t="shared" si="30"/>
        <v>Medium Risk</v>
      </c>
      <c r="U480" t="str">
        <f t="shared" si="31"/>
        <v>Monitor Sales</v>
      </c>
    </row>
    <row r="481" spans="1:21" x14ac:dyDescent="0.25">
      <c r="A481">
        <v>480</v>
      </c>
      <c r="B481" t="s">
        <v>100</v>
      </c>
      <c r="C481" t="s">
        <v>117</v>
      </c>
      <c r="D481" t="s">
        <v>123</v>
      </c>
      <c r="E481">
        <v>439</v>
      </c>
      <c r="F481">
        <v>428</v>
      </c>
      <c r="G481">
        <v>398</v>
      </c>
      <c r="H481">
        <v>2914.05</v>
      </c>
      <c r="I481">
        <v>1679</v>
      </c>
      <c r="J481">
        <v>109</v>
      </c>
      <c r="K481">
        <v>7</v>
      </c>
      <c r="L481" t="s">
        <v>141</v>
      </c>
      <c r="M481">
        <v>110</v>
      </c>
      <c r="N481">
        <v>1</v>
      </c>
      <c r="O481">
        <v>3</v>
      </c>
      <c r="P481" t="s">
        <v>215</v>
      </c>
      <c r="Q481" t="s">
        <v>217</v>
      </c>
      <c r="R481">
        <f t="shared" si="32"/>
        <v>30</v>
      </c>
      <c r="S481">
        <f t="shared" si="29"/>
        <v>0.97494305239179957</v>
      </c>
      <c r="T481" t="str">
        <f t="shared" si="30"/>
        <v>Medium Risk</v>
      </c>
      <c r="U481" t="str">
        <f t="shared" si="31"/>
        <v>Monitor Sales</v>
      </c>
    </row>
    <row r="482" spans="1:21" x14ac:dyDescent="0.25">
      <c r="A482">
        <v>481</v>
      </c>
      <c r="B482" t="s">
        <v>27</v>
      </c>
      <c r="C482" t="s">
        <v>118</v>
      </c>
      <c r="D482" t="s">
        <v>121</v>
      </c>
      <c r="E482">
        <v>488</v>
      </c>
      <c r="F482">
        <v>317</v>
      </c>
      <c r="G482">
        <v>344</v>
      </c>
      <c r="H482">
        <v>4630.3500000000004</v>
      </c>
      <c r="I482">
        <v>3237.5</v>
      </c>
      <c r="J482">
        <v>131</v>
      </c>
      <c r="K482">
        <v>2</v>
      </c>
      <c r="L482" t="s">
        <v>168</v>
      </c>
      <c r="M482">
        <v>156</v>
      </c>
      <c r="N482">
        <v>5</v>
      </c>
      <c r="O482">
        <v>36</v>
      </c>
      <c r="P482" t="s">
        <v>215</v>
      </c>
      <c r="Q482" t="s">
        <v>219</v>
      </c>
      <c r="R482">
        <f t="shared" si="32"/>
        <v>-27</v>
      </c>
      <c r="S482">
        <f t="shared" si="29"/>
        <v>0.64959016393442626</v>
      </c>
      <c r="T482" t="str">
        <f t="shared" si="30"/>
        <v>Medium Risk</v>
      </c>
      <c r="U482" t="str">
        <f t="shared" si="31"/>
        <v>Monitor Sales</v>
      </c>
    </row>
    <row r="483" spans="1:21" x14ac:dyDescent="0.25">
      <c r="A483">
        <v>482</v>
      </c>
      <c r="B483" t="s">
        <v>64</v>
      </c>
      <c r="C483" t="s">
        <v>117</v>
      </c>
      <c r="D483" t="s">
        <v>122</v>
      </c>
      <c r="E483">
        <v>340</v>
      </c>
      <c r="F483">
        <v>423</v>
      </c>
      <c r="G483">
        <v>395</v>
      </c>
      <c r="H483">
        <v>2874.23</v>
      </c>
      <c r="I483">
        <v>1460.79</v>
      </c>
      <c r="J483">
        <v>60</v>
      </c>
      <c r="K483">
        <v>14</v>
      </c>
      <c r="L483" t="s">
        <v>147</v>
      </c>
      <c r="M483">
        <v>118</v>
      </c>
      <c r="N483">
        <v>4</v>
      </c>
      <c r="O483">
        <v>44</v>
      </c>
      <c r="P483" t="s">
        <v>216</v>
      </c>
      <c r="Q483" t="s">
        <v>217</v>
      </c>
      <c r="R483">
        <f t="shared" si="32"/>
        <v>28</v>
      </c>
      <c r="S483">
        <f t="shared" si="29"/>
        <v>1.2441176470588236</v>
      </c>
      <c r="T483" t="str">
        <f t="shared" si="30"/>
        <v>Low Risk</v>
      </c>
      <c r="U483" t="str">
        <f t="shared" si="31"/>
        <v>Maintain Stock</v>
      </c>
    </row>
    <row r="484" spans="1:21" x14ac:dyDescent="0.25">
      <c r="A484">
        <v>483</v>
      </c>
      <c r="B484" t="s">
        <v>53</v>
      </c>
      <c r="C484" t="s">
        <v>118</v>
      </c>
      <c r="D484" t="s">
        <v>122</v>
      </c>
      <c r="E484">
        <v>85</v>
      </c>
      <c r="F484">
        <v>361</v>
      </c>
      <c r="G484">
        <v>318</v>
      </c>
      <c r="H484">
        <v>3236.8</v>
      </c>
      <c r="I484">
        <v>2457</v>
      </c>
      <c r="J484">
        <v>34</v>
      </c>
      <c r="K484">
        <v>3</v>
      </c>
      <c r="L484" t="s">
        <v>208</v>
      </c>
      <c r="M484">
        <v>146</v>
      </c>
      <c r="N484">
        <v>5</v>
      </c>
      <c r="O484">
        <v>38</v>
      </c>
      <c r="P484" t="s">
        <v>216</v>
      </c>
      <c r="Q484" t="s">
        <v>219</v>
      </c>
      <c r="R484">
        <f t="shared" si="32"/>
        <v>43</v>
      </c>
      <c r="S484">
        <f t="shared" si="29"/>
        <v>4.2470588235294118</v>
      </c>
      <c r="T484" t="str">
        <f t="shared" si="30"/>
        <v>Low Risk</v>
      </c>
      <c r="U484" t="str">
        <f t="shared" si="31"/>
        <v>Maintain Stock</v>
      </c>
    </row>
    <row r="485" spans="1:21" x14ac:dyDescent="0.25">
      <c r="A485">
        <v>484</v>
      </c>
      <c r="B485" t="s">
        <v>55</v>
      </c>
      <c r="C485" t="s">
        <v>118</v>
      </c>
      <c r="D485" t="s">
        <v>121</v>
      </c>
      <c r="E485">
        <v>409</v>
      </c>
      <c r="F485">
        <v>150</v>
      </c>
      <c r="G485">
        <v>114</v>
      </c>
      <c r="H485">
        <v>2171.8200000000002</v>
      </c>
      <c r="I485">
        <v>1697.11</v>
      </c>
      <c r="J485">
        <v>147</v>
      </c>
      <c r="K485">
        <v>5</v>
      </c>
      <c r="L485" t="s">
        <v>185</v>
      </c>
      <c r="M485">
        <v>283</v>
      </c>
      <c r="N485">
        <v>4</v>
      </c>
      <c r="O485">
        <v>14</v>
      </c>
      <c r="P485" t="s">
        <v>215</v>
      </c>
      <c r="Q485" t="s">
        <v>217</v>
      </c>
      <c r="R485">
        <f t="shared" si="32"/>
        <v>36</v>
      </c>
      <c r="S485">
        <f t="shared" si="29"/>
        <v>0.36674816625916873</v>
      </c>
      <c r="T485" t="str">
        <f t="shared" si="30"/>
        <v>High Risk</v>
      </c>
      <c r="U485" t="str">
        <f t="shared" si="31"/>
        <v>Apply Discount / Promotion</v>
      </c>
    </row>
    <row r="486" spans="1:21" x14ac:dyDescent="0.25">
      <c r="A486">
        <v>485</v>
      </c>
      <c r="B486" t="s">
        <v>32</v>
      </c>
      <c r="C486" t="s">
        <v>120</v>
      </c>
      <c r="D486" t="s">
        <v>121</v>
      </c>
      <c r="E486">
        <v>477</v>
      </c>
      <c r="F486">
        <v>369</v>
      </c>
      <c r="G486">
        <v>400</v>
      </c>
      <c r="H486">
        <v>2978.71</v>
      </c>
      <c r="I486">
        <v>1957.48</v>
      </c>
      <c r="J486">
        <v>37</v>
      </c>
      <c r="K486">
        <v>12</v>
      </c>
      <c r="L486" t="s">
        <v>176</v>
      </c>
      <c r="M486">
        <v>272</v>
      </c>
      <c r="N486">
        <v>1</v>
      </c>
      <c r="O486">
        <v>47</v>
      </c>
      <c r="P486" t="s">
        <v>215</v>
      </c>
      <c r="Q486" t="s">
        <v>219</v>
      </c>
      <c r="R486">
        <f t="shared" si="32"/>
        <v>-31</v>
      </c>
      <c r="S486">
        <f t="shared" si="29"/>
        <v>0.77358490566037741</v>
      </c>
      <c r="T486" t="str">
        <f t="shared" si="30"/>
        <v>Medium Risk</v>
      </c>
      <c r="U486" t="str">
        <f t="shared" si="31"/>
        <v>Monitor Sales</v>
      </c>
    </row>
    <row r="487" spans="1:21" x14ac:dyDescent="0.25">
      <c r="A487">
        <v>486</v>
      </c>
      <c r="B487" t="s">
        <v>51</v>
      </c>
      <c r="C487" t="s">
        <v>119</v>
      </c>
      <c r="D487" t="s">
        <v>122</v>
      </c>
      <c r="E487">
        <v>42</v>
      </c>
      <c r="F487">
        <v>156</v>
      </c>
      <c r="G487">
        <v>129</v>
      </c>
      <c r="H487">
        <v>2244.7600000000002</v>
      </c>
      <c r="I487">
        <v>1407.64</v>
      </c>
      <c r="J487">
        <v>150</v>
      </c>
      <c r="K487">
        <v>12</v>
      </c>
      <c r="L487" t="s">
        <v>211</v>
      </c>
      <c r="M487">
        <v>150</v>
      </c>
      <c r="N487">
        <v>5</v>
      </c>
      <c r="O487">
        <v>37</v>
      </c>
      <c r="P487" t="s">
        <v>215</v>
      </c>
      <c r="Q487" t="s">
        <v>218</v>
      </c>
      <c r="R487">
        <f t="shared" si="32"/>
        <v>27</v>
      </c>
      <c r="S487">
        <f t="shared" si="29"/>
        <v>3.7142857142857144</v>
      </c>
      <c r="T487" t="str">
        <f t="shared" si="30"/>
        <v>Low Risk</v>
      </c>
      <c r="U487" t="str">
        <f t="shared" si="31"/>
        <v>Maintain Stock</v>
      </c>
    </row>
    <row r="488" spans="1:21" x14ac:dyDescent="0.25">
      <c r="A488">
        <v>487</v>
      </c>
      <c r="B488" t="s">
        <v>20</v>
      </c>
      <c r="C488" t="s">
        <v>116</v>
      </c>
      <c r="D488" t="s">
        <v>124</v>
      </c>
      <c r="E488">
        <v>500</v>
      </c>
      <c r="F488">
        <v>151</v>
      </c>
      <c r="G488">
        <v>137</v>
      </c>
      <c r="H488">
        <v>3525.15</v>
      </c>
      <c r="I488">
        <v>2043.26</v>
      </c>
      <c r="J488">
        <v>146</v>
      </c>
      <c r="K488">
        <v>5</v>
      </c>
      <c r="L488" t="s">
        <v>200</v>
      </c>
      <c r="M488">
        <v>357</v>
      </c>
      <c r="N488">
        <v>4</v>
      </c>
      <c r="O488">
        <v>35</v>
      </c>
      <c r="P488" t="s">
        <v>215</v>
      </c>
      <c r="Q488" t="s">
        <v>219</v>
      </c>
      <c r="R488">
        <f t="shared" si="32"/>
        <v>14</v>
      </c>
      <c r="S488">
        <f t="shared" si="29"/>
        <v>0.30199999999999999</v>
      </c>
      <c r="T488" t="str">
        <f t="shared" si="30"/>
        <v>High Risk</v>
      </c>
      <c r="U488" t="str">
        <f t="shared" si="31"/>
        <v>Apply Discount / Promotion</v>
      </c>
    </row>
    <row r="489" spans="1:21" x14ac:dyDescent="0.25">
      <c r="A489">
        <v>488</v>
      </c>
      <c r="B489" t="s">
        <v>60</v>
      </c>
      <c r="C489" t="s">
        <v>117</v>
      </c>
      <c r="D489" t="s">
        <v>124</v>
      </c>
      <c r="E489">
        <v>82</v>
      </c>
      <c r="F489">
        <v>105</v>
      </c>
      <c r="G489">
        <v>127</v>
      </c>
      <c r="H489">
        <v>1086.3699999999999</v>
      </c>
      <c r="I489">
        <v>649.70000000000005</v>
      </c>
      <c r="J489">
        <v>49</v>
      </c>
      <c r="K489">
        <v>13</v>
      </c>
      <c r="L489" t="s">
        <v>152</v>
      </c>
      <c r="M489">
        <v>50</v>
      </c>
      <c r="N489">
        <v>1</v>
      </c>
      <c r="O489">
        <v>49</v>
      </c>
      <c r="P489" t="s">
        <v>216</v>
      </c>
      <c r="Q489" t="s">
        <v>217</v>
      </c>
      <c r="R489">
        <f t="shared" si="32"/>
        <v>-22</v>
      </c>
      <c r="S489">
        <f t="shared" si="29"/>
        <v>1.2804878048780488</v>
      </c>
      <c r="T489" t="str">
        <f t="shared" si="30"/>
        <v>Low Risk</v>
      </c>
      <c r="U489" t="str">
        <f t="shared" si="31"/>
        <v>Maintain Stock</v>
      </c>
    </row>
    <row r="490" spans="1:21" x14ac:dyDescent="0.25">
      <c r="A490">
        <v>489</v>
      </c>
      <c r="B490" t="s">
        <v>109</v>
      </c>
      <c r="C490" t="s">
        <v>116</v>
      </c>
      <c r="D490" t="s">
        <v>124</v>
      </c>
      <c r="E490">
        <v>439</v>
      </c>
      <c r="F490">
        <v>86</v>
      </c>
      <c r="G490">
        <v>55</v>
      </c>
      <c r="H490">
        <v>2288.25</v>
      </c>
      <c r="I490">
        <v>1544.33</v>
      </c>
      <c r="J490">
        <v>46</v>
      </c>
      <c r="K490">
        <v>7</v>
      </c>
      <c r="L490" t="s">
        <v>164</v>
      </c>
      <c r="M490">
        <v>49</v>
      </c>
      <c r="N490">
        <v>4</v>
      </c>
      <c r="O490">
        <v>3</v>
      </c>
      <c r="P490" t="s">
        <v>215</v>
      </c>
      <c r="Q490" t="s">
        <v>219</v>
      </c>
      <c r="R490">
        <f t="shared" si="32"/>
        <v>31</v>
      </c>
      <c r="S490">
        <f t="shared" si="29"/>
        <v>0.1958997722095672</v>
      </c>
      <c r="T490" t="str">
        <f t="shared" si="30"/>
        <v>High Risk</v>
      </c>
      <c r="U490" t="str">
        <f t="shared" si="31"/>
        <v>Apply Discount / Promotion</v>
      </c>
    </row>
    <row r="491" spans="1:21" x14ac:dyDescent="0.25">
      <c r="A491">
        <v>490</v>
      </c>
      <c r="B491" t="s">
        <v>80</v>
      </c>
      <c r="C491" t="s">
        <v>118</v>
      </c>
      <c r="D491" t="s">
        <v>123</v>
      </c>
      <c r="E491">
        <v>221</v>
      </c>
      <c r="F491">
        <v>265</v>
      </c>
      <c r="G491">
        <v>230</v>
      </c>
      <c r="H491">
        <v>1272.25</v>
      </c>
      <c r="I491">
        <v>918.36</v>
      </c>
      <c r="J491">
        <v>89</v>
      </c>
      <c r="K491">
        <v>9</v>
      </c>
      <c r="L491" t="s">
        <v>195</v>
      </c>
      <c r="M491">
        <v>93</v>
      </c>
      <c r="N491">
        <v>5</v>
      </c>
      <c r="O491">
        <v>11</v>
      </c>
      <c r="P491" t="s">
        <v>215</v>
      </c>
      <c r="Q491" t="s">
        <v>219</v>
      </c>
      <c r="R491">
        <f t="shared" si="32"/>
        <v>35</v>
      </c>
      <c r="S491">
        <f t="shared" si="29"/>
        <v>1.1990950226244343</v>
      </c>
      <c r="T491" t="str">
        <f t="shared" si="30"/>
        <v>Low Risk</v>
      </c>
      <c r="U491" t="str">
        <f t="shared" si="31"/>
        <v>Maintain Stock</v>
      </c>
    </row>
    <row r="492" spans="1:21" x14ac:dyDescent="0.25">
      <c r="A492">
        <v>491</v>
      </c>
      <c r="B492" t="s">
        <v>53</v>
      </c>
      <c r="C492" t="s">
        <v>119</v>
      </c>
      <c r="D492" t="s">
        <v>124</v>
      </c>
      <c r="E492">
        <v>91</v>
      </c>
      <c r="F492">
        <v>325</v>
      </c>
      <c r="G492">
        <v>282</v>
      </c>
      <c r="H492">
        <v>2574.64</v>
      </c>
      <c r="I492">
        <v>2050.35</v>
      </c>
      <c r="J492">
        <v>117</v>
      </c>
      <c r="K492">
        <v>12</v>
      </c>
      <c r="L492" t="s">
        <v>152</v>
      </c>
      <c r="M492">
        <v>212</v>
      </c>
      <c r="N492">
        <v>4</v>
      </c>
      <c r="O492">
        <v>40</v>
      </c>
      <c r="P492" t="s">
        <v>215</v>
      </c>
      <c r="Q492" t="s">
        <v>217</v>
      </c>
      <c r="R492">
        <f t="shared" si="32"/>
        <v>43</v>
      </c>
      <c r="S492">
        <f t="shared" si="29"/>
        <v>3.5714285714285716</v>
      </c>
      <c r="T492" t="str">
        <f t="shared" si="30"/>
        <v>Low Risk</v>
      </c>
      <c r="U492" t="str">
        <f t="shared" si="31"/>
        <v>Maintain Stock</v>
      </c>
    </row>
    <row r="493" spans="1:21" x14ac:dyDescent="0.25">
      <c r="A493">
        <v>492</v>
      </c>
      <c r="B493" t="s">
        <v>53</v>
      </c>
      <c r="C493" t="s">
        <v>118</v>
      </c>
      <c r="D493" t="s">
        <v>121</v>
      </c>
      <c r="E493">
        <v>255</v>
      </c>
      <c r="F493">
        <v>150</v>
      </c>
      <c r="G493">
        <v>101</v>
      </c>
      <c r="H493">
        <v>4217.78</v>
      </c>
      <c r="I493">
        <v>2137.0100000000002</v>
      </c>
      <c r="J493">
        <v>51</v>
      </c>
      <c r="K493">
        <v>10</v>
      </c>
      <c r="L493" t="s">
        <v>204</v>
      </c>
      <c r="M493">
        <v>127</v>
      </c>
      <c r="N493">
        <v>2</v>
      </c>
      <c r="O493">
        <v>49</v>
      </c>
      <c r="P493" t="s">
        <v>216</v>
      </c>
      <c r="Q493" t="s">
        <v>219</v>
      </c>
      <c r="R493">
        <f t="shared" si="32"/>
        <v>49</v>
      </c>
      <c r="S493">
        <f t="shared" si="29"/>
        <v>0.58823529411764708</v>
      </c>
      <c r="T493" t="str">
        <f t="shared" si="30"/>
        <v>Medium Risk</v>
      </c>
      <c r="U493" t="str">
        <f t="shared" si="31"/>
        <v>Monitor Sales</v>
      </c>
    </row>
    <row r="494" spans="1:21" x14ac:dyDescent="0.25">
      <c r="A494">
        <v>493</v>
      </c>
      <c r="B494" t="s">
        <v>58</v>
      </c>
      <c r="C494" t="s">
        <v>118</v>
      </c>
      <c r="D494" t="s">
        <v>122</v>
      </c>
      <c r="E494">
        <v>393</v>
      </c>
      <c r="F494">
        <v>255</v>
      </c>
      <c r="G494">
        <v>219</v>
      </c>
      <c r="H494">
        <v>2854.39</v>
      </c>
      <c r="I494">
        <v>2270.0700000000002</v>
      </c>
      <c r="J494">
        <v>142</v>
      </c>
      <c r="K494">
        <v>14</v>
      </c>
      <c r="L494" t="s">
        <v>162</v>
      </c>
      <c r="M494">
        <v>284</v>
      </c>
      <c r="N494">
        <v>4</v>
      </c>
      <c r="O494">
        <v>1</v>
      </c>
      <c r="P494" t="s">
        <v>216</v>
      </c>
      <c r="Q494" t="s">
        <v>218</v>
      </c>
      <c r="R494">
        <f t="shared" si="32"/>
        <v>36</v>
      </c>
      <c r="S494">
        <f t="shared" si="29"/>
        <v>0.64885496183206104</v>
      </c>
      <c r="T494" t="str">
        <f t="shared" si="30"/>
        <v>Medium Risk</v>
      </c>
      <c r="U494" t="str">
        <f t="shared" si="31"/>
        <v>Monitor Sales</v>
      </c>
    </row>
    <row r="495" spans="1:21" x14ac:dyDescent="0.25">
      <c r="A495">
        <v>494</v>
      </c>
      <c r="B495" t="s">
        <v>110</v>
      </c>
      <c r="C495" t="s">
        <v>120</v>
      </c>
      <c r="D495" t="s">
        <v>121</v>
      </c>
      <c r="E495">
        <v>449</v>
      </c>
      <c r="F495">
        <v>126</v>
      </c>
      <c r="G495">
        <v>79</v>
      </c>
      <c r="H495">
        <v>3422.96</v>
      </c>
      <c r="I495">
        <v>1726.16</v>
      </c>
      <c r="J495">
        <v>100</v>
      </c>
      <c r="K495">
        <v>1</v>
      </c>
      <c r="L495" t="s">
        <v>173</v>
      </c>
      <c r="M495">
        <v>240</v>
      </c>
      <c r="N495">
        <v>1</v>
      </c>
      <c r="O495">
        <v>2</v>
      </c>
      <c r="P495" t="s">
        <v>216</v>
      </c>
      <c r="Q495" t="s">
        <v>219</v>
      </c>
      <c r="R495">
        <f t="shared" si="32"/>
        <v>47</v>
      </c>
      <c r="S495">
        <f t="shared" si="29"/>
        <v>0.28062360801781738</v>
      </c>
      <c r="T495" t="str">
        <f t="shared" si="30"/>
        <v>High Risk</v>
      </c>
      <c r="U495" t="str">
        <f t="shared" si="31"/>
        <v>Apply Discount / Promotion</v>
      </c>
    </row>
    <row r="496" spans="1:21" x14ac:dyDescent="0.25">
      <c r="A496">
        <v>495</v>
      </c>
      <c r="B496" t="s">
        <v>42</v>
      </c>
      <c r="C496" t="s">
        <v>118</v>
      </c>
      <c r="D496" t="s">
        <v>121</v>
      </c>
      <c r="E496">
        <v>448</v>
      </c>
      <c r="F496">
        <v>87</v>
      </c>
      <c r="G496">
        <v>90</v>
      </c>
      <c r="H496">
        <v>3647.24</v>
      </c>
      <c r="I496">
        <v>2471.42</v>
      </c>
      <c r="J496">
        <v>121</v>
      </c>
      <c r="K496">
        <v>15</v>
      </c>
      <c r="L496" t="s">
        <v>201</v>
      </c>
      <c r="M496">
        <v>55</v>
      </c>
      <c r="N496">
        <v>1</v>
      </c>
      <c r="O496">
        <v>49</v>
      </c>
      <c r="P496" t="s">
        <v>215</v>
      </c>
      <c r="Q496" t="s">
        <v>219</v>
      </c>
      <c r="R496">
        <f t="shared" si="32"/>
        <v>-3</v>
      </c>
      <c r="S496">
        <f t="shared" si="29"/>
        <v>0.19419642857142858</v>
      </c>
      <c r="T496" t="str">
        <f t="shared" si="30"/>
        <v>High Risk</v>
      </c>
      <c r="U496" t="str">
        <f t="shared" si="31"/>
        <v>Apply Discount / Promotion</v>
      </c>
    </row>
    <row r="497" spans="1:21" x14ac:dyDescent="0.25">
      <c r="A497">
        <v>496</v>
      </c>
      <c r="B497" t="s">
        <v>63</v>
      </c>
      <c r="C497" t="s">
        <v>116</v>
      </c>
      <c r="D497" t="s">
        <v>123</v>
      </c>
      <c r="E497">
        <v>446</v>
      </c>
      <c r="F497">
        <v>384</v>
      </c>
      <c r="G497">
        <v>356</v>
      </c>
      <c r="H497">
        <v>1854.33</v>
      </c>
      <c r="I497">
        <v>1298.42</v>
      </c>
      <c r="J497">
        <v>145</v>
      </c>
      <c r="K497">
        <v>7</v>
      </c>
      <c r="L497" t="s">
        <v>133</v>
      </c>
      <c r="M497">
        <v>229</v>
      </c>
      <c r="N497">
        <v>2</v>
      </c>
      <c r="O497">
        <v>2</v>
      </c>
      <c r="P497" t="s">
        <v>215</v>
      </c>
      <c r="Q497" t="s">
        <v>218</v>
      </c>
      <c r="R497">
        <f t="shared" si="32"/>
        <v>28</v>
      </c>
      <c r="S497">
        <f t="shared" si="29"/>
        <v>0.86098654708520184</v>
      </c>
      <c r="T497" t="str">
        <f t="shared" si="30"/>
        <v>Medium Risk</v>
      </c>
      <c r="U497" t="str">
        <f t="shared" si="31"/>
        <v>Monitor Sales</v>
      </c>
    </row>
    <row r="498" spans="1:21" x14ac:dyDescent="0.25">
      <c r="A498">
        <v>497</v>
      </c>
      <c r="B498" t="s">
        <v>54</v>
      </c>
      <c r="C498" t="s">
        <v>117</v>
      </c>
      <c r="D498" t="s">
        <v>124</v>
      </c>
      <c r="E498">
        <v>333</v>
      </c>
      <c r="F498">
        <v>381</v>
      </c>
      <c r="G498">
        <v>344</v>
      </c>
      <c r="H498">
        <v>1939.17</v>
      </c>
      <c r="I498">
        <v>1449.46</v>
      </c>
      <c r="J498">
        <v>138</v>
      </c>
      <c r="K498">
        <v>4</v>
      </c>
      <c r="L498" t="s">
        <v>206</v>
      </c>
      <c r="M498">
        <v>321</v>
      </c>
      <c r="N498">
        <v>5</v>
      </c>
      <c r="O498">
        <v>37</v>
      </c>
      <c r="P498" t="s">
        <v>216</v>
      </c>
      <c r="Q498" t="s">
        <v>219</v>
      </c>
      <c r="R498">
        <f t="shared" si="32"/>
        <v>37</v>
      </c>
      <c r="S498">
        <f t="shared" si="29"/>
        <v>1.1441441441441442</v>
      </c>
      <c r="T498" t="str">
        <f t="shared" si="30"/>
        <v>Low Risk</v>
      </c>
      <c r="U498" t="str">
        <f t="shared" si="31"/>
        <v>Maintain Stock</v>
      </c>
    </row>
    <row r="499" spans="1:21" x14ac:dyDescent="0.25">
      <c r="A499">
        <v>498</v>
      </c>
      <c r="B499" t="s">
        <v>18</v>
      </c>
      <c r="C499" t="s">
        <v>116</v>
      </c>
      <c r="D499" t="s">
        <v>122</v>
      </c>
      <c r="E499">
        <v>194</v>
      </c>
      <c r="F499">
        <v>335</v>
      </c>
      <c r="G499">
        <v>331</v>
      </c>
      <c r="H499">
        <v>1679.52</v>
      </c>
      <c r="I499">
        <v>1291.94</v>
      </c>
      <c r="J499">
        <v>48</v>
      </c>
      <c r="K499">
        <v>10</v>
      </c>
      <c r="L499" t="s">
        <v>179</v>
      </c>
      <c r="M499">
        <v>275</v>
      </c>
      <c r="N499">
        <v>4</v>
      </c>
      <c r="O499">
        <v>7</v>
      </c>
      <c r="P499" t="s">
        <v>216</v>
      </c>
      <c r="Q499" t="s">
        <v>219</v>
      </c>
      <c r="R499">
        <f t="shared" si="32"/>
        <v>4</v>
      </c>
      <c r="S499">
        <f t="shared" si="29"/>
        <v>1.7268041237113403</v>
      </c>
      <c r="T499" t="str">
        <f t="shared" si="30"/>
        <v>Low Risk</v>
      </c>
      <c r="U499" t="str">
        <f t="shared" si="31"/>
        <v>Maintain Stock</v>
      </c>
    </row>
    <row r="500" spans="1:21" x14ac:dyDescent="0.25">
      <c r="A500">
        <v>499</v>
      </c>
      <c r="B500" t="s">
        <v>69</v>
      </c>
      <c r="C500" t="s">
        <v>119</v>
      </c>
      <c r="D500" t="s">
        <v>122</v>
      </c>
      <c r="E500">
        <v>131</v>
      </c>
      <c r="F500">
        <v>350</v>
      </c>
      <c r="G500">
        <v>369</v>
      </c>
      <c r="H500">
        <v>705.55</v>
      </c>
      <c r="I500">
        <v>447.66</v>
      </c>
      <c r="J500">
        <v>68</v>
      </c>
      <c r="K500">
        <v>14</v>
      </c>
      <c r="L500" t="s">
        <v>137</v>
      </c>
      <c r="M500">
        <v>184</v>
      </c>
      <c r="N500">
        <v>5</v>
      </c>
      <c r="O500">
        <v>28</v>
      </c>
      <c r="P500" t="s">
        <v>216</v>
      </c>
      <c r="Q500" t="s">
        <v>217</v>
      </c>
      <c r="R500">
        <f t="shared" si="32"/>
        <v>-19</v>
      </c>
      <c r="S500">
        <f t="shared" si="29"/>
        <v>2.6717557251908395</v>
      </c>
      <c r="T500" t="str">
        <f t="shared" si="30"/>
        <v>Low Risk</v>
      </c>
      <c r="U500" t="str">
        <f t="shared" si="31"/>
        <v>Maintain Stock</v>
      </c>
    </row>
    <row r="501" spans="1:21" x14ac:dyDescent="0.25">
      <c r="A501">
        <v>500</v>
      </c>
      <c r="B501" t="s">
        <v>86</v>
      </c>
      <c r="C501" t="s">
        <v>116</v>
      </c>
      <c r="D501" t="s">
        <v>122</v>
      </c>
      <c r="E501">
        <v>415</v>
      </c>
      <c r="F501">
        <v>277</v>
      </c>
      <c r="G501">
        <v>309</v>
      </c>
      <c r="H501">
        <v>3038.42</v>
      </c>
      <c r="I501">
        <v>2065.94</v>
      </c>
      <c r="J501">
        <v>72</v>
      </c>
      <c r="K501">
        <v>1</v>
      </c>
      <c r="L501" t="s">
        <v>210</v>
      </c>
      <c r="M501">
        <v>94</v>
      </c>
      <c r="N501">
        <v>4</v>
      </c>
      <c r="O501">
        <v>28</v>
      </c>
      <c r="P501" t="s">
        <v>215</v>
      </c>
      <c r="Q501" t="s">
        <v>218</v>
      </c>
      <c r="R501">
        <f t="shared" si="32"/>
        <v>-32</v>
      </c>
      <c r="S501">
        <f t="shared" si="29"/>
        <v>0.66746987951807224</v>
      </c>
      <c r="T501" t="str">
        <f t="shared" si="30"/>
        <v>Medium Risk</v>
      </c>
      <c r="U501" t="str">
        <f t="shared" si="31"/>
        <v>Monitor Sales</v>
      </c>
    </row>
    <row r="502" spans="1:21" x14ac:dyDescent="0.25">
      <c r="A502">
        <v>501</v>
      </c>
      <c r="B502" t="s">
        <v>49</v>
      </c>
      <c r="C502" t="s">
        <v>117</v>
      </c>
      <c r="D502" t="s">
        <v>124</v>
      </c>
      <c r="E502">
        <v>428</v>
      </c>
      <c r="F502">
        <v>213</v>
      </c>
      <c r="G502">
        <v>243</v>
      </c>
      <c r="H502">
        <v>377.24</v>
      </c>
      <c r="I502">
        <v>236.14</v>
      </c>
      <c r="J502">
        <v>78</v>
      </c>
      <c r="K502">
        <v>2</v>
      </c>
      <c r="L502" t="s">
        <v>135</v>
      </c>
      <c r="M502">
        <v>307</v>
      </c>
      <c r="N502">
        <v>1</v>
      </c>
      <c r="O502">
        <v>43</v>
      </c>
      <c r="P502" t="s">
        <v>215</v>
      </c>
      <c r="Q502" t="s">
        <v>218</v>
      </c>
      <c r="R502">
        <f t="shared" si="32"/>
        <v>-30</v>
      </c>
      <c r="S502">
        <f t="shared" si="29"/>
        <v>0.49766355140186919</v>
      </c>
      <c r="T502" t="str">
        <f t="shared" si="30"/>
        <v>High Risk</v>
      </c>
      <c r="U502" t="str">
        <f t="shared" si="31"/>
        <v>Apply Discount / Promotion</v>
      </c>
    </row>
    <row r="503" spans="1:21" x14ac:dyDescent="0.25">
      <c r="A503">
        <v>502</v>
      </c>
      <c r="B503" t="s">
        <v>78</v>
      </c>
      <c r="C503" t="s">
        <v>116</v>
      </c>
      <c r="D503" t="s">
        <v>124</v>
      </c>
      <c r="E503">
        <v>50</v>
      </c>
      <c r="F503">
        <v>287</v>
      </c>
      <c r="G503">
        <v>323</v>
      </c>
      <c r="H503">
        <v>1271.03</v>
      </c>
      <c r="I503">
        <v>843.28</v>
      </c>
      <c r="J503">
        <v>101</v>
      </c>
      <c r="K503">
        <v>4</v>
      </c>
      <c r="L503" t="s">
        <v>176</v>
      </c>
      <c r="M503">
        <v>234</v>
      </c>
      <c r="N503">
        <v>4</v>
      </c>
      <c r="O503">
        <v>25</v>
      </c>
      <c r="P503" t="s">
        <v>215</v>
      </c>
      <c r="Q503" t="s">
        <v>218</v>
      </c>
      <c r="R503">
        <f t="shared" si="32"/>
        <v>-36</v>
      </c>
      <c r="S503">
        <f t="shared" si="29"/>
        <v>5.74</v>
      </c>
      <c r="T503" t="str">
        <f t="shared" si="30"/>
        <v>Low Risk</v>
      </c>
      <c r="U503" t="str">
        <f t="shared" si="31"/>
        <v>Maintain Stock</v>
      </c>
    </row>
    <row r="504" spans="1:21" x14ac:dyDescent="0.25">
      <c r="A504">
        <v>503</v>
      </c>
      <c r="B504" t="s">
        <v>21</v>
      </c>
      <c r="C504" t="s">
        <v>120</v>
      </c>
      <c r="D504" t="s">
        <v>123</v>
      </c>
      <c r="E504">
        <v>230</v>
      </c>
      <c r="F504">
        <v>346</v>
      </c>
      <c r="G504">
        <v>318</v>
      </c>
      <c r="H504">
        <v>740.54</v>
      </c>
      <c r="I504">
        <v>472.01</v>
      </c>
      <c r="J504">
        <v>118</v>
      </c>
      <c r="K504">
        <v>11</v>
      </c>
      <c r="L504" t="s">
        <v>134</v>
      </c>
      <c r="M504">
        <v>59</v>
      </c>
      <c r="N504">
        <v>1</v>
      </c>
      <c r="O504">
        <v>31</v>
      </c>
      <c r="P504" t="s">
        <v>216</v>
      </c>
      <c r="Q504" t="s">
        <v>219</v>
      </c>
      <c r="R504">
        <f t="shared" si="32"/>
        <v>28</v>
      </c>
      <c r="S504">
        <f t="shared" si="29"/>
        <v>1.5043478260869565</v>
      </c>
      <c r="T504" t="str">
        <f t="shared" si="30"/>
        <v>Low Risk</v>
      </c>
      <c r="U504" t="str">
        <f t="shared" si="31"/>
        <v>Maintain Stock</v>
      </c>
    </row>
    <row r="505" spans="1:21" x14ac:dyDescent="0.25">
      <c r="A505">
        <v>504</v>
      </c>
      <c r="B505" t="s">
        <v>46</v>
      </c>
      <c r="C505" t="s">
        <v>118</v>
      </c>
      <c r="D505" t="s">
        <v>122</v>
      </c>
      <c r="E505">
        <v>186</v>
      </c>
      <c r="F505">
        <v>301</v>
      </c>
      <c r="G505">
        <v>260</v>
      </c>
      <c r="H505">
        <v>2124.5</v>
      </c>
      <c r="I505">
        <v>1336.28</v>
      </c>
      <c r="J505">
        <v>79</v>
      </c>
      <c r="K505">
        <v>7</v>
      </c>
      <c r="L505" t="s">
        <v>135</v>
      </c>
      <c r="M505">
        <v>268</v>
      </c>
      <c r="N505">
        <v>3</v>
      </c>
      <c r="O505">
        <v>28</v>
      </c>
      <c r="P505" t="s">
        <v>216</v>
      </c>
      <c r="Q505" t="s">
        <v>217</v>
      </c>
      <c r="R505">
        <f t="shared" si="32"/>
        <v>41</v>
      </c>
      <c r="S505">
        <f t="shared" si="29"/>
        <v>1.618279569892473</v>
      </c>
      <c r="T505" t="str">
        <f t="shared" si="30"/>
        <v>Low Risk</v>
      </c>
      <c r="U505" t="str">
        <f t="shared" si="31"/>
        <v>Maintain Stock</v>
      </c>
    </row>
    <row r="506" spans="1:21" x14ac:dyDescent="0.25">
      <c r="A506">
        <v>505</v>
      </c>
      <c r="B506" t="s">
        <v>39</v>
      </c>
      <c r="C506" t="s">
        <v>116</v>
      </c>
      <c r="D506" t="s">
        <v>123</v>
      </c>
      <c r="E506">
        <v>138</v>
      </c>
      <c r="F506">
        <v>250</v>
      </c>
      <c r="G506">
        <v>297</v>
      </c>
      <c r="H506">
        <v>2616.0500000000002</v>
      </c>
      <c r="I506">
        <v>1420.3</v>
      </c>
      <c r="J506">
        <v>144</v>
      </c>
      <c r="K506">
        <v>4</v>
      </c>
      <c r="L506" t="s">
        <v>191</v>
      </c>
      <c r="M506">
        <v>131</v>
      </c>
      <c r="N506">
        <v>2</v>
      </c>
      <c r="O506">
        <v>16</v>
      </c>
      <c r="P506" t="s">
        <v>215</v>
      </c>
      <c r="Q506" t="s">
        <v>218</v>
      </c>
      <c r="R506">
        <f t="shared" si="32"/>
        <v>-47</v>
      </c>
      <c r="S506">
        <f t="shared" si="29"/>
        <v>1.8115942028985508</v>
      </c>
      <c r="T506" t="str">
        <f t="shared" si="30"/>
        <v>Low Risk</v>
      </c>
      <c r="U506" t="str">
        <f t="shared" si="31"/>
        <v>Maintain Stock</v>
      </c>
    </row>
    <row r="507" spans="1:21" x14ac:dyDescent="0.25">
      <c r="A507">
        <v>506</v>
      </c>
      <c r="B507" t="s">
        <v>92</v>
      </c>
      <c r="C507" t="s">
        <v>118</v>
      </c>
      <c r="D507" t="s">
        <v>121</v>
      </c>
      <c r="E507">
        <v>194</v>
      </c>
      <c r="F507">
        <v>432</v>
      </c>
      <c r="G507">
        <v>388</v>
      </c>
      <c r="H507">
        <v>4815.0600000000004</v>
      </c>
      <c r="I507">
        <v>3563.2</v>
      </c>
      <c r="J507">
        <v>106</v>
      </c>
      <c r="K507">
        <v>10</v>
      </c>
      <c r="L507" t="s">
        <v>180</v>
      </c>
      <c r="M507">
        <v>248</v>
      </c>
      <c r="N507">
        <v>3</v>
      </c>
      <c r="O507">
        <v>9</v>
      </c>
      <c r="P507" t="s">
        <v>216</v>
      </c>
      <c r="Q507" t="s">
        <v>218</v>
      </c>
      <c r="R507">
        <f t="shared" si="32"/>
        <v>44</v>
      </c>
      <c r="S507">
        <f t="shared" si="29"/>
        <v>2.2268041237113403</v>
      </c>
      <c r="T507" t="str">
        <f t="shared" si="30"/>
        <v>Low Risk</v>
      </c>
      <c r="U507" t="str">
        <f t="shared" si="31"/>
        <v>Maintain Stock</v>
      </c>
    </row>
    <row r="508" spans="1:21" x14ac:dyDescent="0.25">
      <c r="A508">
        <v>507</v>
      </c>
      <c r="B508" t="s">
        <v>70</v>
      </c>
      <c r="C508" t="s">
        <v>117</v>
      </c>
      <c r="D508" t="s">
        <v>123</v>
      </c>
      <c r="E508">
        <v>434</v>
      </c>
      <c r="F508">
        <v>207</v>
      </c>
      <c r="G508">
        <v>233</v>
      </c>
      <c r="H508">
        <v>3175.12</v>
      </c>
      <c r="I508">
        <v>1643.13</v>
      </c>
      <c r="J508">
        <v>76</v>
      </c>
      <c r="K508">
        <v>7</v>
      </c>
      <c r="L508" t="s">
        <v>143</v>
      </c>
      <c r="M508">
        <v>271</v>
      </c>
      <c r="N508">
        <v>2</v>
      </c>
      <c r="O508">
        <v>36</v>
      </c>
      <c r="P508" t="s">
        <v>216</v>
      </c>
      <c r="Q508" t="s">
        <v>219</v>
      </c>
      <c r="R508">
        <f t="shared" si="32"/>
        <v>-26</v>
      </c>
      <c r="S508">
        <f t="shared" si="29"/>
        <v>0.47695852534562211</v>
      </c>
      <c r="T508" t="str">
        <f t="shared" si="30"/>
        <v>High Risk</v>
      </c>
      <c r="U508" t="str">
        <f t="shared" si="31"/>
        <v>Apply Discount / Promotion</v>
      </c>
    </row>
    <row r="509" spans="1:21" x14ac:dyDescent="0.25">
      <c r="A509">
        <v>508</v>
      </c>
      <c r="B509" t="s">
        <v>74</v>
      </c>
      <c r="C509" t="s">
        <v>119</v>
      </c>
      <c r="D509" t="s">
        <v>124</v>
      </c>
      <c r="E509">
        <v>296</v>
      </c>
      <c r="F509">
        <v>282</v>
      </c>
      <c r="G509">
        <v>234</v>
      </c>
      <c r="H509">
        <v>1565.81</v>
      </c>
      <c r="I509">
        <v>1020.51</v>
      </c>
      <c r="J509">
        <v>77</v>
      </c>
      <c r="K509">
        <v>5</v>
      </c>
      <c r="L509" t="s">
        <v>198</v>
      </c>
      <c r="M509">
        <v>178</v>
      </c>
      <c r="N509">
        <v>3</v>
      </c>
      <c r="O509">
        <v>8</v>
      </c>
      <c r="P509" t="s">
        <v>215</v>
      </c>
      <c r="Q509" t="s">
        <v>217</v>
      </c>
      <c r="R509">
        <f t="shared" si="32"/>
        <v>48</v>
      </c>
      <c r="S509">
        <f t="shared" si="29"/>
        <v>0.95270270270270274</v>
      </c>
      <c r="T509" t="str">
        <f t="shared" si="30"/>
        <v>Medium Risk</v>
      </c>
      <c r="U509" t="str">
        <f t="shared" si="31"/>
        <v>Monitor Sales</v>
      </c>
    </row>
    <row r="510" spans="1:21" x14ac:dyDescent="0.25">
      <c r="A510">
        <v>509</v>
      </c>
      <c r="B510" t="s">
        <v>96</v>
      </c>
      <c r="C510" t="s">
        <v>118</v>
      </c>
      <c r="D510" t="s">
        <v>124</v>
      </c>
      <c r="E510">
        <v>212</v>
      </c>
      <c r="F510">
        <v>49</v>
      </c>
      <c r="G510">
        <v>45</v>
      </c>
      <c r="H510">
        <v>1293.83</v>
      </c>
      <c r="I510">
        <v>852.93</v>
      </c>
      <c r="J510">
        <v>118</v>
      </c>
      <c r="K510">
        <v>7</v>
      </c>
      <c r="L510" t="s">
        <v>209</v>
      </c>
      <c r="M510">
        <v>33</v>
      </c>
      <c r="N510">
        <v>4</v>
      </c>
      <c r="O510">
        <v>40</v>
      </c>
      <c r="P510" t="s">
        <v>215</v>
      </c>
      <c r="Q510" t="s">
        <v>219</v>
      </c>
      <c r="R510">
        <f t="shared" si="32"/>
        <v>4</v>
      </c>
      <c r="S510">
        <f t="shared" si="29"/>
        <v>0.23113207547169812</v>
      </c>
      <c r="T510" t="str">
        <f t="shared" si="30"/>
        <v>High Risk</v>
      </c>
      <c r="U510" t="str">
        <f t="shared" si="31"/>
        <v>Apply Discount / Promotion</v>
      </c>
    </row>
    <row r="511" spans="1:21" x14ac:dyDescent="0.25">
      <c r="A511">
        <v>510</v>
      </c>
      <c r="B511" t="s">
        <v>17</v>
      </c>
      <c r="C511" t="s">
        <v>117</v>
      </c>
      <c r="D511" t="s">
        <v>121</v>
      </c>
      <c r="E511">
        <v>246</v>
      </c>
      <c r="F511">
        <v>130</v>
      </c>
      <c r="G511">
        <v>176</v>
      </c>
      <c r="H511">
        <v>3776.72</v>
      </c>
      <c r="I511">
        <v>2975.54</v>
      </c>
      <c r="J511">
        <v>138</v>
      </c>
      <c r="K511">
        <v>3</v>
      </c>
      <c r="L511" t="s">
        <v>151</v>
      </c>
      <c r="M511">
        <v>198</v>
      </c>
      <c r="N511">
        <v>5</v>
      </c>
      <c r="O511">
        <v>5</v>
      </c>
      <c r="P511" t="s">
        <v>215</v>
      </c>
      <c r="Q511" t="s">
        <v>219</v>
      </c>
      <c r="R511">
        <f t="shared" si="32"/>
        <v>-46</v>
      </c>
      <c r="S511">
        <f t="shared" si="29"/>
        <v>0.52845528455284552</v>
      </c>
      <c r="T511" t="str">
        <f t="shared" si="30"/>
        <v>Medium Risk</v>
      </c>
      <c r="U511" t="str">
        <f t="shared" si="31"/>
        <v>Monitor Sales</v>
      </c>
    </row>
    <row r="512" spans="1:21" x14ac:dyDescent="0.25">
      <c r="A512">
        <v>511</v>
      </c>
      <c r="B512" t="s">
        <v>30</v>
      </c>
      <c r="C512" t="s">
        <v>118</v>
      </c>
      <c r="D512" t="s">
        <v>124</v>
      </c>
      <c r="E512">
        <v>124</v>
      </c>
      <c r="F512">
        <v>47</v>
      </c>
      <c r="G512">
        <v>38</v>
      </c>
      <c r="H512">
        <v>3486.9</v>
      </c>
      <c r="I512">
        <v>2392.7600000000002</v>
      </c>
      <c r="J512">
        <v>32</v>
      </c>
      <c r="K512">
        <v>7</v>
      </c>
      <c r="L512" t="s">
        <v>147</v>
      </c>
      <c r="M512">
        <v>123</v>
      </c>
      <c r="N512">
        <v>4</v>
      </c>
      <c r="O512">
        <v>22</v>
      </c>
      <c r="P512" t="s">
        <v>215</v>
      </c>
      <c r="Q512" t="s">
        <v>218</v>
      </c>
      <c r="R512">
        <f t="shared" si="32"/>
        <v>9</v>
      </c>
      <c r="S512">
        <f t="shared" si="29"/>
        <v>0.37903225806451613</v>
      </c>
      <c r="T512" t="str">
        <f t="shared" si="30"/>
        <v>High Risk</v>
      </c>
      <c r="U512" t="str">
        <f t="shared" si="31"/>
        <v>Apply Discount / Promotion</v>
      </c>
    </row>
    <row r="513" spans="1:21" x14ac:dyDescent="0.25">
      <c r="A513">
        <v>512</v>
      </c>
      <c r="B513" t="s">
        <v>66</v>
      </c>
      <c r="C513" t="s">
        <v>119</v>
      </c>
      <c r="D513" t="s">
        <v>122</v>
      </c>
      <c r="E513">
        <v>122</v>
      </c>
      <c r="F513">
        <v>299</v>
      </c>
      <c r="G513">
        <v>287</v>
      </c>
      <c r="H513">
        <v>202.53</v>
      </c>
      <c r="I513">
        <v>101.64</v>
      </c>
      <c r="J513">
        <v>104</v>
      </c>
      <c r="K513">
        <v>14</v>
      </c>
      <c r="L513" t="s">
        <v>146</v>
      </c>
      <c r="M513">
        <v>265</v>
      </c>
      <c r="N513">
        <v>2</v>
      </c>
      <c r="O513">
        <v>13</v>
      </c>
      <c r="P513" t="s">
        <v>216</v>
      </c>
      <c r="Q513" t="s">
        <v>218</v>
      </c>
      <c r="R513">
        <f t="shared" si="32"/>
        <v>12</v>
      </c>
      <c r="S513">
        <f t="shared" si="29"/>
        <v>2.4508196721311477</v>
      </c>
      <c r="T513" t="str">
        <f t="shared" si="30"/>
        <v>Low Risk</v>
      </c>
      <c r="U513" t="str">
        <f t="shared" si="31"/>
        <v>Maintain Stock</v>
      </c>
    </row>
    <row r="514" spans="1:21" x14ac:dyDescent="0.25">
      <c r="A514">
        <v>513</v>
      </c>
      <c r="B514" t="s">
        <v>29</v>
      </c>
      <c r="C514" t="s">
        <v>116</v>
      </c>
      <c r="D514" t="s">
        <v>123</v>
      </c>
      <c r="E514">
        <v>94</v>
      </c>
      <c r="F514">
        <v>316</v>
      </c>
      <c r="G514">
        <v>279</v>
      </c>
      <c r="H514">
        <v>3213.51</v>
      </c>
      <c r="I514">
        <v>2044.29</v>
      </c>
      <c r="J514">
        <v>65</v>
      </c>
      <c r="K514">
        <v>2</v>
      </c>
      <c r="L514" t="s">
        <v>187</v>
      </c>
      <c r="M514">
        <v>61</v>
      </c>
      <c r="N514">
        <v>1</v>
      </c>
      <c r="O514">
        <v>34</v>
      </c>
      <c r="P514" t="s">
        <v>216</v>
      </c>
      <c r="Q514" t="s">
        <v>218</v>
      </c>
      <c r="R514">
        <f t="shared" si="32"/>
        <v>37</v>
      </c>
      <c r="S514">
        <f t="shared" ref="S514:S577" si="33">F514/E514</f>
        <v>3.3617021276595747</v>
      </c>
      <c r="T514" t="str">
        <f t="shared" si="30"/>
        <v>Low Risk</v>
      </c>
      <c r="U514" t="str">
        <f t="shared" si="31"/>
        <v>Maintain Stock</v>
      </c>
    </row>
    <row r="515" spans="1:21" x14ac:dyDescent="0.25">
      <c r="A515">
        <v>514</v>
      </c>
      <c r="B515" t="s">
        <v>97</v>
      </c>
      <c r="C515" t="s">
        <v>120</v>
      </c>
      <c r="D515" t="s">
        <v>122</v>
      </c>
      <c r="E515">
        <v>455</v>
      </c>
      <c r="F515">
        <v>405</v>
      </c>
      <c r="G515">
        <v>381</v>
      </c>
      <c r="H515">
        <v>3957.74</v>
      </c>
      <c r="I515">
        <v>2744.71</v>
      </c>
      <c r="J515">
        <v>133</v>
      </c>
      <c r="K515">
        <v>7</v>
      </c>
      <c r="L515" t="s">
        <v>202</v>
      </c>
      <c r="M515">
        <v>112</v>
      </c>
      <c r="N515">
        <v>2</v>
      </c>
      <c r="O515">
        <v>3</v>
      </c>
      <c r="P515" t="s">
        <v>215</v>
      </c>
      <c r="Q515" t="s">
        <v>218</v>
      </c>
      <c r="R515">
        <f t="shared" si="32"/>
        <v>24</v>
      </c>
      <c r="S515">
        <f t="shared" si="33"/>
        <v>0.89010989010989006</v>
      </c>
      <c r="T515" t="str">
        <f t="shared" ref="T515:T578" si="34">IF(S515&lt;0.5,"High Risk",IF(S515&lt;1,"Medium Risk","Low Risk"))</f>
        <v>Medium Risk</v>
      </c>
      <c r="U515" t="str">
        <f t="shared" ref="U515:U578" si="35">IF(T515="High Risk","Apply Discount / Promotion",
IF(T515="Medium Risk","Monitor Sales",
"Maintain Stock"))</f>
        <v>Monitor Sales</v>
      </c>
    </row>
    <row r="516" spans="1:21" x14ac:dyDescent="0.25">
      <c r="A516">
        <v>515</v>
      </c>
      <c r="B516" t="s">
        <v>100</v>
      </c>
      <c r="C516" t="s">
        <v>117</v>
      </c>
      <c r="D516" t="s">
        <v>123</v>
      </c>
      <c r="E516">
        <v>408</v>
      </c>
      <c r="F516">
        <v>220</v>
      </c>
      <c r="G516">
        <v>198</v>
      </c>
      <c r="H516">
        <v>970.2</v>
      </c>
      <c r="I516">
        <v>701.2</v>
      </c>
      <c r="J516">
        <v>134</v>
      </c>
      <c r="K516">
        <v>5</v>
      </c>
      <c r="L516" t="s">
        <v>127</v>
      </c>
      <c r="M516">
        <v>42</v>
      </c>
      <c r="N516">
        <v>1</v>
      </c>
      <c r="O516">
        <v>9</v>
      </c>
      <c r="P516" t="s">
        <v>216</v>
      </c>
      <c r="Q516" t="s">
        <v>217</v>
      </c>
      <c r="R516">
        <f t="shared" si="32"/>
        <v>22</v>
      </c>
      <c r="S516">
        <f t="shared" si="33"/>
        <v>0.53921568627450978</v>
      </c>
      <c r="T516" t="str">
        <f t="shared" si="34"/>
        <v>Medium Risk</v>
      </c>
      <c r="U516" t="str">
        <f t="shared" si="35"/>
        <v>Monitor Sales</v>
      </c>
    </row>
    <row r="517" spans="1:21" x14ac:dyDescent="0.25">
      <c r="A517">
        <v>516</v>
      </c>
      <c r="B517" t="s">
        <v>18</v>
      </c>
      <c r="C517" t="s">
        <v>116</v>
      </c>
      <c r="D517" t="s">
        <v>121</v>
      </c>
      <c r="E517">
        <v>485</v>
      </c>
      <c r="F517">
        <v>414</v>
      </c>
      <c r="G517">
        <v>400</v>
      </c>
      <c r="H517">
        <v>3782.36</v>
      </c>
      <c r="I517">
        <v>1895.98</v>
      </c>
      <c r="J517">
        <v>71</v>
      </c>
      <c r="K517">
        <v>9</v>
      </c>
      <c r="L517" t="s">
        <v>170</v>
      </c>
      <c r="M517">
        <v>162</v>
      </c>
      <c r="N517">
        <v>3</v>
      </c>
      <c r="O517">
        <v>10</v>
      </c>
      <c r="P517" t="s">
        <v>216</v>
      </c>
      <c r="Q517" t="s">
        <v>217</v>
      </c>
      <c r="R517">
        <f t="shared" si="32"/>
        <v>14</v>
      </c>
      <c r="S517">
        <f t="shared" si="33"/>
        <v>0.85360824742268038</v>
      </c>
      <c r="T517" t="str">
        <f t="shared" si="34"/>
        <v>Medium Risk</v>
      </c>
      <c r="U517" t="str">
        <f t="shared" si="35"/>
        <v>Monitor Sales</v>
      </c>
    </row>
    <row r="518" spans="1:21" x14ac:dyDescent="0.25">
      <c r="A518">
        <v>517</v>
      </c>
      <c r="B518" t="s">
        <v>16</v>
      </c>
      <c r="C518" t="s">
        <v>117</v>
      </c>
      <c r="D518" t="s">
        <v>123</v>
      </c>
      <c r="E518">
        <v>207</v>
      </c>
      <c r="F518">
        <v>159</v>
      </c>
      <c r="G518">
        <v>159</v>
      </c>
      <c r="H518">
        <v>2816.01</v>
      </c>
      <c r="I518">
        <v>1992.27</v>
      </c>
      <c r="J518">
        <v>134</v>
      </c>
      <c r="K518">
        <v>13</v>
      </c>
      <c r="L518" t="s">
        <v>161</v>
      </c>
      <c r="M518">
        <v>192</v>
      </c>
      <c r="N518">
        <v>5</v>
      </c>
      <c r="O518">
        <v>7</v>
      </c>
      <c r="P518" t="s">
        <v>216</v>
      </c>
      <c r="Q518" t="s">
        <v>218</v>
      </c>
      <c r="R518">
        <f t="shared" si="32"/>
        <v>0</v>
      </c>
      <c r="S518">
        <f t="shared" si="33"/>
        <v>0.76811594202898548</v>
      </c>
      <c r="T518" t="str">
        <f t="shared" si="34"/>
        <v>Medium Risk</v>
      </c>
      <c r="U518" t="str">
        <f t="shared" si="35"/>
        <v>Monitor Sales</v>
      </c>
    </row>
    <row r="519" spans="1:21" x14ac:dyDescent="0.25">
      <c r="A519">
        <v>518</v>
      </c>
      <c r="B519" t="s">
        <v>83</v>
      </c>
      <c r="C519" t="s">
        <v>116</v>
      </c>
      <c r="D519" t="s">
        <v>122</v>
      </c>
      <c r="E519">
        <v>297</v>
      </c>
      <c r="F519">
        <v>231</v>
      </c>
      <c r="G519">
        <v>278</v>
      </c>
      <c r="H519">
        <v>692.78</v>
      </c>
      <c r="I519">
        <v>500.93</v>
      </c>
      <c r="J519">
        <v>97</v>
      </c>
      <c r="K519">
        <v>14</v>
      </c>
      <c r="L519" t="s">
        <v>138</v>
      </c>
      <c r="M519">
        <v>233</v>
      </c>
      <c r="N519">
        <v>4</v>
      </c>
      <c r="O519">
        <v>30</v>
      </c>
      <c r="P519" t="s">
        <v>216</v>
      </c>
      <c r="Q519" t="s">
        <v>218</v>
      </c>
      <c r="R519">
        <f t="shared" si="32"/>
        <v>-47</v>
      </c>
      <c r="S519">
        <f t="shared" si="33"/>
        <v>0.77777777777777779</v>
      </c>
      <c r="T519" t="str">
        <f t="shared" si="34"/>
        <v>Medium Risk</v>
      </c>
      <c r="U519" t="str">
        <f t="shared" si="35"/>
        <v>Monitor Sales</v>
      </c>
    </row>
    <row r="520" spans="1:21" x14ac:dyDescent="0.25">
      <c r="A520">
        <v>519</v>
      </c>
      <c r="B520" t="s">
        <v>69</v>
      </c>
      <c r="C520" t="s">
        <v>116</v>
      </c>
      <c r="D520" t="s">
        <v>123</v>
      </c>
      <c r="E520">
        <v>106</v>
      </c>
      <c r="F520">
        <v>372</v>
      </c>
      <c r="G520">
        <v>356</v>
      </c>
      <c r="H520">
        <v>699.44</v>
      </c>
      <c r="I520">
        <v>513.75</v>
      </c>
      <c r="J520">
        <v>76</v>
      </c>
      <c r="K520">
        <v>13</v>
      </c>
      <c r="L520" t="s">
        <v>181</v>
      </c>
      <c r="M520">
        <v>365</v>
      </c>
      <c r="N520">
        <v>4</v>
      </c>
      <c r="O520">
        <v>6</v>
      </c>
      <c r="P520" t="s">
        <v>216</v>
      </c>
      <c r="Q520" t="s">
        <v>217</v>
      </c>
      <c r="R520">
        <f t="shared" si="32"/>
        <v>16</v>
      </c>
      <c r="S520">
        <f t="shared" si="33"/>
        <v>3.5094339622641511</v>
      </c>
      <c r="T520" t="str">
        <f t="shared" si="34"/>
        <v>Low Risk</v>
      </c>
      <c r="U520" t="str">
        <f t="shared" si="35"/>
        <v>Maintain Stock</v>
      </c>
    </row>
    <row r="521" spans="1:21" x14ac:dyDescent="0.25">
      <c r="A521">
        <v>520</v>
      </c>
      <c r="B521" t="s">
        <v>26</v>
      </c>
      <c r="C521" t="s">
        <v>116</v>
      </c>
      <c r="D521" t="s">
        <v>123</v>
      </c>
      <c r="E521">
        <v>424</v>
      </c>
      <c r="F521">
        <v>255</v>
      </c>
      <c r="G521">
        <v>242</v>
      </c>
      <c r="H521">
        <v>1746.42</v>
      </c>
      <c r="I521">
        <v>1354.81</v>
      </c>
      <c r="J521">
        <v>124</v>
      </c>
      <c r="K521">
        <v>5</v>
      </c>
      <c r="L521" t="s">
        <v>153</v>
      </c>
      <c r="M521">
        <v>212</v>
      </c>
      <c r="N521">
        <v>4</v>
      </c>
      <c r="O521">
        <v>34</v>
      </c>
      <c r="P521" t="s">
        <v>215</v>
      </c>
      <c r="Q521" t="s">
        <v>217</v>
      </c>
      <c r="R521">
        <f t="shared" si="32"/>
        <v>13</v>
      </c>
      <c r="S521">
        <f t="shared" si="33"/>
        <v>0.60141509433962259</v>
      </c>
      <c r="T521" t="str">
        <f t="shared" si="34"/>
        <v>Medium Risk</v>
      </c>
      <c r="U521" t="str">
        <f t="shared" si="35"/>
        <v>Monitor Sales</v>
      </c>
    </row>
    <row r="522" spans="1:21" x14ac:dyDescent="0.25">
      <c r="A522">
        <v>521</v>
      </c>
      <c r="B522" t="s">
        <v>81</v>
      </c>
      <c r="C522" t="s">
        <v>120</v>
      </c>
      <c r="D522" t="s">
        <v>122</v>
      </c>
      <c r="E522">
        <v>208</v>
      </c>
      <c r="F522">
        <v>238</v>
      </c>
      <c r="G522">
        <v>235</v>
      </c>
      <c r="H522">
        <v>4016.91</v>
      </c>
      <c r="I522">
        <v>2974.57</v>
      </c>
      <c r="J522">
        <v>64</v>
      </c>
      <c r="K522">
        <v>15</v>
      </c>
      <c r="L522" t="s">
        <v>180</v>
      </c>
      <c r="M522">
        <v>242</v>
      </c>
      <c r="N522">
        <v>1</v>
      </c>
      <c r="O522">
        <v>7</v>
      </c>
      <c r="P522" t="s">
        <v>216</v>
      </c>
      <c r="Q522" t="s">
        <v>219</v>
      </c>
      <c r="R522">
        <f t="shared" si="32"/>
        <v>3</v>
      </c>
      <c r="S522">
        <f t="shared" si="33"/>
        <v>1.1442307692307692</v>
      </c>
      <c r="T522" t="str">
        <f t="shared" si="34"/>
        <v>Low Risk</v>
      </c>
      <c r="U522" t="str">
        <f t="shared" si="35"/>
        <v>Maintain Stock</v>
      </c>
    </row>
    <row r="523" spans="1:21" x14ac:dyDescent="0.25">
      <c r="A523">
        <v>522</v>
      </c>
      <c r="B523" t="s">
        <v>47</v>
      </c>
      <c r="C523" t="s">
        <v>118</v>
      </c>
      <c r="D523" t="s">
        <v>123</v>
      </c>
      <c r="E523">
        <v>292</v>
      </c>
      <c r="F523">
        <v>183</v>
      </c>
      <c r="G523">
        <v>198</v>
      </c>
      <c r="H523">
        <v>3440.7</v>
      </c>
      <c r="I523">
        <v>1908.15</v>
      </c>
      <c r="J523">
        <v>114</v>
      </c>
      <c r="K523">
        <v>14</v>
      </c>
      <c r="L523" t="s">
        <v>164</v>
      </c>
      <c r="M523">
        <v>39</v>
      </c>
      <c r="N523">
        <v>4</v>
      </c>
      <c r="O523">
        <v>28</v>
      </c>
      <c r="P523" t="s">
        <v>215</v>
      </c>
      <c r="Q523" t="s">
        <v>219</v>
      </c>
      <c r="R523">
        <f t="shared" ref="R523:R586" si="36">F523-G523</f>
        <v>-15</v>
      </c>
      <c r="S523">
        <f t="shared" si="33"/>
        <v>0.62671232876712324</v>
      </c>
      <c r="T523" t="str">
        <f t="shared" si="34"/>
        <v>Medium Risk</v>
      </c>
      <c r="U523" t="str">
        <f t="shared" si="35"/>
        <v>Monitor Sales</v>
      </c>
    </row>
    <row r="524" spans="1:21" x14ac:dyDescent="0.25">
      <c r="A524">
        <v>523</v>
      </c>
      <c r="B524" t="s">
        <v>24</v>
      </c>
      <c r="C524" t="s">
        <v>117</v>
      </c>
      <c r="D524" t="s">
        <v>123</v>
      </c>
      <c r="E524">
        <v>428</v>
      </c>
      <c r="F524">
        <v>0</v>
      </c>
      <c r="G524">
        <v>14</v>
      </c>
      <c r="H524">
        <v>3316.19</v>
      </c>
      <c r="I524">
        <v>2326.77</v>
      </c>
      <c r="J524">
        <v>61</v>
      </c>
      <c r="K524">
        <v>13</v>
      </c>
      <c r="L524" t="s">
        <v>153</v>
      </c>
      <c r="M524">
        <v>59</v>
      </c>
      <c r="N524">
        <v>3</v>
      </c>
      <c r="O524">
        <v>27</v>
      </c>
      <c r="P524" t="s">
        <v>216</v>
      </c>
      <c r="Q524" t="s">
        <v>218</v>
      </c>
      <c r="R524">
        <f t="shared" si="36"/>
        <v>-14</v>
      </c>
      <c r="S524">
        <f t="shared" si="33"/>
        <v>0</v>
      </c>
      <c r="T524" t="str">
        <f t="shared" si="34"/>
        <v>High Risk</v>
      </c>
      <c r="U524" t="str">
        <f t="shared" si="35"/>
        <v>Apply Discount / Promotion</v>
      </c>
    </row>
    <row r="525" spans="1:21" x14ac:dyDescent="0.25">
      <c r="A525">
        <v>524</v>
      </c>
      <c r="B525" t="s">
        <v>44</v>
      </c>
      <c r="C525" t="s">
        <v>118</v>
      </c>
      <c r="D525" t="s">
        <v>123</v>
      </c>
      <c r="E525">
        <v>364</v>
      </c>
      <c r="F525">
        <v>141</v>
      </c>
      <c r="G525">
        <v>102</v>
      </c>
      <c r="H525">
        <v>2647.47</v>
      </c>
      <c r="I525">
        <v>1920.64</v>
      </c>
      <c r="J525">
        <v>136</v>
      </c>
      <c r="K525">
        <v>6</v>
      </c>
      <c r="L525" t="s">
        <v>142</v>
      </c>
      <c r="M525">
        <v>115</v>
      </c>
      <c r="N525">
        <v>4</v>
      </c>
      <c r="O525">
        <v>40</v>
      </c>
      <c r="P525" t="s">
        <v>216</v>
      </c>
      <c r="Q525" t="s">
        <v>218</v>
      </c>
      <c r="R525">
        <f t="shared" si="36"/>
        <v>39</v>
      </c>
      <c r="S525">
        <f t="shared" si="33"/>
        <v>0.38736263736263737</v>
      </c>
      <c r="T525" t="str">
        <f t="shared" si="34"/>
        <v>High Risk</v>
      </c>
      <c r="U525" t="str">
        <f t="shared" si="35"/>
        <v>Apply Discount / Promotion</v>
      </c>
    </row>
    <row r="526" spans="1:21" x14ac:dyDescent="0.25">
      <c r="A526">
        <v>525</v>
      </c>
      <c r="B526" t="s">
        <v>17</v>
      </c>
      <c r="C526" t="s">
        <v>116</v>
      </c>
      <c r="D526" t="s">
        <v>123</v>
      </c>
      <c r="E526">
        <v>47</v>
      </c>
      <c r="F526">
        <v>388</v>
      </c>
      <c r="G526">
        <v>349</v>
      </c>
      <c r="H526">
        <v>4672.2299999999996</v>
      </c>
      <c r="I526">
        <v>2586.25</v>
      </c>
      <c r="J526">
        <v>58</v>
      </c>
      <c r="K526">
        <v>15</v>
      </c>
      <c r="L526" t="s">
        <v>168</v>
      </c>
      <c r="M526">
        <v>223</v>
      </c>
      <c r="N526">
        <v>5</v>
      </c>
      <c r="O526">
        <v>30</v>
      </c>
      <c r="P526" t="s">
        <v>215</v>
      </c>
      <c r="Q526" t="s">
        <v>218</v>
      </c>
      <c r="R526">
        <f t="shared" si="36"/>
        <v>39</v>
      </c>
      <c r="S526">
        <f t="shared" si="33"/>
        <v>8.2553191489361701</v>
      </c>
      <c r="T526" t="str">
        <f t="shared" si="34"/>
        <v>Low Risk</v>
      </c>
      <c r="U526" t="str">
        <f t="shared" si="35"/>
        <v>Maintain Stock</v>
      </c>
    </row>
    <row r="527" spans="1:21" x14ac:dyDescent="0.25">
      <c r="A527">
        <v>526</v>
      </c>
      <c r="B527" t="s">
        <v>101</v>
      </c>
      <c r="C527" t="s">
        <v>116</v>
      </c>
      <c r="D527" t="s">
        <v>122</v>
      </c>
      <c r="E527">
        <v>167</v>
      </c>
      <c r="F527">
        <v>183</v>
      </c>
      <c r="G527">
        <v>233</v>
      </c>
      <c r="H527">
        <v>4141.29</v>
      </c>
      <c r="I527">
        <v>3018.16</v>
      </c>
      <c r="J527">
        <v>99</v>
      </c>
      <c r="K527">
        <v>8</v>
      </c>
      <c r="L527" t="s">
        <v>185</v>
      </c>
      <c r="M527">
        <v>255</v>
      </c>
      <c r="N527">
        <v>1</v>
      </c>
      <c r="O527">
        <v>25</v>
      </c>
      <c r="P527" t="s">
        <v>215</v>
      </c>
      <c r="Q527" t="s">
        <v>217</v>
      </c>
      <c r="R527">
        <f t="shared" si="36"/>
        <v>-50</v>
      </c>
      <c r="S527">
        <f t="shared" si="33"/>
        <v>1.095808383233533</v>
      </c>
      <c r="T527" t="str">
        <f t="shared" si="34"/>
        <v>Low Risk</v>
      </c>
      <c r="U527" t="str">
        <f t="shared" si="35"/>
        <v>Maintain Stock</v>
      </c>
    </row>
    <row r="528" spans="1:21" x14ac:dyDescent="0.25">
      <c r="A528">
        <v>527</v>
      </c>
      <c r="B528" t="s">
        <v>24</v>
      </c>
      <c r="C528" t="s">
        <v>120</v>
      </c>
      <c r="D528" t="s">
        <v>121</v>
      </c>
      <c r="E528">
        <v>310</v>
      </c>
      <c r="F528">
        <v>140</v>
      </c>
      <c r="G528">
        <v>165</v>
      </c>
      <c r="H528">
        <v>1333.08</v>
      </c>
      <c r="I528">
        <v>864.76</v>
      </c>
      <c r="J528">
        <v>36</v>
      </c>
      <c r="K528">
        <v>1</v>
      </c>
      <c r="L528" t="s">
        <v>211</v>
      </c>
      <c r="M528">
        <v>39</v>
      </c>
      <c r="N528">
        <v>3</v>
      </c>
      <c r="O528">
        <v>22</v>
      </c>
      <c r="P528" t="s">
        <v>215</v>
      </c>
      <c r="Q528" t="s">
        <v>218</v>
      </c>
      <c r="R528">
        <f t="shared" si="36"/>
        <v>-25</v>
      </c>
      <c r="S528">
        <f t="shared" si="33"/>
        <v>0.45161290322580644</v>
      </c>
      <c r="T528" t="str">
        <f t="shared" si="34"/>
        <v>High Risk</v>
      </c>
      <c r="U528" t="str">
        <f t="shared" si="35"/>
        <v>Apply Discount / Promotion</v>
      </c>
    </row>
    <row r="529" spans="1:21" x14ac:dyDescent="0.25">
      <c r="A529">
        <v>528</v>
      </c>
      <c r="B529" t="s">
        <v>39</v>
      </c>
      <c r="C529" t="s">
        <v>117</v>
      </c>
      <c r="D529" t="s">
        <v>122</v>
      </c>
      <c r="E529">
        <v>233</v>
      </c>
      <c r="F529">
        <v>226</v>
      </c>
      <c r="G529">
        <v>250</v>
      </c>
      <c r="H529">
        <v>4739.92</v>
      </c>
      <c r="I529">
        <v>3037.65</v>
      </c>
      <c r="J529">
        <v>88</v>
      </c>
      <c r="K529">
        <v>3</v>
      </c>
      <c r="L529" t="s">
        <v>206</v>
      </c>
      <c r="M529">
        <v>101</v>
      </c>
      <c r="N529">
        <v>1</v>
      </c>
      <c r="O529">
        <v>47</v>
      </c>
      <c r="P529" t="s">
        <v>215</v>
      </c>
      <c r="Q529" t="s">
        <v>219</v>
      </c>
      <c r="R529">
        <f t="shared" si="36"/>
        <v>-24</v>
      </c>
      <c r="S529">
        <f t="shared" si="33"/>
        <v>0.96995708154506433</v>
      </c>
      <c r="T529" t="str">
        <f t="shared" si="34"/>
        <v>Medium Risk</v>
      </c>
      <c r="U529" t="str">
        <f t="shared" si="35"/>
        <v>Monitor Sales</v>
      </c>
    </row>
    <row r="530" spans="1:21" x14ac:dyDescent="0.25">
      <c r="A530">
        <v>529</v>
      </c>
      <c r="B530" t="s">
        <v>38</v>
      </c>
      <c r="C530" t="s">
        <v>116</v>
      </c>
      <c r="D530" t="s">
        <v>123</v>
      </c>
      <c r="E530">
        <v>275</v>
      </c>
      <c r="F530">
        <v>149</v>
      </c>
      <c r="G530">
        <v>184</v>
      </c>
      <c r="H530">
        <v>593.24</v>
      </c>
      <c r="I530">
        <v>426.26</v>
      </c>
      <c r="J530">
        <v>48</v>
      </c>
      <c r="K530">
        <v>1</v>
      </c>
      <c r="L530" t="s">
        <v>181</v>
      </c>
      <c r="M530">
        <v>259</v>
      </c>
      <c r="N530">
        <v>5</v>
      </c>
      <c r="O530">
        <v>4</v>
      </c>
      <c r="P530" t="s">
        <v>215</v>
      </c>
      <c r="Q530" t="s">
        <v>219</v>
      </c>
      <c r="R530">
        <f t="shared" si="36"/>
        <v>-35</v>
      </c>
      <c r="S530">
        <f t="shared" si="33"/>
        <v>0.54181818181818187</v>
      </c>
      <c r="T530" t="str">
        <f t="shared" si="34"/>
        <v>Medium Risk</v>
      </c>
      <c r="U530" t="str">
        <f t="shared" si="35"/>
        <v>Monitor Sales</v>
      </c>
    </row>
    <row r="531" spans="1:21" x14ac:dyDescent="0.25">
      <c r="A531">
        <v>530</v>
      </c>
      <c r="B531" t="s">
        <v>109</v>
      </c>
      <c r="C531" t="s">
        <v>116</v>
      </c>
      <c r="D531" t="s">
        <v>121</v>
      </c>
      <c r="E531">
        <v>133</v>
      </c>
      <c r="F531">
        <v>283</v>
      </c>
      <c r="G531">
        <v>253</v>
      </c>
      <c r="H531">
        <v>3728.17</v>
      </c>
      <c r="I531">
        <v>2404.27</v>
      </c>
      <c r="J531">
        <v>54</v>
      </c>
      <c r="K531">
        <v>6</v>
      </c>
      <c r="L531" t="s">
        <v>198</v>
      </c>
      <c r="M531">
        <v>150</v>
      </c>
      <c r="N531">
        <v>1</v>
      </c>
      <c r="O531">
        <v>31</v>
      </c>
      <c r="P531" t="s">
        <v>216</v>
      </c>
      <c r="Q531" t="s">
        <v>219</v>
      </c>
      <c r="R531">
        <f t="shared" si="36"/>
        <v>30</v>
      </c>
      <c r="S531">
        <f t="shared" si="33"/>
        <v>2.1278195488721803</v>
      </c>
      <c r="T531" t="str">
        <f t="shared" si="34"/>
        <v>Low Risk</v>
      </c>
      <c r="U531" t="str">
        <f t="shared" si="35"/>
        <v>Maintain Stock</v>
      </c>
    </row>
    <row r="532" spans="1:21" x14ac:dyDescent="0.25">
      <c r="A532">
        <v>531</v>
      </c>
      <c r="B532" t="s">
        <v>41</v>
      </c>
      <c r="C532" t="s">
        <v>118</v>
      </c>
      <c r="D532" t="s">
        <v>122</v>
      </c>
      <c r="E532">
        <v>111</v>
      </c>
      <c r="F532">
        <v>261</v>
      </c>
      <c r="G532">
        <v>214</v>
      </c>
      <c r="H532">
        <v>1773.74</v>
      </c>
      <c r="I532">
        <v>1309.6300000000001</v>
      </c>
      <c r="J532">
        <v>105</v>
      </c>
      <c r="K532">
        <v>14</v>
      </c>
      <c r="L532" t="s">
        <v>140</v>
      </c>
      <c r="M532">
        <v>347</v>
      </c>
      <c r="N532">
        <v>1</v>
      </c>
      <c r="O532">
        <v>13</v>
      </c>
      <c r="P532" t="s">
        <v>215</v>
      </c>
      <c r="Q532" t="s">
        <v>218</v>
      </c>
      <c r="R532">
        <f t="shared" si="36"/>
        <v>47</v>
      </c>
      <c r="S532">
        <f t="shared" si="33"/>
        <v>2.3513513513513513</v>
      </c>
      <c r="T532" t="str">
        <f t="shared" si="34"/>
        <v>Low Risk</v>
      </c>
      <c r="U532" t="str">
        <f t="shared" si="35"/>
        <v>Maintain Stock</v>
      </c>
    </row>
    <row r="533" spans="1:21" x14ac:dyDescent="0.25">
      <c r="A533">
        <v>532</v>
      </c>
      <c r="B533" t="s">
        <v>93</v>
      </c>
      <c r="C533" t="s">
        <v>116</v>
      </c>
      <c r="D533" t="s">
        <v>121</v>
      </c>
      <c r="E533">
        <v>351</v>
      </c>
      <c r="F533">
        <v>214</v>
      </c>
      <c r="G533">
        <v>168</v>
      </c>
      <c r="H533">
        <v>3981.96</v>
      </c>
      <c r="I533">
        <v>2769.57</v>
      </c>
      <c r="J533">
        <v>122</v>
      </c>
      <c r="K533">
        <v>14</v>
      </c>
      <c r="L533" t="s">
        <v>153</v>
      </c>
      <c r="M533">
        <v>324</v>
      </c>
      <c r="N533">
        <v>5</v>
      </c>
      <c r="O533">
        <v>22</v>
      </c>
      <c r="P533" t="s">
        <v>216</v>
      </c>
      <c r="Q533" t="s">
        <v>217</v>
      </c>
      <c r="R533">
        <f t="shared" si="36"/>
        <v>46</v>
      </c>
      <c r="S533">
        <f t="shared" si="33"/>
        <v>0.6096866096866097</v>
      </c>
      <c r="T533" t="str">
        <f t="shared" si="34"/>
        <v>Medium Risk</v>
      </c>
      <c r="U533" t="str">
        <f t="shared" si="35"/>
        <v>Monitor Sales</v>
      </c>
    </row>
    <row r="534" spans="1:21" x14ac:dyDescent="0.25">
      <c r="A534">
        <v>533</v>
      </c>
      <c r="B534" t="s">
        <v>115</v>
      </c>
      <c r="C534" t="s">
        <v>117</v>
      </c>
      <c r="D534" t="s">
        <v>121</v>
      </c>
      <c r="E534">
        <v>208</v>
      </c>
      <c r="F534">
        <v>165</v>
      </c>
      <c r="G534">
        <v>159</v>
      </c>
      <c r="H534">
        <v>1173.49</v>
      </c>
      <c r="I534">
        <v>698.01</v>
      </c>
      <c r="J534">
        <v>78</v>
      </c>
      <c r="K534">
        <v>1</v>
      </c>
      <c r="L534" t="s">
        <v>204</v>
      </c>
      <c r="M534">
        <v>98</v>
      </c>
      <c r="N534">
        <v>5</v>
      </c>
      <c r="O534">
        <v>26</v>
      </c>
      <c r="P534" t="s">
        <v>216</v>
      </c>
      <c r="Q534" t="s">
        <v>219</v>
      </c>
      <c r="R534">
        <f t="shared" si="36"/>
        <v>6</v>
      </c>
      <c r="S534">
        <f t="shared" si="33"/>
        <v>0.79326923076923073</v>
      </c>
      <c r="T534" t="str">
        <f t="shared" si="34"/>
        <v>Medium Risk</v>
      </c>
      <c r="U534" t="str">
        <f t="shared" si="35"/>
        <v>Monitor Sales</v>
      </c>
    </row>
    <row r="535" spans="1:21" x14ac:dyDescent="0.25">
      <c r="A535">
        <v>534</v>
      </c>
      <c r="B535" t="s">
        <v>102</v>
      </c>
      <c r="C535" t="s">
        <v>118</v>
      </c>
      <c r="D535" t="s">
        <v>122</v>
      </c>
      <c r="E535">
        <v>432</v>
      </c>
      <c r="F535">
        <v>19</v>
      </c>
      <c r="G535">
        <v>28</v>
      </c>
      <c r="H535">
        <v>1335.53</v>
      </c>
      <c r="I535">
        <v>955.35</v>
      </c>
      <c r="J535">
        <v>48</v>
      </c>
      <c r="K535">
        <v>14</v>
      </c>
      <c r="L535" t="s">
        <v>160</v>
      </c>
      <c r="M535">
        <v>279</v>
      </c>
      <c r="N535">
        <v>2</v>
      </c>
      <c r="O535">
        <v>0</v>
      </c>
      <c r="P535" t="s">
        <v>215</v>
      </c>
      <c r="Q535" t="s">
        <v>219</v>
      </c>
      <c r="R535">
        <f t="shared" si="36"/>
        <v>-9</v>
      </c>
      <c r="S535">
        <f t="shared" si="33"/>
        <v>4.3981481481481483E-2</v>
      </c>
      <c r="T535" t="str">
        <f t="shared" si="34"/>
        <v>High Risk</v>
      </c>
      <c r="U535" t="str">
        <f t="shared" si="35"/>
        <v>Apply Discount / Promotion</v>
      </c>
    </row>
    <row r="536" spans="1:21" x14ac:dyDescent="0.25">
      <c r="A536">
        <v>535</v>
      </c>
      <c r="B536" t="s">
        <v>66</v>
      </c>
      <c r="C536" t="s">
        <v>119</v>
      </c>
      <c r="D536" t="s">
        <v>122</v>
      </c>
      <c r="E536">
        <v>172</v>
      </c>
      <c r="F536">
        <v>114</v>
      </c>
      <c r="G536">
        <v>94</v>
      </c>
      <c r="H536">
        <v>1301.73</v>
      </c>
      <c r="I536">
        <v>1040.9000000000001</v>
      </c>
      <c r="J536">
        <v>150</v>
      </c>
      <c r="K536">
        <v>10</v>
      </c>
      <c r="L536" t="s">
        <v>139</v>
      </c>
      <c r="M536">
        <v>75</v>
      </c>
      <c r="N536">
        <v>5</v>
      </c>
      <c r="O536">
        <v>35</v>
      </c>
      <c r="P536" t="s">
        <v>215</v>
      </c>
      <c r="Q536" t="s">
        <v>218</v>
      </c>
      <c r="R536">
        <f t="shared" si="36"/>
        <v>20</v>
      </c>
      <c r="S536">
        <f t="shared" si="33"/>
        <v>0.66279069767441856</v>
      </c>
      <c r="T536" t="str">
        <f t="shared" si="34"/>
        <v>Medium Risk</v>
      </c>
      <c r="U536" t="str">
        <f t="shared" si="35"/>
        <v>Monitor Sales</v>
      </c>
    </row>
    <row r="537" spans="1:21" x14ac:dyDescent="0.25">
      <c r="A537">
        <v>536</v>
      </c>
      <c r="B537" t="s">
        <v>104</v>
      </c>
      <c r="C537" t="s">
        <v>119</v>
      </c>
      <c r="D537" t="s">
        <v>121</v>
      </c>
      <c r="E537">
        <v>447</v>
      </c>
      <c r="F537">
        <v>39</v>
      </c>
      <c r="G537">
        <v>33</v>
      </c>
      <c r="H537">
        <v>1327.42</v>
      </c>
      <c r="I537">
        <v>1024.1400000000001</v>
      </c>
      <c r="J537">
        <v>102</v>
      </c>
      <c r="K537">
        <v>15</v>
      </c>
      <c r="L537" t="s">
        <v>131</v>
      </c>
      <c r="M537">
        <v>45</v>
      </c>
      <c r="N537">
        <v>3</v>
      </c>
      <c r="O537">
        <v>22</v>
      </c>
      <c r="P537" t="s">
        <v>216</v>
      </c>
      <c r="Q537" t="s">
        <v>217</v>
      </c>
      <c r="R537">
        <f t="shared" si="36"/>
        <v>6</v>
      </c>
      <c r="S537">
        <f t="shared" si="33"/>
        <v>8.7248322147651006E-2</v>
      </c>
      <c r="T537" t="str">
        <f t="shared" si="34"/>
        <v>High Risk</v>
      </c>
      <c r="U537" t="str">
        <f t="shared" si="35"/>
        <v>Apply Discount / Promotion</v>
      </c>
    </row>
    <row r="538" spans="1:21" x14ac:dyDescent="0.25">
      <c r="A538">
        <v>537</v>
      </c>
      <c r="B538" t="s">
        <v>20</v>
      </c>
      <c r="C538" t="s">
        <v>118</v>
      </c>
      <c r="D538" t="s">
        <v>121</v>
      </c>
      <c r="E538">
        <v>104</v>
      </c>
      <c r="F538">
        <v>205</v>
      </c>
      <c r="G538">
        <v>245</v>
      </c>
      <c r="H538">
        <v>3156.22</v>
      </c>
      <c r="I538">
        <v>2407.31</v>
      </c>
      <c r="J538">
        <v>141</v>
      </c>
      <c r="K538">
        <v>6</v>
      </c>
      <c r="L538" t="s">
        <v>127</v>
      </c>
      <c r="M538">
        <v>70</v>
      </c>
      <c r="N538">
        <v>4</v>
      </c>
      <c r="O538">
        <v>37</v>
      </c>
      <c r="P538" t="s">
        <v>216</v>
      </c>
      <c r="Q538" t="s">
        <v>217</v>
      </c>
      <c r="R538">
        <f t="shared" si="36"/>
        <v>-40</v>
      </c>
      <c r="S538">
        <f t="shared" si="33"/>
        <v>1.9711538461538463</v>
      </c>
      <c r="T538" t="str">
        <f t="shared" si="34"/>
        <v>Low Risk</v>
      </c>
      <c r="U538" t="str">
        <f t="shared" si="35"/>
        <v>Maintain Stock</v>
      </c>
    </row>
    <row r="539" spans="1:21" x14ac:dyDescent="0.25">
      <c r="A539">
        <v>538</v>
      </c>
      <c r="B539" t="s">
        <v>37</v>
      </c>
      <c r="C539" t="s">
        <v>119</v>
      </c>
      <c r="D539" t="s">
        <v>122</v>
      </c>
      <c r="E539">
        <v>32</v>
      </c>
      <c r="F539">
        <v>168</v>
      </c>
      <c r="G539">
        <v>170</v>
      </c>
      <c r="H539">
        <v>3345.63</v>
      </c>
      <c r="I539">
        <v>1820.37</v>
      </c>
      <c r="J539">
        <v>96</v>
      </c>
      <c r="K539">
        <v>6</v>
      </c>
      <c r="L539" t="s">
        <v>205</v>
      </c>
      <c r="M539">
        <v>56</v>
      </c>
      <c r="N539">
        <v>2</v>
      </c>
      <c r="O539">
        <v>3</v>
      </c>
      <c r="P539" t="s">
        <v>215</v>
      </c>
      <c r="Q539" t="s">
        <v>219</v>
      </c>
      <c r="R539">
        <f t="shared" si="36"/>
        <v>-2</v>
      </c>
      <c r="S539">
        <f t="shared" si="33"/>
        <v>5.25</v>
      </c>
      <c r="T539" t="str">
        <f t="shared" si="34"/>
        <v>Low Risk</v>
      </c>
      <c r="U539" t="str">
        <f t="shared" si="35"/>
        <v>Maintain Stock</v>
      </c>
    </row>
    <row r="540" spans="1:21" x14ac:dyDescent="0.25">
      <c r="A540">
        <v>539</v>
      </c>
      <c r="B540" t="s">
        <v>98</v>
      </c>
      <c r="C540" t="s">
        <v>116</v>
      </c>
      <c r="D540" t="s">
        <v>124</v>
      </c>
      <c r="E540">
        <v>327</v>
      </c>
      <c r="F540">
        <v>355</v>
      </c>
      <c r="G540">
        <v>388</v>
      </c>
      <c r="H540">
        <v>3655.48</v>
      </c>
      <c r="I540">
        <v>1872.13</v>
      </c>
      <c r="J540">
        <v>50</v>
      </c>
      <c r="K540">
        <v>12</v>
      </c>
      <c r="L540" t="s">
        <v>213</v>
      </c>
      <c r="M540">
        <v>335</v>
      </c>
      <c r="N540">
        <v>2</v>
      </c>
      <c r="O540">
        <v>17</v>
      </c>
      <c r="P540" t="s">
        <v>216</v>
      </c>
      <c r="Q540" t="s">
        <v>218</v>
      </c>
      <c r="R540">
        <f t="shared" si="36"/>
        <v>-33</v>
      </c>
      <c r="S540">
        <f t="shared" si="33"/>
        <v>1.0856269113149848</v>
      </c>
      <c r="T540" t="str">
        <f t="shared" si="34"/>
        <v>Low Risk</v>
      </c>
      <c r="U540" t="str">
        <f t="shared" si="35"/>
        <v>Maintain Stock</v>
      </c>
    </row>
    <row r="541" spans="1:21" x14ac:dyDescent="0.25">
      <c r="A541">
        <v>540</v>
      </c>
      <c r="B541" t="s">
        <v>65</v>
      </c>
      <c r="C541" t="s">
        <v>117</v>
      </c>
      <c r="D541" t="s">
        <v>123</v>
      </c>
      <c r="E541">
        <v>441</v>
      </c>
      <c r="F541">
        <v>308</v>
      </c>
      <c r="G541">
        <v>347</v>
      </c>
      <c r="H541">
        <v>3861.44</v>
      </c>
      <c r="I541">
        <v>3061.16</v>
      </c>
      <c r="J541">
        <v>123</v>
      </c>
      <c r="K541">
        <v>4</v>
      </c>
      <c r="L541" t="s">
        <v>148</v>
      </c>
      <c r="M541">
        <v>132</v>
      </c>
      <c r="N541">
        <v>1</v>
      </c>
      <c r="O541">
        <v>29</v>
      </c>
      <c r="P541" t="s">
        <v>216</v>
      </c>
      <c r="Q541" t="s">
        <v>217</v>
      </c>
      <c r="R541">
        <f t="shared" si="36"/>
        <v>-39</v>
      </c>
      <c r="S541">
        <f t="shared" si="33"/>
        <v>0.69841269841269837</v>
      </c>
      <c r="T541" t="str">
        <f t="shared" si="34"/>
        <v>Medium Risk</v>
      </c>
      <c r="U541" t="str">
        <f t="shared" si="35"/>
        <v>Monitor Sales</v>
      </c>
    </row>
    <row r="542" spans="1:21" x14ac:dyDescent="0.25">
      <c r="A542">
        <v>541</v>
      </c>
      <c r="B542" t="s">
        <v>75</v>
      </c>
      <c r="C542" t="s">
        <v>118</v>
      </c>
      <c r="D542" t="s">
        <v>123</v>
      </c>
      <c r="E542">
        <v>111</v>
      </c>
      <c r="F542">
        <v>246</v>
      </c>
      <c r="G542">
        <v>208</v>
      </c>
      <c r="H542">
        <v>2442.5700000000002</v>
      </c>
      <c r="I542">
        <v>1406.9</v>
      </c>
      <c r="J542">
        <v>76</v>
      </c>
      <c r="K542">
        <v>1</v>
      </c>
      <c r="L542" t="s">
        <v>161</v>
      </c>
      <c r="M542">
        <v>50</v>
      </c>
      <c r="N542">
        <v>5</v>
      </c>
      <c r="O542">
        <v>17</v>
      </c>
      <c r="P542" t="s">
        <v>215</v>
      </c>
      <c r="Q542" t="s">
        <v>218</v>
      </c>
      <c r="R542">
        <f t="shared" si="36"/>
        <v>38</v>
      </c>
      <c r="S542">
        <f t="shared" si="33"/>
        <v>2.2162162162162162</v>
      </c>
      <c r="T542" t="str">
        <f t="shared" si="34"/>
        <v>Low Risk</v>
      </c>
      <c r="U542" t="str">
        <f t="shared" si="35"/>
        <v>Maintain Stock</v>
      </c>
    </row>
    <row r="543" spans="1:21" x14ac:dyDescent="0.25">
      <c r="A543">
        <v>542</v>
      </c>
      <c r="B543" t="s">
        <v>105</v>
      </c>
      <c r="C543" t="s">
        <v>117</v>
      </c>
      <c r="D543" t="s">
        <v>124</v>
      </c>
      <c r="E543">
        <v>243</v>
      </c>
      <c r="F543">
        <v>228</v>
      </c>
      <c r="G543">
        <v>197</v>
      </c>
      <c r="H543">
        <v>3027.05</v>
      </c>
      <c r="I543">
        <v>1786.41</v>
      </c>
      <c r="J543">
        <v>81</v>
      </c>
      <c r="K543">
        <v>6</v>
      </c>
      <c r="L543" t="s">
        <v>183</v>
      </c>
      <c r="M543">
        <v>237</v>
      </c>
      <c r="N543">
        <v>1</v>
      </c>
      <c r="O543">
        <v>14</v>
      </c>
      <c r="P543" t="s">
        <v>215</v>
      </c>
      <c r="Q543" t="s">
        <v>217</v>
      </c>
      <c r="R543">
        <f t="shared" si="36"/>
        <v>31</v>
      </c>
      <c r="S543">
        <f t="shared" si="33"/>
        <v>0.93827160493827155</v>
      </c>
      <c r="T543" t="str">
        <f t="shared" si="34"/>
        <v>Medium Risk</v>
      </c>
      <c r="U543" t="str">
        <f t="shared" si="35"/>
        <v>Monitor Sales</v>
      </c>
    </row>
    <row r="544" spans="1:21" x14ac:dyDescent="0.25">
      <c r="A544">
        <v>543</v>
      </c>
      <c r="B544" t="s">
        <v>53</v>
      </c>
      <c r="C544" t="s">
        <v>116</v>
      </c>
      <c r="D544" t="s">
        <v>121</v>
      </c>
      <c r="E544">
        <v>57</v>
      </c>
      <c r="F544">
        <v>186</v>
      </c>
      <c r="G544">
        <v>224</v>
      </c>
      <c r="H544">
        <v>1566.74</v>
      </c>
      <c r="I544">
        <v>883.8</v>
      </c>
      <c r="J544">
        <v>100</v>
      </c>
      <c r="K544">
        <v>1</v>
      </c>
      <c r="L544" t="s">
        <v>144</v>
      </c>
      <c r="M544">
        <v>156</v>
      </c>
      <c r="N544">
        <v>3</v>
      </c>
      <c r="O544">
        <v>8</v>
      </c>
      <c r="P544" t="s">
        <v>215</v>
      </c>
      <c r="Q544" t="s">
        <v>219</v>
      </c>
      <c r="R544">
        <f t="shared" si="36"/>
        <v>-38</v>
      </c>
      <c r="S544">
        <f t="shared" si="33"/>
        <v>3.263157894736842</v>
      </c>
      <c r="T544" t="str">
        <f t="shared" si="34"/>
        <v>Low Risk</v>
      </c>
      <c r="U544" t="str">
        <f t="shared" si="35"/>
        <v>Maintain Stock</v>
      </c>
    </row>
    <row r="545" spans="1:21" x14ac:dyDescent="0.25">
      <c r="A545">
        <v>544</v>
      </c>
      <c r="B545" t="s">
        <v>78</v>
      </c>
      <c r="C545" t="s">
        <v>118</v>
      </c>
      <c r="D545" t="s">
        <v>121</v>
      </c>
      <c r="E545">
        <v>57</v>
      </c>
      <c r="F545">
        <v>375</v>
      </c>
      <c r="G545">
        <v>354</v>
      </c>
      <c r="H545">
        <v>4177.3599999999997</v>
      </c>
      <c r="I545">
        <v>2093.94</v>
      </c>
      <c r="J545">
        <v>114</v>
      </c>
      <c r="K545">
        <v>14</v>
      </c>
      <c r="L545" t="s">
        <v>186</v>
      </c>
      <c r="M545">
        <v>68</v>
      </c>
      <c r="N545">
        <v>5</v>
      </c>
      <c r="O545">
        <v>21</v>
      </c>
      <c r="P545" t="s">
        <v>215</v>
      </c>
      <c r="Q545" t="s">
        <v>218</v>
      </c>
      <c r="R545">
        <f t="shared" si="36"/>
        <v>21</v>
      </c>
      <c r="S545">
        <f t="shared" si="33"/>
        <v>6.5789473684210522</v>
      </c>
      <c r="T545" t="str">
        <f t="shared" si="34"/>
        <v>Low Risk</v>
      </c>
      <c r="U545" t="str">
        <f t="shared" si="35"/>
        <v>Maintain Stock</v>
      </c>
    </row>
    <row r="546" spans="1:21" x14ac:dyDescent="0.25">
      <c r="A546">
        <v>545</v>
      </c>
      <c r="B546" t="s">
        <v>50</v>
      </c>
      <c r="C546" t="s">
        <v>116</v>
      </c>
      <c r="D546" t="s">
        <v>124</v>
      </c>
      <c r="E546">
        <v>231</v>
      </c>
      <c r="F546">
        <v>221</v>
      </c>
      <c r="G546">
        <v>266</v>
      </c>
      <c r="H546">
        <v>482.37</v>
      </c>
      <c r="I546">
        <v>260.48</v>
      </c>
      <c r="J546">
        <v>108</v>
      </c>
      <c r="K546">
        <v>5</v>
      </c>
      <c r="L546" t="s">
        <v>202</v>
      </c>
      <c r="M546">
        <v>216</v>
      </c>
      <c r="N546">
        <v>3</v>
      </c>
      <c r="O546">
        <v>16</v>
      </c>
      <c r="P546" t="s">
        <v>216</v>
      </c>
      <c r="Q546" t="s">
        <v>217</v>
      </c>
      <c r="R546">
        <f t="shared" si="36"/>
        <v>-45</v>
      </c>
      <c r="S546">
        <f t="shared" si="33"/>
        <v>0.95670995670995673</v>
      </c>
      <c r="T546" t="str">
        <f t="shared" si="34"/>
        <v>Medium Risk</v>
      </c>
      <c r="U546" t="str">
        <f t="shared" si="35"/>
        <v>Monitor Sales</v>
      </c>
    </row>
    <row r="547" spans="1:21" x14ac:dyDescent="0.25">
      <c r="A547">
        <v>546</v>
      </c>
      <c r="B547" t="s">
        <v>83</v>
      </c>
      <c r="C547" t="s">
        <v>116</v>
      </c>
      <c r="D547" t="s">
        <v>121</v>
      </c>
      <c r="E547">
        <v>225</v>
      </c>
      <c r="F547">
        <v>267</v>
      </c>
      <c r="G547">
        <v>261</v>
      </c>
      <c r="H547">
        <v>2438.29</v>
      </c>
      <c r="I547">
        <v>1556.36</v>
      </c>
      <c r="J547">
        <v>51</v>
      </c>
      <c r="K547">
        <v>9</v>
      </c>
      <c r="L547" t="s">
        <v>190</v>
      </c>
      <c r="M547">
        <v>46</v>
      </c>
      <c r="N547">
        <v>3</v>
      </c>
      <c r="O547">
        <v>39</v>
      </c>
      <c r="P547" t="s">
        <v>216</v>
      </c>
      <c r="Q547" t="s">
        <v>219</v>
      </c>
      <c r="R547">
        <f t="shared" si="36"/>
        <v>6</v>
      </c>
      <c r="S547">
        <f t="shared" si="33"/>
        <v>1.1866666666666668</v>
      </c>
      <c r="T547" t="str">
        <f t="shared" si="34"/>
        <v>Low Risk</v>
      </c>
      <c r="U547" t="str">
        <f t="shared" si="35"/>
        <v>Maintain Stock</v>
      </c>
    </row>
    <row r="548" spans="1:21" x14ac:dyDescent="0.25">
      <c r="A548">
        <v>547</v>
      </c>
      <c r="B548" t="s">
        <v>54</v>
      </c>
      <c r="C548" t="s">
        <v>117</v>
      </c>
      <c r="D548" t="s">
        <v>123</v>
      </c>
      <c r="E548">
        <v>118</v>
      </c>
      <c r="F548">
        <v>13</v>
      </c>
      <c r="G548">
        <v>40</v>
      </c>
      <c r="H548">
        <v>1827.16</v>
      </c>
      <c r="I548">
        <v>1007.51</v>
      </c>
      <c r="J548">
        <v>59</v>
      </c>
      <c r="K548">
        <v>7</v>
      </c>
      <c r="L548" t="s">
        <v>159</v>
      </c>
      <c r="M548">
        <v>228</v>
      </c>
      <c r="N548">
        <v>2</v>
      </c>
      <c r="O548">
        <v>34</v>
      </c>
      <c r="P548" t="s">
        <v>215</v>
      </c>
      <c r="Q548" t="s">
        <v>219</v>
      </c>
      <c r="R548">
        <f t="shared" si="36"/>
        <v>-27</v>
      </c>
      <c r="S548">
        <f t="shared" si="33"/>
        <v>0.11016949152542373</v>
      </c>
      <c r="T548" t="str">
        <f t="shared" si="34"/>
        <v>High Risk</v>
      </c>
      <c r="U548" t="str">
        <f t="shared" si="35"/>
        <v>Apply Discount / Promotion</v>
      </c>
    </row>
    <row r="549" spans="1:21" x14ac:dyDescent="0.25">
      <c r="A549">
        <v>548</v>
      </c>
      <c r="B549" t="s">
        <v>65</v>
      </c>
      <c r="C549" t="s">
        <v>116</v>
      </c>
      <c r="D549" t="s">
        <v>123</v>
      </c>
      <c r="E549">
        <v>304</v>
      </c>
      <c r="F549">
        <v>164</v>
      </c>
      <c r="G549">
        <v>192</v>
      </c>
      <c r="H549">
        <v>4200.1000000000004</v>
      </c>
      <c r="I549">
        <v>3034.15</v>
      </c>
      <c r="J549">
        <v>75</v>
      </c>
      <c r="K549">
        <v>8</v>
      </c>
      <c r="L549" t="s">
        <v>161</v>
      </c>
      <c r="M549">
        <v>311</v>
      </c>
      <c r="N549">
        <v>1</v>
      </c>
      <c r="O549">
        <v>12</v>
      </c>
      <c r="P549" t="s">
        <v>215</v>
      </c>
      <c r="Q549" t="s">
        <v>219</v>
      </c>
      <c r="R549">
        <f t="shared" si="36"/>
        <v>-28</v>
      </c>
      <c r="S549">
        <f t="shared" si="33"/>
        <v>0.53947368421052633</v>
      </c>
      <c r="T549" t="str">
        <f t="shared" si="34"/>
        <v>Medium Risk</v>
      </c>
      <c r="U549" t="str">
        <f t="shared" si="35"/>
        <v>Monitor Sales</v>
      </c>
    </row>
    <row r="550" spans="1:21" x14ac:dyDescent="0.25">
      <c r="A550">
        <v>549</v>
      </c>
      <c r="B550" t="s">
        <v>93</v>
      </c>
      <c r="C550" t="s">
        <v>119</v>
      </c>
      <c r="D550" t="s">
        <v>121</v>
      </c>
      <c r="E550">
        <v>413</v>
      </c>
      <c r="F550">
        <v>343</v>
      </c>
      <c r="G550">
        <v>301</v>
      </c>
      <c r="H550">
        <v>2691.36</v>
      </c>
      <c r="I550">
        <v>1401.21</v>
      </c>
      <c r="J550">
        <v>42</v>
      </c>
      <c r="K550">
        <v>7</v>
      </c>
      <c r="L550" t="s">
        <v>173</v>
      </c>
      <c r="M550">
        <v>239</v>
      </c>
      <c r="N550">
        <v>4</v>
      </c>
      <c r="O550">
        <v>23</v>
      </c>
      <c r="P550" t="s">
        <v>215</v>
      </c>
      <c r="Q550" t="s">
        <v>218</v>
      </c>
      <c r="R550">
        <f t="shared" si="36"/>
        <v>42</v>
      </c>
      <c r="S550">
        <f t="shared" si="33"/>
        <v>0.83050847457627119</v>
      </c>
      <c r="T550" t="str">
        <f t="shared" si="34"/>
        <v>Medium Risk</v>
      </c>
      <c r="U550" t="str">
        <f t="shared" si="35"/>
        <v>Monitor Sales</v>
      </c>
    </row>
    <row r="551" spans="1:21" x14ac:dyDescent="0.25">
      <c r="A551">
        <v>550</v>
      </c>
      <c r="B551" t="s">
        <v>39</v>
      </c>
      <c r="C551" t="s">
        <v>118</v>
      </c>
      <c r="D551" t="s">
        <v>124</v>
      </c>
      <c r="E551">
        <v>63</v>
      </c>
      <c r="F551">
        <v>103</v>
      </c>
      <c r="G551">
        <v>140</v>
      </c>
      <c r="H551">
        <v>4379.22</v>
      </c>
      <c r="I551">
        <v>2759.35</v>
      </c>
      <c r="J551">
        <v>46</v>
      </c>
      <c r="K551">
        <v>2</v>
      </c>
      <c r="L551" t="s">
        <v>139</v>
      </c>
      <c r="M551">
        <v>162</v>
      </c>
      <c r="N551">
        <v>2</v>
      </c>
      <c r="O551">
        <v>6</v>
      </c>
      <c r="P551" t="s">
        <v>215</v>
      </c>
      <c r="Q551" t="s">
        <v>219</v>
      </c>
      <c r="R551">
        <f t="shared" si="36"/>
        <v>-37</v>
      </c>
      <c r="S551">
        <f t="shared" si="33"/>
        <v>1.6349206349206349</v>
      </c>
      <c r="T551" t="str">
        <f t="shared" si="34"/>
        <v>Low Risk</v>
      </c>
      <c r="U551" t="str">
        <f t="shared" si="35"/>
        <v>Maintain Stock</v>
      </c>
    </row>
    <row r="552" spans="1:21" x14ac:dyDescent="0.25">
      <c r="A552">
        <v>551</v>
      </c>
      <c r="B552" t="s">
        <v>107</v>
      </c>
      <c r="C552" t="s">
        <v>117</v>
      </c>
      <c r="D552" t="s">
        <v>122</v>
      </c>
      <c r="E552">
        <v>347</v>
      </c>
      <c r="F552">
        <v>197</v>
      </c>
      <c r="G552">
        <v>165</v>
      </c>
      <c r="H552">
        <v>2933.09</v>
      </c>
      <c r="I552">
        <v>2047.36</v>
      </c>
      <c r="J552">
        <v>77</v>
      </c>
      <c r="K552">
        <v>11</v>
      </c>
      <c r="L552" t="s">
        <v>127</v>
      </c>
      <c r="M552">
        <v>101</v>
      </c>
      <c r="N552">
        <v>1</v>
      </c>
      <c r="O552">
        <v>14</v>
      </c>
      <c r="P552" t="s">
        <v>215</v>
      </c>
      <c r="Q552" t="s">
        <v>219</v>
      </c>
      <c r="R552">
        <f t="shared" si="36"/>
        <v>32</v>
      </c>
      <c r="S552">
        <f t="shared" si="33"/>
        <v>0.56772334293948123</v>
      </c>
      <c r="T552" t="str">
        <f t="shared" si="34"/>
        <v>Medium Risk</v>
      </c>
      <c r="U552" t="str">
        <f t="shared" si="35"/>
        <v>Monitor Sales</v>
      </c>
    </row>
    <row r="553" spans="1:21" x14ac:dyDescent="0.25">
      <c r="A553">
        <v>552</v>
      </c>
      <c r="B553" t="s">
        <v>63</v>
      </c>
      <c r="C553" t="s">
        <v>118</v>
      </c>
      <c r="D553" t="s">
        <v>124</v>
      </c>
      <c r="E553">
        <v>64</v>
      </c>
      <c r="F553">
        <v>254</v>
      </c>
      <c r="G553">
        <v>207</v>
      </c>
      <c r="H553">
        <v>575.24</v>
      </c>
      <c r="I553">
        <v>389.51</v>
      </c>
      <c r="J553">
        <v>148</v>
      </c>
      <c r="K553">
        <v>14</v>
      </c>
      <c r="L553" t="s">
        <v>192</v>
      </c>
      <c r="M553">
        <v>172</v>
      </c>
      <c r="N553">
        <v>1</v>
      </c>
      <c r="O553">
        <v>43</v>
      </c>
      <c r="P553" t="s">
        <v>215</v>
      </c>
      <c r="Q553" t="s">
        <v>217</v>
      </c>
      <c r="R553">
        <f t="shared" si="36"/>
        <v>47</v>
      </c>
      <c r="S553">
        <f t="shared" si="33"/>
        <v>3.96875</v>
      </c>
      <c r="T553" t="str">
        <f t="shared" si="34"/>
        <v>Low Risk</v>
      </c>
      <c r="U553" t="str">
        <f t="shared" si="35"/>
        <v>Maintain Stock</v>
      </c>
    </row>
    <row r="554" spans="1:21" x14ac:dyDescent="0.25">
      <c r="A554">
        <v>553</v>
      </c>
      <c r="B554" t="s">
        <v>36</v>
      </c>
      <c r="C554" t="s">
        <v>117</v>
      </c>
      <c r="D554" t="s">
        <v>123</v>
      </c>
      <c r="E554">
        <v>436</v>
      </c>
      <c r="F554">
        <v>344</v>
      </c>
      <c r="G554">
        <v>295</v>
      </c>
      <c r="H554">
        <v>1067.6400000000001</v>
      </c>
      <c r="I554">
        <v>615.9</v>
      </c>
      <c r="J554">
        <v>78</v>
      </c>
      <c r="K554">
        <v>3</v>
      </c>
      <c r="L554" t="s">
        <v>146</v>
      </c>
      <c r="M554">
        <v>100</v>
      </c>
      <c r="N554">
        <v>5</v>
      </c>
      <c r="O554">
        <v>44</v>
      </c>
      <c r="P554" t="s">
        <v>216</v>
      </c>
      <c r="Q554" t="s">
        <v>219</v>
      </c>
      <c r="R554">
        <f t="shared" si="36"/>
        <v>49</v>
      </c>
      <c r="S554">
        <f t="shared" si="33"/>
        <v>0.78899082568807344</v>
      </c>
      <c r="T554" t="str">
        <f t="shared" si="34"/>
        <v>Medium Risk</v>
      </c>
      <c r="U554" t="str">
        <f t="shared" si="35"/>
        <v>Monitor Sales</v>
      </c>
    </row>
    <row r="555" spans="1:21" x14ac:dyDescent="0.25">
      <c r="A555">
        <v>554</v>
      </c>
      <c r="B555" t="s">
        <v>58</v>
      </c>
      <c r="C555" t="s">
        <v>119</v>
      </c>
      <c r="D555" t="s">
        <v>121</v>
      </c>
      <c r="E555">
        <v>209</v>
      </c>
      <c r="F555">
        <v>290</v>
      </c>
      <c r="G555">
        <v>262</v>
      </c>
      <c r="H555">
        <v>1422.99</v>
      </c>
      <c r="I555">
        <v>779.62</v>
      </c>
      <c r="J555">
        <v>38</v>
      </c>
      <c r="K555">
        <v>9</v>
      </c>
      <c r="L555" t="s">
        <v>202</v>
      </c>
      <c r="M555">
        <v>196</v>
      </c>
      <c r="N555">
        <v>5</v>
      </c>
      <c r="O555">
        <v>0</v>
      </c>
      <c r="P555" t="s">
        <v>216</v>
      </c>
      <c r="Q555" t="s">
        <v>217</v>
      </c>
      <c r="R555">
        <f t="shared" si="36"/>
        <v>28</v>
      </c>
      <c r="S555">
        <f t="shared" si="33"/>
        <v>1.3875598086124401</v>
      </c>
      <c r="T555" t="str">
        <f t="shared" si="34"/>
        <v>Low Risk</v>
      </c>
      <c r="U555" t="str">
        <f t="shared" si="35"/>
        <v>Maintain Stock</v>
      </c>
    </row>
    <row r="556" spans="1:21" x14ac:dyDescent="0.25">
      <c r="A556">
        <v>555</v>
      </c>
      <c r="B556" t="s">
        <v>24</v>
      </c>
      <c r="C556" t="s">
        <v>118</v>
      </c>
      <c r="D556" t="s">
        <v>122</v>
      </c>
      <c r="E556">
        <v>412</v>
      </c>
      <c r="F556">
        <v>142</v>
      </c>
      <c r="G556">
        <v>150</v>
      </c>
      <c r="H556">
        <v>481.86</v>
      </c>
      <c r="I556">
        <v>325.47000000000003</v>
      </c>
      <c r="J556">
        <v>111</v>
      </c>
      <c r="K556">
        <v>7</v>
      </c>
      <c r="L556" t="s">
        <v>197</v>
      </c>
      <c r="M556">
        <v>46</v>
      </c>
      <c r="N556">
        <v>4</v>
      </c>
      <c r="O556">
        <v>23</v>
      </c>
      <c r="P556" t="s">
        <v>215</v>
      </c>
      <c r="Q556" t="s">
        <v>218</v>
      </c>
      <c r="R556">
        <f t="shared" si="36"/>
        <v>-8</v>
      </c>
      <c r="S556">
        <f t="shared" si="33"/>
        <v>0.3446601941747573</v>
      </c>
      <c r="T556" t="str">
        <f t="shared" si="34"/>
        <v>High Risk</v>
      </c>
      <c r="U556" t="str">
        <f t="shared" si="35"/>
        <v>Apply Discount / Promotion</v>
      </c>
    </row>
    <row r="557" spans="1:21" x14ac:dyDescent="0.25">
      <c r="A557">
        <v>556</v>
      </c>
      <c r="B557" t="s">
        <v>96</v>
      </c>
      <c r="C557" t="s">
        <v>118</v>
      </c>
      <c r="D557" t="s">
        <v>121</v>
      </c>
      <c r="E557">
        <v>74</v>
      </c>
      <c r="F557">
        <v>336</v>
      </c>
      <c r="G557">
        <v>372</v>
      </c>
      <c r="H557">
        <v>2078.54</v>
      </c>
      <c r="I557">
        <v>1377</v>
      </c>
      <c r="J557">
        <v>74</v>
      </c>
      <c r="K557">
        <v>11</v>
      </c>
      <c r="L557" t="s">
        <v>194</v>
      </c>
      <c r="M557">
        <v>33</v>
      </c>
      <c r="N557">
        <v>3</v>
      </c>
      <c r="O557">
        <v>49</v>
      </c>
      <c r="P557" t="s">
        <v>216</v>
      </c>
      <c r="Q557" t="s">
        <v>217</v>
      </c>
      <c r="R557">
        <f t="shared" si="36"/>
        <v>-36</v>
      </c>
      <c r="S557">
        <f t="shared" si="33"/>
        <v>4.5405405405405403</v>
      </c>
      <c r="T557" t="str">
        <f t="shared" si="34"/>
        <v>Low Risk</v>
      </c>
      <c r="U557" t="str">
        <f t="shared" si="35"/>
        <v>Maintain Stock</v>
      </c>
    </row>
    <row r="558" spans="1:21" x14ac:dyDescent="0.25">
      <c r="A558">
        <v>557</v>
      </c>
      <c r="B558" t="s">
        <v>62</v>
      </c>
      <c r="C558" t="s">
        <v>117</v>
      </c>
      <c r="D558" t="s">
        <v>124</v>
      </c>
      <c r="E558">
        <v>255</v>
      </c>
      <c r="F558">
        <v>281</v>
      </c>
      <c r="G558">
        <v>235</v>
      </c>
      <c r="H558">
        <v>1898.17</v>
      </c>
      <c r="I558">
        <v>1235.57</v>
      </c>
      <c r="J558">
        <v>143</v>
      </c>
      <c r="K558">
        <v>13</v>
      </c>
      <c r="L558" t="s">
        <v>146</v>
      </c>
      <c r="M558">
        <v>300</v>
      </c>
      <c r="N558">
        <v>2</v>
      </c>
      <c r="O558">
        <v>2</v>
      </c>
      <c r="P558" t="s">
        <v>216</v>
      </c>
      <c r="Q558" t="s">
        <v>217</v>
      </c>
      <c r="R558">
        <f t="shared" si="36"/>
        <v>46</v>
      </c>
      <c r="S558">
        <f t="shared" si="33"/>
        <v>1.1019607843137256</v>
      </c>
      <c r="T558" t="str">
        <f t="shared" si="34"/>
        <v>Low Risk</v>
      </c>
      <c r="U558" t="str">
        <f t="shared" si="35"/>
        <v>Maintain Stock</v>
      </c>
    </row>
    <row r="559" spans="1:21" x14ac:dyDescent="0.25">
      <c r="A559">
        <v>558</v>
      </c>
      <c r="B559" t="s">
        <v>110</v>
      </c>
      <c r="C559" t="s">
        <v>119</v>
      </c>
      <c r="D559" t="s">
        <v>121</v>
      </c>
      <c r="E559">
        <v>488</v>
      </c>
      <c r="F559">
        <v>78</v>
      </c>
      <c r="G559">
        <v>39</v>
      </c>
      <c r="H559">
        <v>3011.06</v>
      </c>
      <c r="I559">
        <v>1898.75</v>
      </c>
      <c r="J559">
        <v>88</v>
      </c>
      <c r="K559">
        <v>3</v>
      </c>
      <c r="L559" t="s">
        <v>168</v>
      </c>
      <c r="M559">
        <v>69</v>
      </c>
      <c r="N559">
        <v>4</v>
      </c>
      <c r="O559">
        <v>18</v>
      </c>
      <c r="P559" t="s">
        <v>215</v>
      </c>
      <c r="Q559" t="s">
        <v>217</v>
      </c>
      <c r="R559">
        <f t="shared" si="36"/>
        <v>39</v>
      </c>
      <c r="S559">
        <f t="shared" si="33"/>
        <v>0.1598360655737705</v>
      </c>
      <c r="T559" t="str">
        <f t="shared" si="34"/>
        <v>High Risk</v>
      </c>
      <c r="U559" t="str">
        <f t="shared" si="35"/>
        <v>Apply Discount / Promotion</v>
      </c>
    </row>
    <row r="560" spans="1:21" x14ac:dyDescent="0.25">
      <c r="A560">
        <v>559</v>
      </c>
      <c r="B560" t="s">
        <v>38</v>
      </c>
      <c r="C560" t="s">
        <v>116</v>
      </c>
      <c r="D560" t="s">
        <v>124</v>
      </c>
      <c r="E560">
        <v>116</v>
      </c>
      <c r="F560">
        <v>188</v>
      </c>
      <c r="G560">
        <v>215</v>
      </c>
      <c r="H560">
        <v>498.83</v>
      </c>
      <c r="I560">
        <v>382.12</v>
      </c>
      <c r="J560">
        <v>33</v>
      </c>
      <c r="K560">
        <v>6</v>
      </c>
      <c r="L560" t="s">
        <v>159</v>
      </c>
      <c r="M560">
        <v>234</v>
      </c>
      <c r="N560">
        <v>2</v>
      </c>
      <c r="O560">
        <v>49</v>
      </c>
      <c r="P560" t="s">
        <v>215</v>
      </c>
      <c r="Q560" t="s">
        <v>219</v>
      </c>
      <c r="R560">
        <f t="shared" si="36"/>
        <v>-27</v>
      </c>
      <c r="S560">
        <f t="shared" si="33"/>
        <v>1.6206896551724137</v>
      </c>
      <c r="T560" t="str">
        <f t="shared" si="34"/>
        <v>Low Risk</v>
      </c>
      <c r="U560" t="str">
        <f t="shared" si="35"/>
        <v>Maintain Stock</v>
      </c>
    </row>
    <row r="561" spans="1:21" x14ac:dyDescent="0.25">
      <c r="A561">
        <v>560</v>
      </c>
      <c r="B561" t="s">
        <v>25</v>
      </c>
      <c r="C561" t="s">
        <v>119</v>
      </c>
      <c r="D561" t="s">
        <v>123</v>
      </c>
      <c r="E561">
        <v>293</v>
      </c>
      <c r="F561">
        <v>218</v>
      </c>
      <c r="G561">
        <v>223</v>
      </c>
      <c r="H561">
        <v>1435.4</v>
      </c>
      <c r="I561">
        <v>1017.85</v>
      </c>
      <c r="J561">
        <v>40</v>
      </c>
      <c r="K561">
        <v>13</v>
      </c>
      <c r="L561" t="s">
        <v>200</v>
      </c>
      <c r="M561">
        <v>154</v>
      </c>
      <c r="N561">
        <v>5</v>
      </c>
      <c r="O561">
        <v>2</v>
      </c>
      <c r="P561" t="s">
        <v>215</v>
      </c>
      <c r="Q561" t="s">
        <v>217</v>
      </c>
      <c r="R561">
        <f t="shared" si="36"/>
        <v>-5</v>
      </c>
      <c r="S561">
        <f t="shared" si="33"/>
        <v>0.74402730375426618</v>
      </c>
      <c r="T561" t="str">
        <f t="shared" si="34"/>
        <v>Medium Risk</v>
      </c>
      <c r="U561" t="str">
        <f t="shared" si="35"/>
        <v>Monitor Sales</v>
      </c>
    </row>
    <row r="562" spans="1:21" x14ac:dyDescent="0.25">
      <c r="A562">
        <v>561</v>
      </c>
      <c r="B562" t="s">
        <v>69</v>
      </c>
      <c r="C562" t="s">
        <v>117</v>
      </c>
      <c r="D562" t="s">
        <v>124</v>
      </c>
      <c r="E562">
        <v>414</v>
      </c>
      <c r="F562">
        <v>351</v>
      </c>
      <c r="G562">
        <v>302</v>
      </c>
      <c r="H562">
        <v>4670.74</v>
      </c>
      <c r="I562">
        <v>3006.51</v>
      </c>
      <c r="J562">
        <v>101</v>
      </c>
      <c r="K562">
        <v>3</v>
      </c>
      <c r="L562" t="s">
        <v>148</v>
      </c>
      <c r="M562">
        <v>73</v>
      </c>
      <c r="N562">
        <v>5</v>
      </c>
      <c r="O562">
        <v>23</v>
      </c>
      <c r="P562" t="s">
        <v>216</v>
      </c>
      <c r="Q562" t="s">
        <v>219</v>
      </c>
      <c r="R562">
        <f t="shared" si="36"/>
        <v>49</v>
      </c>
      <c r="S562">
        <f t="shared" si="33"/>
        <v>0.84782608695652173</v>
      </c>
      <c r="T562" t="str">
        <f t="shared" si="34"/>
        <v>Medium Risk</v>
      </c>
      <c r="U562" t="str">
        <f t="shared" si="35"/>
        <v>Monitor Sales</v>
      </c>
    </row>
    <row r="563" spans="1:21" x14ac:dyDescent="0.25">
      <c r="A563">
        <v>562</v>
      </c>
      <c r="B563" t="s">
        <v>90</v>
      </c>
      <c r="C563" t="s">
        <v>118</v>
      </c>
      <c r="D563" t="s">
        <v>123</v>
      </c>
      <c r="E563">
        <v>293</v>
      </c>
      <c r="F563">
        <v>248</v>
      </c>
      <c r="G563">
        <v>255</v>
      </c>
      <c r="H563">
        <v>971.15</v>
      </c>
      <c r="I563">
        <v>760.82</v>
      </c>
      <c r="J563">
        <v>83</v>
      </c>
      <c r="K563">
        <v>3</v>
      </c>
      <c r="L563" t="s">
        <v>133</v>
      </c>
      <c r="M563">
        <v>278</v>
      </c>
      <c r="N563">
        <v>4</v>
      </c>
      <c r="O563">
        <v>47</v>
      </c>
      <c r="P563" t="s">
        <v>215</v>
      </c>
      <c r="Q563" t="s">
        <v>218</v>
      </c>
      <c r="R563">
        <f t="shared" si="36"/>
        <v>-7</v>
      </c>
      <c r="S563">
        <f t="shared" si="33"/>
        <v>0.84641638225255977</v>
      </c>
      <c r="T563" t="str">
        <f t="shared" si="34"/>
        <v>Medium Risk</v>
      </c>
      <c r="U563" t="str">
        <f t="shared" si="35"/>
        <v>Monitor Sales</v>
      </c>
    </row>
    <row r="564" spans="1:21" x14ac:dyDescent="0.25">
      <c r="A564">
        <v>563</v>
      </c>
      <c r="B564" t="s">
        <v>114</v>
      </c>
      <c r="C564" t="s">
        <v>116</v>
      </c>
      <c r="D564" t="s">
        <v>122</v>
      </c>
      <c r="E564">
        <v>47</v>
      </c>
      <c r="F564">
        <v>240</v>
      </c>
      <c r="G564">
        <v>278</v>
      </c>
      <c r="H564">
        <v>1551.58</v>
      </c>
      <c r="I564">
        <v>959.49</v>
      </c>
      <c r="J564">
        <v>60</v>
      </c>
      <c r="K564">
        <v>2</v>
      </c>
      <c r="L564" t="s">
        <v>166</v>
      </c>
      <c r="M564">
        <v>313</v>
      </c>
      <c r="N564">
        <v>3</v>
      </c>
      <c r="O564">
        <v>12</v>
      </c>
      <c r="P564" t="s">
        <v>215</v>
      </c>
      <c r="Q564" t="s">
        <v>219</v>
      </c>
      <c r="R564">
        <f t="shared" si="36"/>
        <v>-38</v>
      </c>
      <c r="S564">
        <f t="shared" si="33"/>
        <v>5.1063829787234045</v>
      </c>
      <c r="T564" t="str">
        <f t="shared" si="34"/>
        <v>Low Risk</v>
      </c>
      <c r="U564" t="str">
        <f t="shared" si="35"/>
        <v>Maintain Stock</v>
      </c>
    </row>
    <row r="565" spans="1:21" x14ac:dyDescent="0.25">
      <c r="A565">
        <v>564</v>
      </c>
      <c r="B565" t="s">
        <v>105</v>
      </c>
      <c r="C565" t="s">
        <v>118</v>
      </c>
      <c r="D565" t="s">
        <v>124</v>
      </c>
      <c r="E565">
        <v>425</v>
      </c>
      <c r="F565">
        <v>148</v>
      </c>
      <c r="G565">
        <v>115</v>
      </c>
      <c r="H565">
        <v>3109.64</v>
      </c>
      <c r="I565">
        <v>1874.97</v>
      </c>
      <c r="J565">
        <v>79</v>
      </c>
      <c r="K565">
        <v>13</v>
      </c>
      <c r="L565" t="s">
        <v>130</v>
      </c>
      <c r="M565">
        <v>253</v>
      </c>
      <c r="N565">
        <v>2</v>
      </c>
      <c r="O565">
        <v>44</v>
      </c>
      <c r="P565" t="s">
        <v>215</v>
      </c>
      <c r="Q565" t="s">
        <v>217</v>
      </c>
      <c r="R565">
        <f t="shared" si="36"/>
        <v>33</v>
      </c>
      <c r="S565">
        <f t="shared" si="33"/>
        <v>0.34823529411764703</v>
      </c>
      <c r="T565" t="str">
        <f t="shared" si="34"/>
        <v>High Risk</v>
      </c>
      <c r="U565" t="str">
        <f t="shared" si="35"/>
        <v>Apply Discount / Promotion</v>
      </c>
    </row>
    <row r="566" spans="1:21" x14ac:dyDescent="0.25">
      <c r="A566">
        <v>565</v>
      </c>
      <c r="B566" t="s">
        <v>96</v>
      </c>
      <c r="C566" t="s">
        <v>120</v>
      </c>
      <c r="D566" t="s">
        <v>123</v>
      </c>
      <c r="E566">
        <v>282</v>
      </c>
      <c r="F566">
        <v>44</v>
      </c>
      <c r="G566">
        <v>79</v>
      </c>
      <c r="H566">
        <v>3463.35</v>
      </c>
      <c r="I566">
        <v>2689.02</v>
      </c>
      <c r="J566">
        <v>134</v>
      </c>
      <c r="K566">
        <v>1</v>
      </c>
      <c r="L566" t="s">
        <v>192</v>
      </c>
      <c r="M566">
        <v>218</v>
      </c>
      <c r="N566">
        <v>3</v>
      </c>
      <c r="O566">
        <v>38</v>
      </c>
      <c r="P566" t="s">
        <v>215</v>
      </c>
      <c r="Q566" t="s">
        <v>217</v>
      </c>
      <c r="R566">
        <f t="shared" si="36"/>
        <v>-35</v>
      </c>
      <c r="S566">
        <f t="shared" si="33"/>
        <v>0.15602836879432624</v>
      </c>
      <c r="T566" t="str">
        <f t="shared" si="34"/>
        <v>High Risk</v>
      </c>
      <c r="U566" t="str">
        <f t="shared" si="35"/>
        <v>Apply Discount / Promotion</v>
      </c>
    </row>
    <row r="567" spans="1:21" x14ac:dyDescent="0.25">
      <c r="A567">
        <v>566</v>
      </c>
      <c r="B567" t="s">
        <v>89</v>
      </c>
      <c r="C567" t="s">
        <v>120</v>
      </c>
      <c r="D567" t="s">
        <v>124</v>
      </c>
      <c r="E567">
        <v>299</v>
      </c>
      <c r="F567">
        <v>384</v>
      </c>
      <c r="G567">
        <v>343</v>
      </c>
      <c r="H567">
        <v>1819.95</v>
      </c>
      <c r="I567">
        <v>1122.98</v>
      </c>
      <c r="J567">
        <v>124</v>
      </c>
      <c r="K567">
        <v>10</v>
      </c>
      <c r="L567" t="s">
        <v>140</v>
      </c>
      <c r="M567">
        <v>108</v>
      </c>
      <c r="N567">
        <v>1</v>
      </c>
      <c r="O567">
        <v>3</v>
      </c>
      <c r="P567" t="s">
        <v>216</v>
      </c>
      <c r="Q567" t="s">
        <v>219</v>
      </c>
      <c r="R567">
        <f t="shared" si="36"/>
        <v>41</v>
      </c>
      <c r="S567">
        <f t="shared" si="33"/>
        <v>1.2842809364548495</v>
      </c>
      <c r="T567" t="str">
        <f t="shared" si="34"/>
        <v>Low Risk</v>
      </c>
      <c r="U567" t="str">
        <f t="shared" si="35"/>
        <v>Maintain Stock</v>
      </c>
    </row>
    <row r="568" spans="1:21" x14ac:dyDescent="0.25">
      <c r="A568">
        <v>567</v>
      </c>
      <c r="B568" t="s">
        <v>83</v>
      </c>
      <c r="C568" t="s">
        <v>117</v>
      </c>
      <c r="D568" t="s">
        <v>122</v>
      </c>
      <c r="E568">
        <v>95</v>
      </c>
      <c r="F568">
        <v>230</v>
      </c>
      <c r="G568">
        <v>180</v>
      </c>
      <c r="H568">
        <v>3310.11</v>
      </c>
      <c r="I568">
        <v>2019.23</v>
      </c>
      <c r="J568">
        <v>33</v>
      </c>
      <c r="K568">
        <v>4</v>
      </c>
      <c r="L568" t="s">
        <v>210</v>
      </c>
      <c r="M568">
        <v>109</v>
      </c>
      <c r="N568">
        <v>1</v>
      </c>
      <c r="O568">
        <v>44</v>
      </c>
      <c r="P568" t="s">
        <v>216</v>
      </c>
      <c r="Q568" t="s">
        <v>218</v>
      </c>
      <c r="R568">
        <f t="shared" si="36"/>
        <v>50</v>
      </c>
      <c r="S568">
        <f t="shared" si="33"/>
        <v>2.4210526315789473</v>
      </c>
      <c r="T568" t="str">
        <f t="shared" si="34"/>
        <v>Low Risk</v>
      </c>
      <c r="U568" t="str">
        <f t="shared" si="35"/>
        <v>Maintain Stock</v>
      </c>
    </row>
    <row r="569" spans="1:21" x14ac:dyDescent="0.25">
      <c r="A569">
        <v>568</v>
      </c>
      <c r="B569" t="s">
        <v>50</v>
      </c>
      <c r="C569" t="s">
        <v>117</v>
      </c>
      <c r="D569" t="s">
        <v>124</v>
      </c>
      <c r="E569">
        <v>470</v>
      </c>
      <c r="F569">
        <v>196</v>
      </c>
      <c r="G569">
        <v>156</v>
      </c>
      <c r="H569">
        <v>2772.04</v>
      </c>
      <c r="I569">
        <v>2085.09</v>
      </c>
      <c r="J569">
        <v>35</v>
      </c>
      <c r="K569">
        <v>6</v>
      </c>
      <c r="L569" t="s">
        <v>162</v>
      </c>
      <c r="M569">
        <v>222</v>
      </c>
      <c r="N569">
        <v>1</v>
      </c>
      <c r="O569">
        <v>41</v>
      </c>
      <c r="P569" t="s">
        <v>215</v>
      </c>
      <c r="Q569" t="s">
        <v>218</v>
      </c>
      <c r="R569">
        <f t="shared" si="36"/>
        <v>40</v>
      </c>
      <c r="S569">
        <f t="shared" si="33"/>
        <v>0.41702127659574467</v>
      </c>
      <c r="T569" t="str">
        <f t="shared" si="34"/>
        <v>High Risk</v>
      </c>
      <c r="U569" t="str">
        <f t="shared" si="35"/>
        <v>Apply Discount / Promotion</v>
      </c>
    </row>
    <row r="570" spans="1:21" x14ac:dyDescent="0.25">
      <c r="A570">
        <v>569</v>
      </c>
      <c r="B570" t="s">
        <v>53</v>
      </c>
      <c r="C570" t="s">
        <v>118</v>
      </c>
      <c r="D570" t="s">
        <v>123</v>
      </c>
      <c r="E570">
        <v>197</v>
      </c>
      <c r="F570">
        <v>393</v>
      </c>
      <c r="G570">
        <v>377</v>
      </c>
      <c r="H570">
        <v>1032.5899999999999</v>
      </c>
      <c r="I570">
        <v>618.22</v>
      </c>
      <c r="J570">
        <v>100</v>
      </c>
      <c r="K570">
        <v>9</v>
      </c>
      <c r="L570" t="s">
        <v>182</v>
      </c>
      <c r="M570">
        <v>224</v>
      </c>
      <c r="N570">
        <v>5</v>
      </c>
      <c r="O570">
        <v>21</v>
      </c>
      <c r="P570" t="s">
        <v>215</v>
      </c>
      <c r="Q570" t="s">
        <v>219</v>
      </c>
      <c r="R570">
        <f t="shared" si="36"/>
        <v>16</v>
      </c>
      <c r="S570">
        <f t="shared" si="33"/>
        <v>1.9949238578680204</v>
      </c>
      <c r="T570" t="str">
        <f t="shared" si="34"/>
        <v>Low Risk</v>
      </c>
      <c r="U570" t="str">
        <f t="shared" si="35"/>
        <v>Maintain Stock</v>
      </c>
    </row>
    <row r="571" spans="1:21" x14ac:dyDescent="0.25">
      <c r="A571">
        <v>570</v>
      </c>
      <c r="B571" t="s">
        <v>95</v>
      </c>
      <c r="C571" t="s">
        <v>116</v>
      </c>
      <c r="D571" t="s">
        <v>124</v>
      </c>
      <c r="E571">
        <v>422</v>
      </c>
      <c r="F571">
        <v>156</v>
      </c>
      <c r="G571">
        <v>201</v>
      </c>
      <c r="H571">
        <v>3714.69</v>
      </c>
      <c r="I571">
        <v>1924.06</v>
      </c>
      <c r="J571">
        <v>121</v>
      </c>
      <c r="K571">
        <v>8</v>
      </c>
      <c r="L571" t="s">
        <v>156</v>
      </c>
      <c r="M571">
        <v>199</v>
      </c>
      <c r="N571">
        <v>3</v>
      </c>
      <c r="O571">
        <v>27</v>
      </c>
      <c r="P571" t="s">
        <v>215</v>
      </c>
      <c r="Q571" t="s">
        <v>217</v>
      </c>
      <c r="R571">
        <f t="shared" si="36"/>
        <v>-45</v>
      </c>
      <c r="S571">
        <f t="shared" si="33"/>
        <v>0.36966824644549762</v>
      </c>
      <c r="T571" t="str">
        <f t="shared" si="34"/>
        <v>High Risk</v>
      </c>
      <c r="U571" t="str">
        <f t="shared" si="35"/>
        <v>Apply Discount / Promotion</v>
      </c>
    </row>
    <row r="572" spans="1:21" x14ac:dyDescent="0.25">
      <c r="A572">
        <v>571</v>
      </c>
      <c r="B572" t="s">
        <v>65</v>
      </c>
      <c r="C572" t="s">
        <v>116</v>
      </c>
      <c r="D572" t="s">
        <v>121</v>
      </c>
      <c r="E572">
        <v>194</v>
      </c>
      <c r="F572">
        <v>232</v>
      </c>
      <c r="G572">
        <v>277</v>
      </c>
      <c r="H572">
        <v>1122.55</v>
      </c>
      <c r="I572">
        <v>701.81</v>
      </c>
      <c r="J572">
        <v>96</v>
      </c>
      <c r="K572">
        <v>11</v>
      </c>
      <c r="L572" t="s">
        <v>162</v>
      </c>
      <c r="M572">
        <v>125</v>
      </c>
      <c r="N572">
        <v>1</v>
      </c>
      <c r="O572">
        <v>38</v>
      </c>
      <c r="P572" t="s">
        <v>215</v>
      </c>
      <c r="Q572" t="s">
        <v>217</v>
      </c>
      <c r="R572">
        <f t="shared" si="36"/>
        <v>-45</v>
      </c>
      <c r="S572">
        <f t="shared" si="33"/>
        <v>1.1958762886597938</v>
      </c>
      <c r="T572" t="str">
        <f t="shared" si="34"/>
        <v>Low Risk</v>
      </c>
      <c r="U572" t="str">
        <f t="shared" si="35"/>
        <v>Maintain Stock</v>
      </c>
    </row>
    <row r="573" spans="1:21" x14ac:dyDescent="0.25">
      <c r="A573">
        <v>572</v>
      </c>
      <c r="B573" t="s">
        <v>84</v>
      </c>
      <c r="C573" t="s">
        <v>117</v>
      </c>
      <c r="D573" t="s">
        <v>124</v>
      </c>
      <c r="E573">
        <v>262</v>
      </c>
      <c r="F573">
        <v>351</v>
      </c>
      <c r="G573">
        <v>392</v>
      </c>
      <c r="H573">
        <v>3722.84</v>
      </c>
      <c r="I573">
        <v>2092.08</v>
      </c>
      <c r="J573">
        <v>37</v>
      </c>
      <c r="K573">
        <v>9</v>
      </c>
      <c r="L573" t="s">
        <v>191</v>
      </c>
      <c r="M573">
        <v>325</v>
      </c>
      <c r="N573">
        <v>5</v>
      </c>
      <c r="O573">
        <v>0</v>
      </c>
      <c r="P573" t="s">
        <v>216</v>
      </c>
      <c r="Q573" t="s">
        <v>217</v>
      </c>
      <c r="R573">
        <f t="shared" si="36"/>
        <v>-41</v>
      </c>
      <c r="S573">
        <f t="shared" si="33"/>
        <v>1.3396946564885497</v>
      </c>
      <c r="T573" t="str">
        <f t="shared" si="34"/>
        <v>Low Risk</v>
      </c>
      <c r="U573" t="str">
        <f t="shared" si="35"/>
        <v>Maintain Stock</v>
      </c>
    </row>
    <row r="574" spans="1:21" x14ac:dyDescent="0.25">
      <c r="A574">
        <v>573</v>
      </c>
      <c r="B574" t="s">
        <v>111</v>
      </c>
      <c r="C574" t="s">
        <v>116</v>
      </c>
      <c r="D574" t="s">
        <v>122</v>
      </c>
      <c r="E574">
        <v>403</v>
      </c>
      <c r="F574">
        <v>108</v>
      </c>
      <c r="G574">
        <v>77</v>
      </c>
      <c r="H574">
        <v>1010.97</v>
      </c>
      <c r="I574">
        <v>788.31</v>
      </c>
      <c r="J574">
        <v>65</v>
      </c>
      <c r="K574">
        <v>14</v>
      </c>
      <c r="L574" t="s">
        <v>144</v>
      </c>
      <c r="M574">
        <v>77</v>
      </c>
      <c r="N574">
        <v>1</v>
      </c>
      <c r="O574">
        <v>18</v>
      </c>
      <c r="P574" t="s">
        <v>215</v>
      </c>
      <c r="Q574" t="s">
        <v>219</v>
      </c>
      <c r="R574">
        <f t="shared" si="36"/>
        <v>31</v>
      </c>
      <c r="S574">
        <f t="shared" si="33"/>
        <v>0.26799007444168732</v>
      </c>
      <c r="T574" t="str">
        <f t="shared" si="34"/>
        <v>High Risk</v>
      </c>
      <c r="U574" t="str">
        <f t="shared" si="35"/>
        <v>Apply Discount / Promotion</v>
      </c>
    </row>
    <row r="575" spans="1:21" x14ac:dyDescent="0.25">
      <c r="A575">
        <v>574</v>
      </c>
      <c r="B575" t="s">
        <v>47</v>
      </c>
      <c r="C575" t="s">
        <v>117</v>
      </c>
      <c r="D575" t="s">
        <v>122</v>
      </c>
      <c r="E575">
        <v>93</v>
      </c>
      <c r="F575">
        <v>195</v>
      </c>
      <c r="G575">
        <v>208</v>
      </c>
      <c r="H575">
        <v>1755.17</v>
      </c>
      <c r="I575">
        <v>1091.78</v>
      </c>
      <c r="J575">
        <v>79</v>
      </c>
      <c r="K575">
        <v>13</v>
      </c>
      <c r="L575" t="s">
        <v>151</v>
      </c>
      <c r="M575">
        <v>272</v>
      </c>
      <c r="N575">
        <v>1</v>
      </c>
      <c r="O575">
        <v>38</v>
      </c>
      <c r="P575" t="s">
        <v>216</v>
      </c>
      <c r="Q575" t="s">
        <v>218</v>
      </c>
      <c r="R575">
        <f t="shared" si="36"/>
        <v>-13</v>
      </c>
      <c r="S575">
        <f t="shared" si="33"/>
        <v>2.096774193548387</v>
      </c>
      <c r="T575" t="str">
        <f t="shared" si="34"/>
        <v>Low Risk</v>
      </c>
      <c r="U575" t="str">
        <f t="shared" si="35"/>
        <v>Maintain Stock</v>
      </c>
    </row>
    <row r="576" spans="1:21" x14ac:dyDescent="0.25">
      <c r="A576">
        <v>575</v>
      </c>
      <c r="B576" t="s">
        <v>18</v>
      </c>
      <c r="C576" t="s">
        <v>120</v>
      </c>
      <c r="D576" t="s">
        <v>121</v>
      </c>
      <c r="E576">
        <v>472</v>
      </c>
      <c r="F576">
        <v>304</v>
      </c>
      <c r="G576">
        <v>294</v>
      </c>
      <c r="H576">
        <v>4472.9799999999996</v>
      </c>
      <c r="I576">
        <v>3152.52</v>
      </c>
      <c r="J576">
        <v>140</v>
      </c>
      <c r="K576">
        <v>8</v>
      </c>
      <c r="L576" t="s">
        <v>127</v>
      </c>
      <c r="M576">
        <v>39</v>
      </c>
      <c r="N576">
        <v>2</v>
      </c>
      <c r="O576">
        <v>27</v>
      </c>
      <c r="P576" t="s">
        <v>216</v>
      </c>
      <c r="Q576" t="s">
        <v>219</v>
      </c>
      <c r="R576">
        <f t="shared" si="36"/>
        <v>10</v>
      </c>
      <c r="S576">
        <f t="shared" si="33"/>
        <v>0.64406779661016944</v>
      </c>
      <c r="T576" t="str">
        <f t="shared" si="34"/>
        <v>Medium Risk</v>
      </c>
      <c r="U576" t="str">
        <f t="shared" si="35"/>
        <v>Monitor Sales</v>
      </c>
    </row>
    <row r="577" spans="1:21" x14ac:dyDescent="0.25">
      <c r="A577">
        <v>576</v>
      </c>
      <c r="B577" t="s">
        <v>74</v>
      </c>
      <c r="C577" t="s">
        <v>120</v>
      </c>
      <c r="D577" t="s">
        <v>124</v>
      </c>
      <c r="E577">
        <v>493</v>
      </c>
      <c r="F577">
        <v>290</v>
      </c>
      <c r="G577">
        <v>324</v>
      </c>
      <c r="H577">
        <v>1128.3</v>
      </c>
      <c r="I577">
        <v>781.7</v>
      </c>
      <c r="J577">
        <v>149</v>
      </c>
      <c r="K577">
        <v>7</v>
      </c>
      <c r="L577" t="s">
        <v>193</v>
      </c>
      <c r="M577">
        <v>85</v>
      </c>
      <c r="N577">
        <v>4</v>
      </c>
      <c r="O577">
        <v>49</v>
      </c>
      <c r="P577" t="s">
        <v>216</v>
      </c>
      <c r="Q577" t="s">
        <v>217</v>
      </c>
      <c r="R577">
        <f t="shared" si="36"/>
        <v>-34</v>
      </c>
      <c r="S577">
        <f t="shared" si="33"/>
        <v>0.58823529411764708</v>
      </c>
      <c r="T577" t="str">
        <f t="shared" si="34"/>
        <v>Medium Risk</v>
      </c>
      <c r="U577" t="str">
        <f t="shared" si="35"/>
        <v>Monitor Sales</v>
      </c>
    </row>
    <row r="578" spans="1:21" x14ac:dyDescent="0.25">
      <c r="A578">
        <v>577</v>
      </c>
      <c r="B578" t="s">
        <v>54</v>
      </c>
      <c r="C578" t="s">
        <v>120</v>
      </c>
      <c r="D578" t="s">
        <v>122</v>
      </c>
      <c r="E578">
        <v>386</v>
      </c>
      <c r="F578">
        <v>232</v>
      </c>
      <c r="G578">
        <v>184</v>
      </c>
      <c r="H578">
        <v>985.11</v>
      </c>
      <c r="I578">
        <v>521.66999999999996</v>
      </c>
      <c r="J578">
        <v>95</v>
      </c>
      <c r="K578">
        <v>10</v>
      </c>
      <c r="L578" t="s">
        <v>173</v>
      </c>
      <c r="M578">
        <v>294</v>
      </c>
      <c r="N578">
        <v>4</v>
      </c>
      <c r="O578">
        <v>21</v>
      </c>
      <c r="P578" t="s">
        <v>216</v>
      </c>
      <c r="Q578" t="s">
        <v>218</v>
      </c>
      <c r="R578">
        <f t="shared" si="36"/>
        <v>48</v>
      </c>
      <c r="S578">
        <f t="shared" ref="S578:S641" si="37">F578/E578</f>
        <v>0.60103626943005184</v>
      </c>
      <c r="T578" t="str">
        <f t="shared" si="34"/>
        <v>Medium Risk</v>
      </c>
      <c r="U578" t="str">
        <f t="shared" si="35"/>
        <v>Monitor Sales</v>
      </c>
    </row>
    <row r="579" spans="1:21" x14ac:dyDescent="0.25">
      <c r="A579">
        <v>578</v>
      </c>
      <c r="B579" t="s">
        <v>59</v>
      </c>
      <c r="C579" t="s">
        <v>118</v>
      </c>
      <c r="D579" t="s">
        <v>123</v>
      </c>
      <c r="E579">
        <v>371</v>
      </c>
      <c r="F579">
        <v>403</v>
      </c>
      <c r="G579">
        <v>384</v>
      </c>
      <c r="H579">
        <v>2377.56</v>
      </c>
      <c r="I579">
        <v>1444.42</v>
      </c>
      <c r="J579">
        <v>65</v>
      </c>
      <c r="K579">
        <v>11</v>
      </c>
      <c r="L579" t="s">
        <v>147</v>
      </c>
      <c r="M579">
        <v>305</v>
      </c>
      <c r="N579">
        <v>5</v>
      </c>
      <c r="O579">
        <v>9</v>
      </c>
      <c r="P579" t="s">
        <v>216</v>
      </c>
      <c r="Q579" t="s">
        <v>219</v>
      </c>
      <c r="R579">
        <f t="shared" si="36"/>
        <v>19</v>
      </c>
      <c r="S579">
        <f t="shared" si="37"/>
        <v>1.0862533692722371</v>
      </c>
      <c r="T579" t="str">
        <f t="shared" ref="T579:T642" si="38">IF(S579&lt;0.5,"High Risk",IF(S579&lt;1,"Medium Risk","Low Risk"))</f>
        <v>Low Risk</v>
      </c>
      <c r="U579" t="str">
        <f t="shared" ref="U579:U642" si="39">IF(T579="High Risk","Apply Discount / Promotion",
IF(T579="Medium Risk","Monitor Sales",
"Maintain Stock"))</f>
        <v>Maintain Stock</v>
      </c>
    </row>
    <row r="580" spans="1:21" x14ac:dyDescent="0.25">
      <c r="A580">
        <v>579</v>
      </c>
      <c r="B580" t="s">
        <v>63</v>
      </c>
      <c r="C580" t="s">
        <v>117</v>
      </c>
      <c r="D580" t="s">
        <v>124</v>
      </c>
      <c r="E580">
        <v>229</v>
      </c>
      <c r="F580">
        <v>114</v>
      </c>
      <c r="G580">
        <v>116</v>
      </c>
      <c r="H580">
        <v>1620.14</v>
      </c>
      <c r="I580">
        <v>1171.3599999999999</v>
      </c>
      <c r="J580">
        <v>61</v>
      </c>
      <c r="K580">
        <v>4</v>
      </c>
      <c r="L580" t="s">
        <v>152</v>
      </c>
      <c r="M580">
        <v>310</v>
      </c>
      <c r="N580">
        <v>5</v>
      </c>
      <c r="O580">
        <v>7</v>
      </c>
      <c r="P580" t="s">
        <v>215</v>
      </c>
      <c r="Q580" t="s">
        <v>218</v>
      </c>
      <c r="R580">
        <f t="shared" si="36"/>
        <v>-2</v>
      </c>
      <c r="S580">
        <f t="shared" si="37"/>
        <v>0.49781659388646288</v>
      </c>
      <c r="T580" t="str">
        <f t="shared" si="38"/>
        <v>High Risk</v>
      </c>
      <c r="U580" t="str">
        <f t="shared" si="39"/>
        <v>Apply Discount / Promotion</v>
      </c>
    </row>
    <row r="581" spans="1:21" x14ac:dyDescent="0.25">
      <c r="A581">
        <v>580</v>
      </c>
      <c r="B581" t="s">
        <v>88</v>
      </c>
      <c r="C581" t="s">
        <v>116</v>
      </c>
      <c r="D581" t="s">
        <v>124</v>
      </c>
      <c r="E581">
        <v>137</v>
      </c>
      <c r="F581">
        <v>251</v>
      </c>
      <c r="G581">
        <v>219</v>
      </c>
      <c r="H581">
        <v>2607.44</v>
      </c>
      <c r="I581">
        <v>2054.2800000000002</v>
      </c>
      <c r="J581">
        <v>82</v>
      </c>
      <c r="K581">
        <v>13</v>
      </c>
      <c r="L581" t="s">
        <v>165</v>
      </c>
      <c r="M581">
        <v>365</v>
      </c>
      <c r="N581">
        <v>2</v>
      </c>
      <c r="O581">
        <v>4</v>
      </c>
      <c r="P581" t="s">
        <v>215</v>
      </c>
      <c r="Q581" t="s">
        <v>219</v>
      </c>
      <c r="R581">
        <f t="shared" si="36"/>
        <v>32</v>
      </c>
      <c r="S581">
        <f t="shared" si="37"/>
        <v>1.832116788321168</v>
      </c>
      <c r="T581" t="str">
        <f t="shared" si="38"/>
        <v>Low Risk</v>
      </c>
      <c r="U581" t="str">
        <f t="shared" si="39"/>
        <v>Maintain Stock</v>
      </c>
    </row>
    <row r="582" spans="1:21" x14ac:dyDescent="0.25">
      <c r="A582">
        <v>581</v>
      </c>
      <c r="B582" t="s">
        <v>36</v>
      </c>
      <c r="C582" t="s">
        <v>120</v>
      </c>
      <c r="D582" t="s">
        <v>123</v>
      </c>
      <c r="E582">
        <v>335</v>
      </c>
      <c r="F582">
        <v>92</v>
      </c>
      <c r="G582">
        <v>134</v>
      </c>
      <c r="H582">
        <v>3041.64</v>
      </c>
      <c r="I582">
        <v>2379.15</v>
      </c>
      <c r="J582">
        <v>32</v>
      </c>
      <c r="K582">
        <v>7</v>
      </c>
      <c r="L582" t="s">
        <v>127</v>
      </c>
      <c r="M582">
        <v>67</v>
      </c>
      <c r="N582">
        <v>1</v>
      </c>
      <c r="O582">
        <v>18</v>
      </c>
      <c r="P582" t="s">
        <v>216</v>
      </c>
      <c r="Q582" t="s">
        <v>217</v>
      </c>
      <c r="R582">
        <f t="shared" si="36"/>
        <v>-42</v>
      </c>
      <c r="S582">
        <f t="shared" si="37"/>
        <v>0.2746268656716418</v>
      </c>
      <c r="T582" t="str">
        <f t="shared" si="38"/>
        <v>High Risk</v>
      </c>
      <c r="U582" t="str">
        <f t="shared" si="39"/>
        <v>Apply Discount / Promotion</v>
      </c>
    </row>
    <row r="583" spans="1:21" x14ac:dyDescent="0.25">
      <c r="A583">
        <v>582</v>
      </c>
      <c r="B583" t="s">
        <v>63</v>
      </c>
      <c r="C583" t="s">
        <v>116</v>
      </c>
      <c r="D583" t="s">
        <v>123</v>
      </c>
      <c r="E583">
        <v>273</v>
      </c>
      <c r="F583">
        <v>64</v>
      </c>
      <c r="G583">
        <v>19</v>
      </c>
      <c r="H583">
        <v>1539.48</v>
      </c>
      <c r="I583">
        <v>795.39</v>
      </c>
      <c r="J583">
        <v>81</v>
      </c>
      <c r="K583">
        <v>4</v>
      </c>
      <c r="L583" t="s">
        <v>208</v>
      </c>
      <c r="M583">
        <v>218</v>
      </c>
      <c r="N583">
        <v>1</v>
      </c>
      <c r="O583">
        <v>36</v>
      </c>
      <c r="P583" t="s">
        <v>215</v>
      </c>
      <c r="Q583" t="s">
        <v>219</v>
      </c>
      <c r="R583">
        <f t="shared" si="36"/>
        <v>45</v>
      </c>
      <c r="S583">
        <f t="shared" si="37"/>
        <v>0.23443223443223443</v>
      </c>
      <c r="T583" t="str">
        <f t="shared" si="38"/>
        <v>High Risk</v>
      </c>
      <c r="U583" t="str">
        <f t="shared" si="39"/>
        <v>Apply Discount / Promotion</v>
      </c>
    </row>
    <row r="584" spans="1:21" x14ac:dyDescent="0.25">
      <c r="A584">
        <v>583</v>
      </c>
      <c r="B584" t="s">
        <v>101</v>
      </c>
      <c r="C584" t="s">
        <v>117</v>
      </c>
      <c r="D584" t="s">
        <v>123</v>
      </c>
      <c r="E584">
        <v>249</v>
      </c>
      <c r="F584">
        <v>427</v>
      </c>
      <c r="G584">
        <v>395</v>
      </c>
      <c r="H584">
        <v>1049.55</v>
      </c>
      <c r="I584">
        <v>709.67</v>
      </c>
      <c r="J584">
        <v>68</v>
      </c>
      <c r="K584">
        <v>9</v>
      </c>
      <c r="L584" t="s">
        <v>174</v>
      </c>
      <c r="M584">
        <v>80</v>
      </c>
      <c r="N584">
        <v>2</v>
      </c>
      <c r="O584">
        <v>22</v>
      </c>
      <c r="P584" t="s">
        <v>216</v>
      </c>
      <c r="Q584" t="s">
        <v>219</v>
      </c>
      <c r="R584">
        <f t="shared" si="36"/>
        <v>32</v>
      </c>
      <c r="S584">
        <f t="shared" si="37"/>
        <v>1.714859437751004</v>
      </c>
      <c r="T584" t="str">
        <f t="shared" si="38"/>
        <v>Low Risk</v>
      </c>
      <c r="U584" t="str">
        <f t="shared" si="39"/>
        <v>Maintain Stock</v>
      </c>
    </row>
    <row r="585" spans="1:21" x14ac:dyDescent="0.25">
      <c r="A585">
        <v>584</v>
      </c>
      <c r="B585" t="s">
        <v>79</v>
      </c>
      <c r="C585" t="s">
        <v>118</v>
      </c>
      <c r="D585" t="s">
        <v>123</v>
      </c>
      <c r="E585">
        <v>68</v>
      </c>
      <c r="F585">
        <v>304</v>
      </c>
      <c r="G585">
        <v>275</v>
      </c>
      <c r="H585">
        <v>1633.89</v>
      </c>
      <c r="I585">
        <v>877.51</v>
      </c>
      <c r="J585">
        <v>132</v>
      </c>
      <c r="K585">
        <v>13</v>
      </c>
      <c r="L585" t="s">
        <v>204</v>
      </c>
      <c r="M585">
        <v>285</v>
      </c>
      <c r="N585">
        <v>3</v>
      </c>
      <c r="O585">
        <v>45</v>
      </c>
      <c r="P585" t="s">
        <v>216</v>
      </c>
      <c r="Q585" t="s">
        <v>219</v>
      </c>
      <c r="R585">
        <f t="shared" si="36"/>
        <v>29</v>
      </c>
      <c r="S585">
        <f t="shared" si="37"/>
        <v>4.4705882352941178</v>
      </c>
      <c r="T585" t="str">
        <f t="shared" si="38"/>
        <v>Low Risk</v>
      </c>
      <c r="U585" t="str">
        <f t="shared" si="39"/>
        <v>Maintain Stock</v>
      </c>
    </row>
    <row r="586" spans="1:21" x14ac:dyDescent="0.25">
      <c r="A586">
        <v>585</v>
      </c>
      <c r="B586" t="s">
        <v>59</v>
      </c>
      <c r="C586" t="s">
        <v>116</v>
      </c>
      <c r="D586" t="s">
        <v>123</v>
      </c>
      <c r="E586">
        <v>431</v>
      </c>
      <c r="F586">
        <v>235</v>
      </c>
      <c r="G586">
        <v>218</v>
      </c>
      <c r="H586">
        <v>1596.38</v>
      </c>
      <c r="I586">
        <v>896.44</v>
      </c>
      <c r="J586">
        <v>34</v>
      </c>
      <c r="K586">
        <v>11</v>
      </c>
      <c r="L586" t="s">
        <v>198</v>
      </c>
      <c r="M586">
        <v>335</v>
      </c>
      <c r="N586">
        <v>5</v>
      </c>
      <c r="O586">
        <v>11</v>
      </c>
      <c r="P586" t="s">
        <v>216</v>
      </c>
      <c r="Q586" t="s">
        <v>219</v>
      </c>
      <c r="R586">
        <f t="shared" si="36"/>
        <v>17</v>
      </c>
      <c r="S586">
        <f t="shared" si="37"/>
        <v>0.54524361948955913</v>
      </c>
      <c r="T586" t="str">
        <f t="shared" si="38"/>
        <v>Medium Risk</v>
      </c>
      <c r="U586" t="str">
        <f t="shared" si="39"/>
        <v>Monitor Sales</v>
      </c>
    </row>
    <row r="587" spans="1:21" x14ac:dyDescent="0.25">
      <c r="A587">
        <v>586</v>
      </c>
      <c r="B587" t="s">
        <v>43</v>
      </c>
      <c r="C587" t="s">
        <v>117</v>
      </c>
      <c r="D587" t="s">
        <v>123</v>
      </c>
      <c r="E587">
        <v>196</v>
      </c>
      <c r="F587">
        <v>361</v>
      </c>
      <c r="G587">
        <v>349</v>
      </c>
      <c r="H587">
        <v>705.36</v>
      </c>
      <c r="I587">
        <v>440.61</v>
      </c>
      <c r="J587">
        <v>126</v>
      </c>
      <c r="K587">
        <v>1</v>
      </c>
      <c r="L587" t="s">
        <v>128</v>
      </c>
      <c r="M587">
        <v>343</v>
      </c>
      <c r="N587">
        <v>1</v>
      </c>
      <c r="O587">
        <v>12</v>
      </c>
      <c r="P587" t="s">
        <v>215</v>
      </c>
      <c r="Q587" t="s">
        <v>217</v>
      </c>
      <c r="R587">
        <f t="shared" ref="R587:R650" si="40">F587-G587</f>
        <v>12</v>
      </c>
      <c r="S587">
        <f t="shared" si="37"/>
        <v>1.8418367346938775</v>
      </c>
      <c r="T587" t="str">
        <f t="shared" si="38"/>
        <v>Low Risk</v>
      </c>
      <c r="U587" t="str">
        <f t="shared" si="39"/>
        <v>Maintain Stock</v>
      </c>
    </row>
    <row r="588" spans="1:21" x14ac:dyDescent="0.25">
      <c r="A588">
        <v>587</v>
      </c>
      <c r="B588" t="s">
        <v>34</v>
      </c>
      <c r="C588" t="s">
        <v>117</v>
      </c>
      <c r="D588" t="s">
        <v>123</v>
      </c>
      <c r="E588">
        <v>336</v>
      </c>
      <c r="F588">
        <v>80</v>
      </c>
      <c r="G588">
        <v>68</v>
      </c>
      <c r="H588">
        <v>413.84</v>
      </c>
      <c r="I588">
        <v>315.5</v>
      </c>
      <c r="J588">
        <v>38</v>
      </c>
      <c r="K588">
        <v>14</v>
      </c>
      <c r="L588" t="s">
        <v>185</v>
      </c>
      <c r="M588">
        <v>233</v>
      </c>
      <c r="N588">
        <v>5</v>
      </c>
      <c r="O588">
        <v>31</v>
      </c>
      <c r="P588" t="s">
        <v>216</v>
      </c>
      <c r="Q588" t="s">
        <v>217</v>
      </c>
      <c r="R588">
        <f t="shared" si="40"/>
        <v>12</v>
      </c>
      <c r="S588">
        <f t="shared" si="37"/>
        <v>0.23809523809523808</v>
      </c>
      <c r="T588" t="str">
        <f t="shared" si="38"/>
        <v>High Risk</v>
      </c>
      <c r="U588" t="str">
        <f t="shared" si="39"/>
        <v>Apply Discount / Promotion</v>
      </c>
    </row>
    <row r="589" spans="1:21" x14ac:dyDescent="0.25">
      <c r="A589">
        <v>588</v>
      </c>
      <c r="B589" t="s">
        <v>109</v>
      </c>
      <c r="C589" t="s">
        <v>116</v>
      </c>
      <c r="D589" t="s">
        <v>121</v>
      </c>
      <c r="E589">
        <v>89</v>
      </c>
      <c r="F589">
        <v>204</v>
      </c>
      <c r="G589">
        <v>173</v>
      </c>
      <c r="H589">
        <v>2608.29</v>
      </c>
      <c r="I589">
        <v>2077.6</v>
      </c>
      <c r="J589">
        <v>41</v>
      </c>
      <c r="K589">
        <v>4</v>
      </c>
      <c r="L589" t="s">
        <v>174</v>
      </c>
      <c r="M589">
        <v>68</v>
      </c>
      <c r="N589">
        <v>3</v>
      </c>
      <c r="O589">
        <v>8</v>
      </c>
      <c r="P589" t="s">
        <v>215</v>
      </c>
      <c r="Q589" t="s">
        <v>219</v>
      </c>
      <c r="R589">
        <f t="shared" si="40"/>
        <v>31</v>
      </c>
      <c r="S589">
        <f t="shared" si="37"/>
        <v>2.292134831460674</v>
      </c>
      <c r="T589" t="str">
        <f t="shared" si="38"/>
        <v>Low Risk</v>
      </c>
      <c r="U589" t="str">
        <f t="shared" si="39"/>
        <v>Maintain Stock</v>
      </c>
    </row>
    <row r="590" spans="1:21" x14ac:dyDescent="0.25">
      <c r="A590">
        <v>589</v>
      </c>
      <c r="B590" t="s">
        <v>49</v>
      </c>
      <c r="C590" t="s">
        <v>116</v>
      </c>
      <c r="D590" t="s">
        <v>123</v>
      </c>
      <c r="E590">
        <v>196</v>
      </c>
      <c r="F590">
        <v>101</v>
      </c>
      <c r="G590">
        <v>109</v>
      </c>
      <c r="H590">
        <v>1997.22</v>
      </c>
      <c r="I590">
        <v>1522.67</v>
      </c>
      <c r="J590">
        <v>54</v>
      </c>
      <c r="K590">
        <v>13</v>
      </c>
      <c r="L590" t="s">
        <v>162</v>
      </c>
      <c r="M590">
        <v>241</v>
      </c>
      <c r="N590">
        <v>4</v>
      </c>
      <c r="O590">
        <v>21</v>
      </c>
      <c r="P590" t="s">
        <v>216</v>
      </c>
      <c r="Q590" t="s">
        <v>217</v>
      </c>
      <c r="R590">
        <f t="shared" si="40"/>
        <v>-8</v>
      </c>
      <c r="S590">
        <f t="shared" si="37"/>
        <v>0.51530612244897955</v>
      </c>
      <c r="T590" t="str">
        <f t="shared" si="38"/>
        <v>Medium Risk</v>
      </c>
      <c r="U590" t="str">
        <f t="shared" si="39"/>
        <v>Monitor Sales</v>
      </c>
    </row>
    <row r="591" spans="1:21" x14ac:dyDescent="0.25">
      <c r="A591">
        <v>590</v>
      </c>
      <c r="B591" t="s">
        <v>25</v>
      </c>
      <c r="C591" t="s">
        <v>116</v>
      </c>
      <c r="D591" t="s">
        <v>121</v>
      </c>
      <c r="E591">
        <v>111</v>
      </c>
      <c r="F591">
        <v>220</v>
      </c>
      <c r="G591">
        <v>250</v>
      </c>
      <c r="H591">
        <v>4435.3599999999997</v>
      </c>
      <c r="I591">
        <v>3209.14</v>
      </c>
      <c r="J591">
        <v>127</v>
      </c>
      <c r="K591">
        <v>7</v>
      </c>
      <c r="L591" t="s">
        <v>202</v>
      </c>
      <c r="M591">
        <v>299</v>
      </c>
      <c r="N591">
        <v>1</v>
      </c>
      <c r="O591">
        <v>24</v>
      </c>
      <c r="P591" t="s">
        <v>216</v>
      </c>
      <c r="Q591" t="s">
        <v>219</v>
      </c>
      <c r="R591">
        <f t="shared" si="40"/>
        <v>-30</v>
      </c>
      <c r="S591">
        <f t="shared" si="37"/>
        <v>1.9819819819819819</v>
      </c>
      <c r="T591" t="str">
        <f t="shared" si="38"/>
        <v>Low Risk</v>
      </c>
      <c r="U591" t="str">
        <f t="shared" si="39"/>
        <v>Maintain Stock</v>
      </c>
    </row>
    <row r="592" spans="1:21" x14ac:dyDescent="0.25">
      <c r="A592">
        <v>591</v>
      </c>
      <c r="B592" t="s">
        <v>102</v>
      </c>
      <c r="C592" t="s">
        <v>117</v>
      </c>
      <c r="D592" t="s">
        <v>122</v>
      </c>
      <c r="E592">
        <v>61</v>
      </c>
      <c r="F592">
        <v>386</v>
      </c>
      <c r="G592">
        <v>399</v>
      </c>
      <c r="H592">
        <v>2787.06</v>
      </c>
      <c r="I592">
        <v>1633.81</v>
      </c>
      <c r="J592">
        <v>108</v>
      </c>
      <c r="K592">
        <v>3</v>
      </c>
      <c r="L592" t="s">
        <v>133</v>
      </c>
      <c r="M592">
        <v>247</v>
      </c>
      <c r="N592">
        <v>3</v>
      </c>
      <c r="O592">
        <v>37</v>
      </c>
      <c r="P592" t="s">
        <v>215</v>
      </c>
      <c r="Q592" t="s">
        <v>219</v>
      </c>
      <c r="R592">
        <f t="shared" si="40"/>
        <v>-13</v>
      </c>
      <c r="S592">
        <f t="shared" si="37"/>
        <v>6.3278688524590168</v>
      </c>
      <c r="T592" t="str">
        <f t="shared" si="38"/>
        <v>Low Risk</v>
      </c>
      <c r="U592" t="str">
        <f t="shared" si="39"/>
        <v>Maintain Stock</v>
      </c>
    </row>
    <row r="593" spans="1:21" x14ac:dyDescent="0.25">
      <c r="A593">
        <v>592</v>
      </c>
      <c r="B593" t="s">
        <v>85</v>
      </c>
      <c r="C593" t="s">
        <v>118</v>
      </c>
      <c r="D593" t="s">
        <v>123</v>
      </c>
      <c r="E593">
        <v>235</v>
      </c>
      <c r="F593">
        <v>191</v>
      </c>
      <c r="G593">
        <v>173</v>
      </c>
      <c r="H593">
        <v>1654.56</v>
      </c>
      <c r="I593">
        <v>1297.33</v>
      </c>
      <c r="J593">
        <v>64</v>
      </c>
      <c r="K593">
        <v>1</v>
      </c>
      <c r="L593" t="s">
        <v>152</v>
      </c>
      <c r="M593">
        <v>276</v>
      </c>
      <c r="N593">
        <v>1</v>
      </c>
      <c r="O593">
        <v>22</v>
      </c>
      <c r="P593" t="s">
        <v>215</v>
      </c>
      <c r="Q593" t="s">
        <v>219</v>
      </c>
      <c r="R593">
        <f t="shared" si="40"/>
        <v>18</v>
      </c>
      <c r="S593">
        <f t="shared" si="37"/>
        <v>0.81276595744680846</v>
      </c>
      <c r="T593" t="str">
        <f t="shared" si="38"/>
        <v>Medium Risk</v>
      </c>
      <c r="U593" t="str">
        <f t="shared" si="39"/>
        <v>Monitor Sales</v>
      </c>
    </row>
    <row r="594" spans="1:21" x14ac:dyDescent="0.25">
      <c r="A594">
        <v>593</v>
      </c>
      <c r="B594" t="s">
        <v>88</v>
      </c>
      <c r="C594" t="s">
        <v>120</v>
      </c>
      <c r="D594" t="s">
        <v>123</v>
      </c>
      <c r="E594">
        <v>473</v>
      </c>
      <c r="F594">
        <v>90</v>
      </c>
      <c r="G594">
        <v>100</v>
      </c>
      <c r="H594">
        <v>4742.8500000000004</v>
      </c>
      <c r="I594">
        <v>3337.43</v>
      </c>
      <c r="J594">
        <v>66</v>
      </c>
      <c r="K594">
        <v>10</v>
      </c>
      <c r="L594" t="s">
        <v>178</v>
      </c>
      <c r="M594">
        <v>49</v>
      </c>
      <c r="N594">
        <v>5</v>
      </c>
      <c r="O594">
        <v>45</v>
      </c>
      <c r="P594" t="s">
        <v>215</v>
      </c>
      <c r="Q594" t="s">
        <v>219</v>
      </c>
      <c r="R594">
        <f t="shared" si="40"/>
        <v>-10</v>
      </c>
      <c r="S594">
        <f t="shared" si="37"/>
        <v>0.19027484143763213</v>
      </c>
      <c r="T594" t="str">
        <f t="shared" si="38"/>
        <v>High Risk</v>
      </c>
      <c r="U594" t="str">
        <f t="shared" si="39"/>
        <v>Apply Discount / Promotion</v>
      </c>
    </row>
    <row r="595" spans="1:21" x14ac:dyDescent="0.25">
      <c r="A595">
        <v>594</v>
      </c>
      <c r="B595" t="s">
        <v>66</v>
      </c>
      <c r="C595" t="s">
        <v>117</v>
      </c>
      <c r="D595" t="s">
        <v>123</v>
      </c>
      <c r="E595">
        <v>344</v>
      </c>
      <c r="F595">
        <v>155</v>
      </c>
      <c r="G595">
        <v>192</v>
      </c>
      <c r="H595">
        <v>2972.27</v>
      </c>
      <c r="I595">
        <v>2155.69</v>
      </c>
      <c r="J595">
        <v>109</v>
      </c>
      <c r="K595">
        <v>12</v>
      </c>
      <c r="L595" t="s">
        <v>172</v>
      </c>
      <c r="M595">
        <v>269</v>
      </c>
      <c r="N595">
        <v>5</v>
      </c>
      <c r="O595">
        <v>27</v>
      </c>
      <c r="P595" t="s">
        <v>215</v>
      </c>
      <c r="Q595" t="s">
        <v>217</v>
      </c>
      <c r="R595">
        <f t="shared" si="40"/>
        <v>-37</v>
      </c>
      <c r="S595">
        <f t="shared" si="37"/>
        <v>0.45058139534883723</v>
      </c>
      <c r="T595" t="str">
        <f t="shared" si="38"/>
        <v>High Risk</v>
      </c>
      <c r="U595" t="str">
        <f t="shared" si="39"/>
        <v>Apply Discount / Promotion</v>
      </c>
    </row>
    <row r="596" spans="1:21" x14ac:dyDescent="0.25">
      <c r="A596">
        <v>595</v>
      </c>
      <c r="B596" t="s">
        <v>69</v>
      </c>
      <c r="C596" t="s">
        <v>118</v>
      </c>
      <c r="D596" t="s">
        <v>124</v>
      </c>
      <c r="E596">
        <v>362</v>
      </c>
      <c r="F596">
        <v>316</v>
      </c>
      <c r="G596">
        <v>286</v>
      </c>
      <c r="H596">
        <v>378.61</v>
      </c>
      <c r="I596">
        <v>249.42</v>
      </c>
      <c r="J596">
        <v>51</v>
      </c>
      <c r="K596">
        <v>8</v>
      </c>
      <c r="L596" t="s">
        <v>135</v>
      </c>
      <c r="M596">
        <v>355</v>
      </c>
      <c r="N596">
        <v>3</v>
      </c>
      <c r="O596">
        <v>13</v>
      </c>
      <c r="P596" t="s">
        <v>215</v>
      </c>
      <c r="Q596" t="s">
        <v>219</v>
      </c>
      <c r="R596">
        <f t="shared" si="40"/>
        <v>30</v>
      </c>
      <c r="S596">
        <f t="shared" si="37"/>
        <v>0.8729281767955801</v>
      </c>
      <c r="T596" t="str">
        <f t="shared" si="38"/>
        <v>Medium Risk</v>
      </c>
      <c r="U596" t="str">
        <f t="shared" si="39"/>
        <v>Monitor Sales</v>
      </c>
    </row>
    <row r="597" spans="1:21" x14ac:dyDescent="0.25">
      <c r="A597">
        <v>596</v>
      </c>
      <c r="B597" t="s">
        <v>50</v>
      </c>
      <c r="C597" t="s">
        <v>116</v>
      </c>
      <c r="D597" t="s">
        <v>124</v>
      </c>
      <c r="E597">
        <v>313</v>
      </c>
      <c r="F597">
        <v>248</v>
      </c>
      <c r="G597">
        <v>251</v>
      </c>
      <c r="H597">
        <v>2797.63</v>
      </c>
      <c r="I597">
        <v>2051.65</v>
      </c>
      <c r="J597">
        <v>91</v>
      </c>
      <c r="K597">
        <v>13</v>
      </c>
      <c r="L597" t="s">
        <v>155</v>
      </c>
      <c r="M597">
        <v>347</v>
      </c>
      <c r="N597">
        <v>2</v>
      </c>
      <c r="O597">
        <v>40</v>
      </c>
      <c r="P597" t="s">
        <v>215</v>
      </c>
      <c r="Q597" t="s">
        <v>217</v>
      </c>
      <c r="R597">
        <f t="shared" si="40"/>
        <v>-3</v>
      </c>
      <c r="S597">
        <f t="shared" si="37"/>
        <v>0.792332268370607</v>
      </c>
      <c r="T597" t="str">
        <f t="shared" si="38"/>
        <v>Medium Risk</v>
      </c>
      <c r="U597" t="str">
        <f t="shared" si="39"/>
        <v>Monitor Sales</v>
      </c>
    </row>
    <row r="598" spans="1:21" x14ac:dyDescent="0.25">
      <c r="A598">
        <v>597</v>
      </c>
      <c r="B598" t="s">
        <v>103</v>
      </c>
      <c r="C598" t="s">
        <v>116</v>
      </c>
      <c r="D598" t="s">
        <v>122</v>
      </c>
      <c r="E598">
        <v>102</v>
      </c>
      <c r="F598">
        <v>51</v>
      </c>
      <c r="G598">
        <v>72</v>
      </c>
      <c r="H598">
        <v>4116.71</v>
      </c>
      <c r="I598">
        <v>2655.63</v>
      </c>
      <c r="J598">
        <v>126</v>
      </c>
      <c r="K598">
        <v>8</v>
      </c>
      <c r="L598" t="s">
        <v>157</v>
      </c>
      <c r="M598">
        <v>290</v>
      </c>
      <c r="N598">
        <v>5</v>
      </c>
      <c r="O598">
        <v>19</v>
      </c>
      <c r="P598" t="s">
        <v>216</v>
      </c>
      <c r="Q598" t="s">
        <v>218</v>
      </c>
      <c r="R598">
        <f t="shared" si="40"/>
        <v>-21</v>
      </c>
      <c r="S598">
        <f t="shared" si="37"/>
        <v>0.5</v>
      </c>
      <c r="T598" t="str">
        <f t="shared" si="38"/>
        <v>Medium Risk</v>
      </c>
      <c r="U598" t="str">
        <f t="shared" si="39"/>
        <v>Monitor Sales</v>
      </c>
    </row>
    <row r="599" spans="1:21" x14ac:dyDescent="0.25">
      <c r="A599">
        <v>598</v>
      </c>
      <c r="B599" t="s">
        <v>50</v>
      </c>
      <c r="C599" t="s">
        <v>119</v>
      </c>
      <c r="D599" t="s">
        <v>123</v>
      </c>
      <c r="E599">
        <v>121</v>
      </c>
      <c r="F599">
        <v>279</v>
      </c>
      <c r="G599">
        <v>271</v>
      </c>
      <c r="H599">
        <v>451.46</v>
      </c>
      <c r="I599">
        <v>354.02</v>
      </c>
      <c r="J599">
        <v>99</v>
      </c>
      <c r="K599">
        <v>8</v>
      </c>
      <c r="L599" t="s">
        <v>140</v>
      </c>
      <c r="M599">
        <v>290</v>
      </c>
      <c r="N599">
        <v>1</v>
      </c>
      <c r="O599">
        <v>12</v>
      </c>
      <c r="P599" t="s">
        <v>215</v>
      </c>
      <c r="Q599" t="s">
        <v>218</v>
      </c>
      <c r="R599">
        <f t="shared" si="40"/>
        <v>8</v>
      </c>
      <c r="S599">
        <f t="shared" si="37"/>
        <v>2.3057851239669422</v>
      </c>
      <c r="T599" t="str">
        <f t="shared" si="38"/>
        <v>Low Risk</v>
      </c>
      <c r="U599" t="str">
        <f t="shared" si="39"/>
        <v>Maintain Stock</v>
      </c>
    </row>
    <row r="600" spans="1:21" x14ac:dyDescent="0.25">
      <c r="A600">
        <v>599</v>
      </c>
      <c r="B600" t="s">
        <v>23</v>
      </c>
      <c r="C600" t="s">
        <v>119</v>
      </c>
      <c r="D600" t="s">
        <v>124</v>
      </c>
      <c r="E600">
        <v>126</v>
      </c>
      <c r="F600">
        <v>21</v>
      </c>
      <c r="G600">
        <v>10</v>
      </c>
      <c r="H600">
        <v>4656.6400000000003</v>
      </c>
      <c r="I600">
        <v>2727.55</v>
      </c>
      <c r="J600">
        <v>83</v>
      </c>
      <c r="K600">
        <v>10</v>
      </c>
      <c r="L600" t="s">
        <v>212</v>
      </c>
      <c r="M600">
        <v>205</v>
      </c>
      <c r="N600">
        <v>5</v>
      </c>
      <c r="O600">
        <v>41</v>
      </c>
      <c r="P600" t="s">
        <v>215</v>
      </c>
      <c r="Q600" t="s">
        <v>219</v>
      </c>
      <c r="R600">
        <f t="shared" si="40"/>
        <v>11</v>
      </c>
      <c r="S600">
        <f t="shared" si="37"/>
        <v>0.16666666666666666</v>
      </c>
      <c r="T600" t="str">
        <f t="shared" si="38"/>
        <v>High Risk</v>
      </c>
      <c r="U600" t="str">
        <f t="shared" si="39"/>
        <v>Apply Discount / Promotion</v>
      </c>
    </row>
    <row r="601" spans="1:21" x14ac:dyDescent="0.25">
      <c r="A601">
        <v>600</v>
      </c>
      <c r="B601" t="s">
        <v>18</v>
      </c>
      <c r="C601" t="s">
        <v>118</v>
      </c>
      <c r="D601" t="s">
        <v>123</v>
      </c>
      <c r="E601">
        <v>445</v>
      </c>
      <c r="F601">
        <v>360</v>
      </c>
      <c r="G601">
        <v>352</v>
      </c>
      <c r="H601">
        <v>211.04</v>
      </c>
      <c r="I601">
        <v>160.87</v>
      </c>
      <c r="J601">
        <v>43</v>
      </c>
      <c r="K601">
        <v>9</v>
      </c>
      <c r="L601" t="s">
        <v>158</v>
      </c>
      <c r="M601">
        <v>279</v>
      </c>
      <c r="N601">
        <v>4</v>
      </c>
      <c r="O601">
        <v>18</v>
      </c>
      <c r="P601" t="s">
        <v>215</v>
      </c>
      <c r="Q601" t="s">
        <v>219</v>
      </c>
      <c r="R601">
        <f t="shared" si="40"/>
        <v>8</v>
      </c>
      <c r="S601">
        <f t="shared" si="37"/>
        <v>0.8089887640449438</v>
      </c>
      <c r="T601" t="str">
        <f t="shared" si="38"/>
        <v>Medium Risk</v>
      </c>
      <c r="U601" t="str">
        <f t="shared" si="39"/>
        <v>Monitor Sales</v>
      </c>
    </row>
    <row r="602" spans="1:21" x14ac:dyDescent="0.25">
      <c r="A602">
        <v>601</v>
      </c>
      <c r="B602" t="s">
        <v>115</v>
      </c>
      <c r="C602" t="s">
        <v>119</v>
      </c>
      <c r="D602" t="s">
        <v>124</v>
      </c>
      <c r="E602">
        <v>413</v>
      </c>
      <c r="F602">
        <v>76</v>
      </c>
      <c r="G602">
        <v>82</v>
      </c>
      <c r="H602">
        <v>1967.27</v>
      </c>
      <c r="I602">
        <v>1046.08</v>
      </c>
      <c r="J602">
        <v>76</v>
      </c>
      <c r="K602">
        <v>15</v>
      </c>
      <c r="L602" t="s">
        <v>141</v>
      </c>
      <c r="M602">
        <v>258</v>
      </c>
      <c r="N602">
        <v>5</v>
      </c>
      <c r="O602">
        <v>3</v>
      </c>
      <c r="P602" t="s">
        <v>215</v>
      </c>
      <c r="Q602" t="s">
        <v>219</v>
      </c>
      <c r="R602">
        <f t="shared" si="40"/>
        <v>-6</v>
      </c>
      <c r="S602">
        <f t="shared" si="37"/>
        <v>0.18401937046004843</v>
      </c>
      <c r="T602" t="str">
        <f t="shared" si="38"/>
        <v>High Risk</v>
      </c>
      <c r="U602" t="str">
        <f t="shared" si="39"/>
        <v>Apply Discount / Promotion</v>
      </c>
    </row>
    <row r="603" spans="1:21" x14ac:dyDescent="0.25">
      <c r="A603">
        <v>602</v>
      </c>
      <c r="B603" t="s">
        <v>17</v>
      </c>
      <c r="C603" t="s">
        <v>120</v>
      </c>
      <c r="D603" t="s">
        <v>124</v>
      </c>
      <c r="E603">
        <v>22</v>
      </c>
      <c r="F603">
        <v>385</v>
      </c>
      <c r="G603">
        <v>345</v>
      </c>
      <c r="H603">
        <v>2038.3</v>
      </c>
      <c r="I603">
        <v>1243.44</v>
      </c>
      <c r="J603">
        <v>138</v>
      </c>
      <c r="K603">
        <v>9</v>
      </c>
      <c r="L603" t="s">
        <v>161</v>
      </c>
      <c r="M603">
        <v>67</v>
      </c>
      <c r="N603">
        <v>2</v>
      </c>
      <c r="O603">
        <v>38</v>
      </c>
      <c r="P603" t="s">
        <v>216</v>
      </c>
      <c r="Q603" t="s">
        <v>217</v>
      </c>
      <c r="R603">
        <f t="shared" si="40"/>
        <v>40</v>
      </c>
      <c r="S603">
        <f t="shared" si="37"/>
        <v>17.5</v>
      </c>
      <c r="T603" t="str">
        <f t="shared" si="38"/>
        <v>Low Risk</v>
      </c>
      <c r="U603" t="str">
        <f t="shared" si="39"/>
        <v>Maintain Stock</v>
      </c>
    </row>
    <row r="604" spans="1:21" x14ac:dyDescent="0.25">
      <c r="A604">
        <v>603</v>
      </c>
      <c r="B604" t="s">
        <v>40</v>
      </c>
      <c r="C604" t="s">
        <v>117</v>
      </c>
      <c r="D604" t="s">
        <v>124</v>
      </c>
      <c r="E604">
        <v>102</v>
      </c>
      <c r="F604">
        <v>254</v>
      </c>
      <c r="G604">
        <v>272</v>
      </c>
      <c r="H604">
        <v>171.5</v>
      </c>
      <c r="I604">
        <v>122.52</v>
      </c>
      <c r="J604">
        <v>136</v>
      </c>
      <c r="K604">
        <v>10</v>
      </c>
      <c r="L604" t="s">
        <v>182</v>
      </c>
      <c r="M604">
        <v>139</v>
      </c>
      <c r="N604">
        <v>1</v>
      </c>
      <c r="O604">
        <v>30</v>
      </c>
      <c r="P604" t="s">
        <v>215</v>
      </c>
      <c r="Q604" t="s">
        <v>218</v>
      </c>
      <c r="R604">
        <f t="shared" si="40"/>
        <v>-18</v>
      </c>
      <c r="S604">
        <f t="shared" si="37"/>
        <v>2.4901960784313726</v>
      </c>
      <c r="T604" t="str">
        <f t="shared" si="38"/>
        <v>Low Risk</v>
      </c>
      <c r="U604" t="str">
        <f t="shared" si="39"/>
        <v>Maintain Stock</v>
      </c>
    </row>
    <row r="605" spans="1:21" x14ac:dyDescent="0.25">
      <c r="A605">
        <v>604</v>
      </c>
      <c r="B605" t="s">
        <v>50</v>
      </c>
      <c r="C605" t="s">
        <v>120</v>
      </c>
      <c r="D605" t="s">
        <v>124</v>
      </c>
      <c r="E605">
        <v>73</v>
      </c>
      <c r="F605">
        <v>111</v>
      </c>
      <c r="G605">
        <v>66</v>
      </c>
      <c r="H605">
        <v>402.1</v>
      </c>
      <c r="I605">
        <v>220.1</v>
      </c>
      <c r="J605">
        <v>141</v>
      </c>
      <c r="K605">
        <v>2</v>
      </c>
      <c r="L605" t="s">
        <v>180</v>
      </c>
      <c r="M605">
        <v>303</v>
      </c>
      <c r="N605">
        <v>1</v>
      </c>
      <c r="O605">
        <v>1</v>
      </c>
      <c r="P605" t="s">
        <v>215</v>
      </c>
      <c r="Q605" t="s">
        <v>218</v>
      </c>
      <c r="R605">
        <f t="shared" si="40"/>
        <v>45</v>
      </c>
      <c r="S605">
        <f t="shared" si="37"/>
        <v>1.5205479452054795</v>
      </c>
      <c r="T605" t="str">
        <f t="shared" si="38"/>
        <v>Low Risk</v>
      </c>
      <c r="U605" t="str">
        <f t="shared" si="39"/>
        <v>Maintain Stock</v>
      </c>
    </row>
    <row r="606" spans="1:21" x14ac:dyDescent="0.25">
      <c r="A606">
        <v>605</v>
      </c>
      <c r="B606" t="s">
        <v>44</v>
      </c>
      <c r="C606" t="s">
        <v>120</v>
      </c>
      <c r="D606" t="s">
        <v>124</v>
      </c>
      <c r="E606">
        <v>422</v>
      </c>
      <c r="F606">
        <v>200</v>
      </c>
      <c r="G606">
        <v>207</v>
      </c>
      <c r="H606">
        <v>1623.61</v>
      </c>
      <c r="I606">
        <v>826.13</v>
      </c>
      <c r="J606">
        <v>43</v>
      </c>
      <c r="K606">
        <v>4</v>
      </c>
      <c r="L606" t="s">
        <v>170</v>
      </c>
      <c r="M606">
        <v>204</v>
      </c>
      <c r="N606">
        <v>4</v>
      </c>
      <c r="O606">
        <v>3</v>
      </c>
      <c r="P606" t="s">
        <v>216</v>
      </c>
      <c r="Q606" t="s">
        <v>218</v>
      </c>
      <c r="R606">
        <f t="shared" si="40"/>
        <v>-7</v>
      </c>
      <c r="S606">
        <f t="shared" si="37"/>
        <v>0.47393364928909953</v>
      </c>
      <c r="T606" t="str">
        <f t="shared" si="38"/>
        <v>High Risk</v>
      </c>
      <c r="U606" t="str">
        <f t="shared" si="39"/>
        <v>Apply Discount / Promotion</v>
      </c>
    </row>
    <row r="607" spans="1:21" x14ac:dyDescent="0.25">
      <c r="A607">
        <v>606</v>
      </c>
      <c r="B607" t="s">
        <v>16</v>
      </c>
      <c r="C607" t="s">
        <v>120</v>
      </c>
      <c r="D607" t="s">
        <v>123</v>
      </c>
      <c r="E607">
        <v>254</v>
      </c>
      <c r="F607">
        <v>157</v>
      </c>
      <c r="G607">
        <v>124</v>
      </c>
      <c r="H607">
        <v>4919.74</v>
      </c>
      <c r="I607">
        <v>3584.2</v>
      </c>
      <c r="J607">
        <v>121</v>
      </c>
      <c r="K607">
        <v>15</v>
      </c>
      <c r="L607" t="s">
        <v>144</v>
      </c>
      <c r="M607">
        <v>37</v>
      </c>
      <c r="N607">
        <v>3</v>
      </c>
      <c r="O607">
        <v>3</v>
      </c>
      <c r="P607" t="s">
        <v>216</v>
      </c>
      <c r="Q607" t="s">
        <v>217</v>
      </c>
      <c r="R607">
        <f t="shared" si="40"/>
        <v>33</v>
      </c>
      <c r="S607">
        <f t="shared" si="37"/>
        <v>0.61811023622047245</v>
      </c>
      <c r="T607" t="str">
        <f t="shared" si="38"/>
        <v>Medium Risk</v>
      </c>
      <c r="U607" t="str">
        <f t="shared" si="39"/>
        <v>Monitor Sales</v>
      </c>
    </row>
    <row r="608" spans="1:21" x14ac:dyDescent="0.25">
      <c r="A608">
        <v>607</v>
      </c>
      <c r="B608" t="s">
        <v>22</v>
      </c>
      <c r="C608" t="s">
        <v>120</v>
      </c>
      <c r="D608" t="s">
        <v>121</v>
      </c>
      <c r="E608">
        <v>496</v>
      </c>
      <c r="F608">
        <v>226</v>
      </c>
      <c r="G608">
        <v>272</v>
      </c>
      <c r="H608">
        <v>3619.03</v>
      </c>
      <c r="I608">
        <v>2487.92</v>
      </c>
      <c r="J608">
        <v>57</v>
      </c>
      <c r="K608">
        <v>8</v>
      </c>
      <c r="L608" t="s">
        <v>163</v>
      </c>
      <c r="M608">
        <v>160</v>
      </c>
      <c r="N608">
        <v>3</v>
      </c>
      <c r="O608">
        <v>12</v>
      </c>
      <c r="P608" t="s">
        <v>216</v>
      </c>
      <c r="Q608" t="s">
        <v>217</v>
      </c>
      <c r="R608">
        <f t="shared" si="40"/>
        <v>-46</v>
      </c>
      <c r="S608">
        <f t="shared" si="37"/>
        <v>0.45564516129032256</v>
      </c>
      <c r="T608" t="str">
        <f t="shared" si="38"/>
        <v>High Risk</v>
      </c>
      <c r="U608" t="str">
        <f t="shared" si="39"/>
        <v>Apply Discount / Promotion</v>
      </c>
    </row>
    <row r="609" spans="1:21" x14ac:dyDescent="0.25">
      <c r="A609">
        <v>608</v>
      </c>
      <c r="B609" t="s">
        <v>111</v>
      </c>
      <c r="C609" t="s">
        <v>117</v>
      </c>
      <c r="D609" t="s">
        <v>123</v>
      </c>
      <c r="E609">
        <v>140</v>
      </c>
      <c r="F609">
        <v>292</v>
      </c>
      <c r="G609">
        <v>327</v>
      </c>
      <c r="H609">
        <v>3447.48</v>
      </c>
      <c r="I609">
        <v>1862.89</v>
      </c>
      <c r="J609">
        <v>63</v>
      </c>
      <c r="K609">
        <v>14</v>
      </c>
      <c r="L609" t="s">
        <v>142</v>
      </c>
      <c r="M609">
        <v>112</v>
      </c>
      <c r="N609">
        <v>5</v>
      </c>
      <c r="O609">
        <v>11</v>
      </c>
      <c r="P609" t="s">
        <v>215</v>
      </c>
      <c r="Q609" t="s">
        <v>218</v>
      </c>
      <c r="R609">
        <f t="shared" si="40"/>
        <v>-35</v>
      </c>
      <c r="S609">
        <f t="shared" si="37"/>
        <v>2.0857142857142859</v>
      </c>
      <c r="T609" t="str">
        <f t="shared" si="38"/>
        <v>Low Risk</v>
      </c>
      <c r="U609" t="str">
        <f t="shared" si="39"/>
        <v>Maintain Stock</v>
      </c>
    </row>
    <row r="610" spans="1:21" x14ac:dyDescent="0.25">
      <c r="A610">
        <v>609</v>
      </c>
      <c r="B610" t="s">
        <v>21</v>
      </c>
      <c r="C610" t="s">
        <v>120</v>
      </c>
      <c r="D610" t="s">
        <v>121</v>
      </c>
      <c r="E610">
        <v>283</v>
      </c>
      <c r="F610">
        <v>364</v>
      </c>
      <c r="G610">
        <v>361</v>
      </c>
      <c r="H610">
        <v>606.35</v>
      </c>
      <c r="I610">
        <v>459.59</v>
      </c>
      <c r="J610">
        <v>50</v>
      </c>
      <c r="K610">
        <v>9</v>
      </c>
      <c r="L610" t="s">
        <v>129</v>
      </c>
      <c r="M610">
        <v>226</v>
      </c>
      <c r="N610">
        <v>1</v>
      </c>
      <c r="O610">
        <v>32</v>
      </c>
      <c r="P610" t="s">
        <v>216</v>
      </c>
      <c r="Q610" t="s">
        <v>217</v>
      </c>
      <c r="R610">
        <f t="shared" si="40"/>
        <v>3</v>
      </c>
      <c r="S610">
        <f t="shared" si="37"/>
        <v>1.2862190812720848</v>
      </c>
      <c r="T610" t="str">
        <f t="shared" si="38"/>
        <v>Low Risk</v>
      </c>
      <c r="U610" t="str">
        <f t="shared" si="39"/>
        <v>Maintain Stock</v>
      </c>
    </row>
    <row r="611" spans="1:21" x14ac:dyDescent="0.25">
      <c r="A611">
        <v>610</v>
      </c>
      <c r="B611" t="s">
        <v>25</v>
      </c>
      <c r="C611" t="s">
        <v>119</v>
      </c>
      <c r="D611" t="s">
        <v>121</v>
      </c>
      <c r="E611">
        <v>227</v>
      </c>
      <c r="F611">
        <v>351</v>
      </c>
      <c r="G611">
        <v>387</v>
      </c>
      <c r="H611">
        <v>2544.9899999999998</v>
      </c>
      <c r="I611">
        <v>1580.45</v>
      </c>
      <c r="J611">
        <v>56</v>
      </c>
      <c r="K611">
        <v>1</v>
      </c>
      <c r="L611" t="s">
        <v>194</v>
      </c>
      <c r="M611">
        <v>68</v>
      </c>
      <c r="N611">
        <v>1</v>
      </c>
      <c r="O611">
        <v>12</v>
      </c>
      <c r="P611" t="s">
        <v>216</v>
      </c>
      <c r="Q611" t="s">
        <v>217</v>
      </c>
      <c r="R611">
        <f t="shared" si="40"/>
        <v>-36</v>
      </c>
      <c r="S611">
        <f t="shared" si="37"/>
        <v>1.5462555066079295</v>
      </c>
      <c r="T611" t="str">
        <f t="shared" si="38"/>
        <v>Low Risk</v>
      </c>
      <c r="U611" t="str">
        <f t="shared" si="39"/>
        <v>Maintain Stock</v>
      </c>
    </row>
    <row r="612" spans="1:21" x14ac:dyDescent="0.25">
      <c r="A612">
        <v>611</v>
      </c>
      <c r="B612" t="s">
        <v>105</v>
      </c>
      <c r="C612" t="s">
        <v>118</v>
      </c>
      <c r="D612" t="s">
        <v>121</v>
      </c>
      <c r="E612">
        <v>322</v>
      </c>
      <c r="F612">
        <v>370</v>
      </c>
      <c r="G612">
        <v>381</v>
      </c>
      <c r="H612">
        <v>2997.37</v>
      </c>
      <c r="I612">
        <v>1682.66</v>
      </c>
      <c r="J612">
        <v>59</v>
      </c>
      <c r="K612">
        <v>7</v>
      </c>
      <c r="L612" t="s">
        <v>155</v>
      </c>
      <c r="M612">
        <v>40</v>
      </c>
      <c r="N612">
        <v>2</v>
      </c>
      <c r="O612">
        <v>3</v>
      </c>
      <c r="P612" t="s">
        <v>215</v>
      </c>
      <c r="Q612" t="s">
        <v>217</v>
      </c>
      <c r="R612">
        <f t="shared" si="40"/>
        <v>-11</v>
      </c>
      <c r="S612">
        <f t="shared" si="37"/>
        <v>1.1490683229813665</v>
      </c>
      <c r="T612" t="str">
        <f t="shared" si="38"/>
        <v>Low Risk</v>
      </c>
      <c r="U612" t="str">
        <f t="shared" si="39"/>
        <v>Maintain Stock</v>
      </c>
    </row>
    <row r="613" spans="1:21" x14ac:dyDescent="0.25">
      <c r="A613">
        <v>612</v>
      </c>
      <c r="B613" t="s">
        <v>43</v>
      </c>
      <c r="C613" t="s">
        <v>116</v>
      </c>
      <c r="D613" t="s">
        <v>122</v>
      </c>
      <c r="E613">
        <v>417</v>
      </c>
      <c r="F613">
        <v>310</v>
      </c>
      <c r="G613">
        <v>357</v>
      </c>
      <c r="H613">
        <v>4300.9799999999996</v>
      </c>
      <c r="I613">
        <v>3215.08</v>
      </c>
      <c r="J613">
        <v>45</v>
      </c>
      <c r="K613">
        <v>9</v>
      </c>
      <c r="L613" t="s">
        <v>150</v>
      </c>
      <c r="M613">
        <v>187</v>
      </c>
      <c r="N613">
        <v>1</v>
      </c>
      <c r="O613">
        <v>45</v>
      </c>
      <c r="P613" t="s">
        <v>215</v>
      </c>
      <c r="Q613" t="s">
        <v>219</v>
      </c>
      <c r="R613">
        <f t="shared" si="40"/>
        <v>-47</v>
      </c>
      <c r="S613">
        <f t="shared" si="37"/>
        <v>0.74340527577937654</v>
      </c>
      <c r="T613" t="str">
        <f t="shared" si="38"/>
        <v>Medium Risk</v>
      </c>
      <c r="U613" t="str">
        <f t="shared" si="39"/>
        <v>Monitor Sales</v>
      </c>
    </row>
    <row r="614" spans="1:21" x14ac:dyDescent="0.25">
      <c r="A614">
        <v>613</v>
      </c>
      <c r="B614" t="s">
        <v>38</v>
      </c>
      <c r="C614" t="s">
        <v>119</v>
      </c>
      <c r="D614" t="s">
        <v>123</v>
      </c>
      <c r="E614">
        <v>123</v>
      </c>
      <c r="F614">
        <v>267</v>
      </c>
      <c r="G614">
        <v>297</v>
      </c>
      <c r="H614">
        <v>2470.81</v>
      </c>
      <c r="I614">
        <v>1689.5</v>
      </c>
      <c r="J614">
        <v>31</v>
      </c>
      <c r="K614">
        <v>12</v>
      </c>
      <c r="L614" t="s">
        <v>200</v>
      </c>
      <c r="M614">
        <v>61</v>
      </c>
      <c r="N614">
        <v>1</v>
      </c>
      <c r="O614">
        <v>4</v>
      </c>
      <c r="P614" t="s">
        <v>215</v>
      </c>
      <c r="Q614" t="s">
        <v>219</v>
      </c>
      <c r="R614">
        <f t="shared" si="40"/>
        <v>-30</v>
      </c>
      <c r="S614">
        <f t="shared" si="37"/>
        <v>2.1707317073170733</v>
      </c>
      <c r="T614" t="str">
        <f t="shared" si="38"/>
        <v>Low Risk</v>
      </c>
      <c r="U614" t="str">
        <f t="shared" si="39"/>
        <v>Maintain Stock</v>
      </c>
    </row>
    <row r="615" spans="1:21" x14ac:dyDescent="0.25">
      <c r="A615">
        <v>614</v>
      </c>
      <c r="B615" t="s">
        <v>103</v>
      </c>
      <c r="C615" t="s">
        <v>119</v>
      </c>
      <c r="D615" t="s">
        <v>121</v>
      </c>
      <c r="E615">
        <v>197</v>
      </c>
      <c r="F615">
        <v>244</v>
      </c>
      <c r="G615">
        <v>224</v>
      </c>
      <c r="H615">
        <v>2277.23</v>
      </c>
      <c r="I615">
        <v>1636.68</v>
      </c>
      <c r="J615">
        <v>131</v>
      </c>
      <c r="K615">
        <v>4</v>
      </c>
      <c r="L615" t="s">
        <v>152</v>
      </c>
      <c r="M615">
        <v>153</v>
      </c>
      <c r="N615">
        <v>1</v>
      </c>
      <c r="O615">
        <v>14</v>
      </c>
      <c r="P615" t="s">
        <v>215</v>
      </c>
      <c r="Q615" t="s">
        <v>218</v>
      </c>
      <c r="R615">
        <f t="shared" si="40"/>
        <v>20</v>
      </c>
      <c r="S615">
        <f t="shared" si="37"/>
        <v>1.2385786802030456</v>
      </c>
      <c r="T615" t="str">
        <f t="shared" si="38"/>
        <v>Low Risk</v>
      </c>
      <c r="U615" t="str">
        <f t="shared" si="39"/>
        <v>Maintain Stock</v>
      </c>
    </row>
    <row r="616" spans="1:21" x14ac:dyDescent="0.25">
      <c r="A616">
        <v>615</v>
      </c>
      <c r="B616" t="s">
        <v>49</v>
      </c>
      <c r="C616" t="s">
        <v>117</v>
      </c>
      <c r="D616" t="s">
        <v>124</v>
      </c>
      <c r="E616">
        <v>31</v>
      </c>
      <c r="F616">
        <v>328</v>
      </c>
      <c r="G616">
        <v>305</v>
      </c>
      <c r="H616">
        <v>2052.9899999999998</v>
      </c>
      <c r="I616">
        <v>1135.27</v>
      </c>
      <c r="J616">
        <v>119</v>
      </c>
      <c r="K616">
        <v>5</v>
      </c>
      <c r="L616" t="s">
        <v>174</v>
      </c>
      <c r="M616">
        <v>304</v>
      </c>
      <c r="N616">
        <v>4</v>
      </c>
      <c r="O616">
        <v>2</v>
      </c>
      <c r="P616" t="s">
        <v>215</v>
      </c>
      <c r="Q616" t="s">
        <v>219</v>
      </c>
      <c r="R616">
        <f t="shared" si="40"/>
        <v>23</v>
      </c>
      <c r="S616">
        <f t="shared" si="37"/>
        <v>10.580645161290322</v>
      </c>
      <c r="T616" t="str">
        <f t="shared" si="38"/>
        <v>Low Risk</v>
      </c>
      <c r="U616" t="str">
        <f t="shared" si="39"/>
        <v>Maintain Stock</v>
      </c>
    </row>
    <row r="617" spans="1:21" x14ac:dyDescent="0.25">
      <c r="A617">
        <v>616</v>
      </c>
      <c r="B617" t="s">
        <v>104</v>
      </c>
      <c r="C617" t="s">
        <v>116</v>
      </c>
      <c r="D617" t="s">
        <v>121</v>
      </c>
      <c r="E617">
        <v>372</v>
      </c>
      <c r="F617">
        <v>77</v>
      </c>
      <c r="G617">
        <v>27</v>
      </c>
      <c r="H617">
        <v>2102.35</v>
      </c>
      <c r="I617">
        <v>1478.56</v>
      </c>
      <c r="J617">
        <v>125</v>
      </c>
      <c r="K617">
        <v>7</v>
      </c>
      <c r="L617" t="s">
        <v>129</v>
      </c>
      <c r="M617">
        <v>240</v>
      </c>
      <c r="N617">
        <v>1</v>
      </c>
      <c r="O617">
        <v>15</v>
      </c>
      <c r="P617" t="s">
        <v>216</v>
      </c>
      <c r="Q617" t="s">
        <v>218</v>
      </c>
      <c r="R617">
        <f t="shared" si="40"/>
        <v>50</v>
      </c>
      <c r="S617">
        <f t="shared" si="37"/>
        <v>0.20698924731182797</v>
      </c>
      <c r="T617" t="str">
        <f t="shared" si="38"/>
        <v>High Risk</v>
      </c>
      <c r="U617" t="str">
        <f t="shared" si="39"/>
        <v>Apply Discount / Promotion</v>
      </c>
    </row>
    <row r="618" spans="1:21" x14ac:dyDescent="0.25">
      <c r="A618">
        <v>617</v>
      </c>
      <c r="B618" t="s">
        <v>60</v>
      </c>
      <c r="C618" t="s">
        <v>116</v>
      </c>
      <c r="D618" t="s">
        <v>122</v>
      </c>
      <c r="E618">
        <v>23</v>
      </c>
      <c r="F618">
        <v>411</v>
      </c>
      <c r="G618">
        <v>365</v>
      </c>
      <c r="H618">
        <v>1989.66</v>
      </c>
      <c r="I618">
        <v>1018.18</v>
      </c>
      <c r="J618">
        <v>49</v>
      </c>
      <c r="K618">
        <v>3</v>
      </c>
      <c r="L618" t="s">
        <v>172</v>
      </c>
      <c r="M618">
        <v>82</v>
      </c>
      <c r="N618">
        <v>5</v>
      </c>
      <c r="O618">
        <v>35</v>
      </c>
      <c r="P618" t="s">
        <v>216</v>
      </c>
      <c r="Q618" t="s">
        <v>217</v>
      </c>
      <c r="R618">
        <f t="shared" si="40"/>
        <v>46</v>
      </c>
      <c r="S618">
        <f t="shared" si="37"/>
        <v>17.869565217391305</v>
      </c>
      <c r="T618" t="str">
        <f t="shared" si="38"/>
        <v>Low Risk</v>
      </c>
      <c r="U618" t="str">
        <f t="shared" si="39"/>
        <v>Maintain Stock</v>
      </c>
    </row>
    <row r="619" spans="1:21" x14ac:dyDescent="0.25">
      <c r="A619">
        <v>618</v>
      </c>
      <c r="B619" t="s">
        <v>52</v>
      </c>
      <c r="C619" t="s">
        <v>118</v>
      </c>
      <c r="D619" t="s">
        <v>122</v>
      </c>
      <c r="E619">
        <v>161</v>
      </c>
      <c r="F619">
        <v>401</v>
      </c>
      <c r="G619">
        <v>371</v>
      </c>
      <c r="H619">
        <v>2579.56</v>
      </c>
      <c r="I619">
        <v>1613.06</v>
      </c>
      <c r="J619">
        <v>99</v>
      </c>
      <c r="K619">
        <v>8</v>
      </c>
      <c r="L619" t="s">
        <v>128</v>
      </c>
      <c r="M619">
        <v>62</v>
      </c>
      <c r="N619">
        <v>2</v>
      </c>
      <c r="O619">
        <v>19</v>
      </c>
      <c r="P619" t="s">
        <v>216</v>
      </c>
      <c r="Q619" t="s">
        <v>217</v>
      </c>
      <c r="R619">
        <f t="shared" si="40"/>
        <v>30</v>
      </c>
      <c r="S619">
        <f t="shared" si="37"/>
        <v>2.4906832298136647</v>
      </c>
      <c r="T619" t="str">
        <f t="shared" si="38"/>
        <v>Low Risk</v>
      </c>
      <c r="U619" t="str">
        <f t="shared" si="39"/>
        <v>Maintain Stock</v>
      </c>
    </row>
    <row r="620" spans="1:21" x14ac:dyDescent="0.25">
      <c r="A620">
        <v>619</v>
      </c>
      <c r="B620" t="s">
        <v>24</v>
      </c>
      <c r="C620" t="s">
        <v>118</v>
      </c>
      <c r="D620" t="s">
        <v>123</v>
      </c>
      <c r="E620">
        <v>203</v>
      </c>
      <c r="F620">
        <v>380</v>
      </c>
      <c r="G620">
        <v>347</v>
      </c>
      <c r="H620">
        <v>3795.66</v>
      </c>
      <c r="I620">
        <v>2498.85</v>
      </c>
      <c r="J620">
        <v>85</v>
      </c>
      <c r="K620">
        <v>15</v>
      </c>
      <c r="L620" t="s">
        <v>141</v>
      </c>
      <c r="M620">
        <v>214</v>
      </c>
      <c r="N620">
        <v>3</v>
      </c>
      <c r="O620">
        <v>9</v>
      </c>
      <c r="P620" t="s">
        <v>215</v>
      </c>
      <c r="Q620" t="s">
        <v>219</v>
      </c>
      <c r="R620">
        <f t="shared" si="40"/>
        <v>33</v>
      </c>
      <c r="S620">
        <f t="shared" si="37"/>
        <v>1.8719211822660098</v>
      </c>
      <c r="T620" t="str">
        <f t="shared" si="38"/>
        <v>Low Risk</v>
      </c>
      <c r="U620" t="str">
        <f t="shared" si="39"/>
        <v>Maintain Stock</v>
      </c>
    </row>
    <row r="621" spans="1:21" x14ac:dyDescent="0.25">
      <c r="A621">
        <v>620</v>
      </c>
      <c r="B621" t="s">
        <v>40</v>
      </c>
      <c r="C621" t="s">
        <v>120</v>
      </c>
      <c r="D621" t="s">
        <v>122</v>
      </c>
      <c r="E621">
        <v>182</v>
      </c>
      <c r="F621">
        <v>196</v>
      </c>
      <c r="G621">
        <v>190</v>
      </c>
      <c r="H621">
        <v>4796.67</v>
      </c>
      <c r="I621">
        <v>2442.23</v>
      </c>
      <c r="J621">
        <v>44</v>
      </c>
      <c r="K621">
        <v>11</v>
      </c>
      <c r="L621" t="s">
        <v>179</v>
      </c>
      <c r="M621">
        <v>292</v>
      </c>
      <c r="N621">
        <v>4</v>
      </c>
      <c r="O621">
        <v>24</v>
      </c>
      <c r="P621" t="s">
        <v>215</v>
      </c>
      <c r="Q621" t="s">
        <v>217</v>
      </c>
      <c r="R621">
        <f t="shared" si="40"/>
        <v>6</v>
      </c>
      <c r="S621">
        <f t="shared" si="37"/>
        <v>1.0769230769230769</v>
      </c>
      <c r="T621" t="str">
        <f t="shared" si="38"/>
        <v>Low Risk</v>
      </c>
      <c r="U621" t="str">
        <f t="shared" si="39"/>
        <v>Maintain Stock</v>
      </c>
    </row>
    <row r="622" spans="1:21" x14ac:dyDescent="0.25">
      <c r="A622">
        <v>621</v>
      </c>
      <c r="B622" t="s">
        <v>44</v>
      </c>
      <c r="C622" t="s">
        <v>117</v>
      </c>
      <c r="D622" t="s">
        <v>121</v>
      </c>
      <c r="E622">
        <v>317</v>
      </c>
      <c r="F622">
        <v>82</v>
      </c>
      <c r="G622">
        <v>56</v>
      </c>
      <c r="H622">
        <v>2717.12</v>
      </c>
      <c r="I622">
        <v>1772.88</v>
      </c>
      <c r="J622">
        <v>102</v>
      </c>
      <c r="K622">
        <v>13</v>
      </c>
      <c r="L622" t="s">
        <v>201</v>
      </c>
      <c r="M622">
        <v>199</v>
      </c>
      <c r="N622">
        <v>5</v>
      </c>
      <c r="O622">
        <v>50</v>
      </c>
      <c r="P622" t="s">
        <v>216</v>
      </c>
      <c r="Q622" t="s">
        <v>219</v>
      </c>
      <c r="R622">
        <f t="shared" si="40"/>
        <v>26</v>
      </c>
      <c r="S622">
        <f t="shared" si="37"/>
        <v>0.25867507886435331</v>
      </c>
      <c r="T622" t="str">
        <f t="shared" si="38"/>
        <v>High Risk</v>
      </c>
      <c r="U622" t="str">
        <f t="shared" si="39"/>
        <v>Apply Discount / Promotion</v>
      </c>
    </row>
    <row r="623" spans="1:21" x14ac:dyDescent="0.25">
      <c r="A623">
        <v>622</v>
      </c>
      <c r="B623" t="s">
        <v>25</v>
      </c>
      <c r="C623" t="s">
        <v>118</v>
      </c>
      <c r="D623" t="s">
        <v>124</v>
      </c>
      <c r="E623">
        <v>249</v>
      </c>
      <c r="F623">
        <v>347</v>
      </c>
      <c r="G623">
        <v>303</v>
      </c>
      <c r="H623">
        <v>3240.33</v>
      </c>
      <c r="I623">
        <v>2413.75</v>
      </c>
      <c r="J623">
        <v>56</v>
      </c>
      <c r="K623">
        <v>15</v>
      </c>
      <c r="L623" t="s">
        <v>209</v>
      </c>
      <c r="M623">
        <v>41</v>
      </c>
      <c r="N623">
        <v>3</v>
      </c>
      <c r="O623">
        <v>27</v>
      </c>
      <c r="P623" t="s">
        <v>216</v>
      </c>
      <c r="Q623" t="s">
        <v>217</v>
      </c>
      <c r="R623">
        <f t="shared" si="40"/>
        <v>44</v>
      </c>
      <c r="S623">
        <f t="shared" si="37"/>
        <v>1.393574297188755</v>
      </c>
      <c r="T623" t="str">
        <f t="shared" si="38"/>
        <v>Low Risk</v>
      </c>
      <c r="U623" t="str">
        <f t="shared" si="39"/>
        <v>Maintain Stock</v>
      </c>
    </row>
    <row r="624" spans="1:21" x14ac:dyDescent="0.25">
      <c r="A624">
        <v>623</v>
      </c>
      <c r="B624" t="s">
        <v>84</v>
      </c>
      <c r="C624" t="s">
        <v>117</v>
      </c>
      <c r="D624" t="s">
        <v>124</v>
      </c>
      <c r="E624">
        <v>96</v>
      </c>
      <c r="F624">
        <v>285</v>
      </c>
      <c r="G624">
        <v>270</v>
      </c>
      <c r="H624">
        <v>3119.54</v>
      </c>
      <c r="I624">
        <v>2451.08</v>
      </c>
      <c r="J624">
        <v>68</v>
      </c>
      <c r="K624">
        <v>10</v>
      </c>
      <c r="L624" t="s">
        <v>163</v>
      </c>
      <c r="M624">
        <v>195</v>
      </c>
      <c r="N624">
        <v>5</v>
      </c>
      <c r="O624">
        <v>33</v>
      </c>
      <c r="P624" t="s">
        <v>215</v>
      </c>
      <c r="Q624" t="s">
        <v>218</v>
      </c>
      <c r="R624">
        <f t="shared" si="40"/>
        <v>15</v>
      </c>
      <c r="S624">
        <f t="shared" si="37"/>
        <v>2.96875</v>
      </c>
      <c r="T624" t="str">
        <f t="shared" si="38"/>
        <v>Low Risk</v>
      </c>
      <c r="U624" t="str">
        <f t="shared" si="39"/>
        <v>Maintain Stock</v>
      </c>
    </row>
    <row r="625" spans="1:21" x14ac:dyDescent="0.25">
      <c r="A625">
        <v>624</v>
      </c>
      <c r="B625" t="s">
        <v>76</v>
      </c>
      <c r="C625" t="s">
        <v>120</v>
      </c>
      <c r="D625" t="s">
        <v>122</v>
      </c>
      <c r="E625">
        <v>35</v>
      </c>
      <c r="F625">
        <v>369</v>
      </c>
      <c r="G625">
        <v>348</v>
      </c>
      <c r="H625">
        <v>679.73</v>
      </c>
      <c r="I625">
        <v>538.71</v>
      </c>
      <c r="J625">
        <v>45</v>
      </c>
      <c r="K625">
        <v>2</v>
      </c>
      <c r="L625" t="s">
        <v>166</v>
      </c>
      <c r="M625">
        <v>209</v>
      </c>
      <c r="N625">
        <v>1</v>
      </c>
      <c r="O625">
        <v>38</v>
      </c>
      <c r="P625" t="s">
        <v>216</v>
      </c>
      <c r="Q625" t="s">
        <v>218</v>
      </c>
      <c r="R625">
        <f t="shared" si="40"/>
        <v>21</v>
      </c>
      <c r="S625">
        <f t="shared" si="37"/>
        <v>10.542857142857143</v>
      </c>
      <c r="T625" t="str">
        <f t="shared" si="38"/>
        <v>Low Risk</v>
      </c>
      <c r="U625" t="str">
        <f t="shared" si="39"/>
        <v>Maintain Stock</v>
      </c>
    </row>
    <row r="626" spans="1:21" x14ac:dyDescent="0.25">
      <c r="A626">
        <v>625</v>
      </c>
      <c r="B626" t="s">
        <v>70</v>
      </c>
      <c r="C626" t="s">
        <v>119</v>
      </c>
      <c r="D626" t="s">
        <v>124</v>
      </c>
      <c r="E626">
        <v>422</v>
      </c>
      <c r="F626">
        <v>267</v>
      </c>
      <c r="G626">
        <v>303</v>
      </c>
      <c r="H626">
        <v>1546.1</v>
      </c>
      <c r="I626">
        <v>1179.97</v>
      </c>
      <c r="J626">
        <v>91</v>
      </c>
      <c r="K626">
        <v>6</v>
      </c>
      <c r="L626" t="s">
        <v>188</v>
      </c>
      <c r="M626">
        <v>283</v>
      </c>
      <c r="N626">
        <v>1</v>
      </c>
      <c r="O626">
        <v>28</v>
      </c>
      <c r="P626" t="s">
        <v>215</v>
      </c>
      <c r="Q626" t="s">
        <v>218</v>
      </c>
      <c r="R626">
        <f t="shared" si="40"/>
        <v>-36</v>
      </c>
      <c r="S626">
        <f t="shared" si="37"/>
        <v>0.63270142180094791</v>
      </c>
      <c r="T626" t="str">
        <f t="shared" si="38"/>
        <v>Medium Risk</v>
      </c>
      <c r="U626" t="str">
        <f t="shared" si="39"/>
        <v>Monitor Sales</v>
      </c>
    </row>
    <row r="627" spans="1:21" x14ac:dyDescent="0.25">
      <c r="A627">
        <v>626</v>
      </c>
      <c r="B627" t="s">
        <v>108</v>
      </c>
      <c r="C627" t="s">
        <v>116</v>
      </c>
      <c r="D627" t="s">
        <v>121</v>
      </c>
      <c r="E627">
        <v>336</v>
      </c>
      <c r="F627">
        <v>37</v>
      </c>
      <c r="G627">
        <v>32</v>
      </c>
      <c r="H627">
        <v>1025.4000000000001</v>
      </c>
      <c r="I627">
        <v>799.76</v>
      </c>
      <c r="J627">
        <v>89</v>
      </c>
      <c r="K627">
        <v>13</v>
      </c>
      <c r="L627" t="s">
        <v>144</v>
      </c>
      <c r="M627">
        <v>224</v>
      </c>
      <c r="N627">
        <v>5</v>
      </c>
      <c r="O627">
        <v>3</v>
      </c>
      <c r="P627" t="s">
        <v>216</v>
      </c>
      <c r="Q627" t="s">
        <v>219</v>
      </c>
      <c r="R627">
        <f t="shared" si="40"/>
        <v>5</v>
      </c>
      <c r="S627">
        <f t="shared" si="37"/>
        <v>0.11011904761904762</v>
      </c>
      <c r="T627" t="str">
        <f t="shared" si="38"/>
        <v>High Risk</v>
      </c>
      <c r="U627" t="str">
        <f t="shared" si="39"/>
        <v>Apply Discount / Promotion</v>
      </c>
    </row>
    <row r="628" spans="1:21" x14ac:dyDescent="0.25">
      <c r="A628">
        <v>627</v>
      </c>
      <c r="B628" t="s">
        <v>53</v>
      </c>
      <c r="C628" t="s">
        <v>120</v>
      </c>
      <c r="D628" t="s">
        <v>124</v>
      </c>
      <c r="E628">
        <v>55</v>
      </c>
      <c r="F628">
        <v>95</v>
      </c>
      <c r="G628">
        <v>115</v>
      </c>
      <c r="H628">
        <v>777.05</v>
      </c>
      <c r="I628">
        <v>391.07</v>
      </c>
      <c r="J628">
        <v>119</v>
      </c>
      <c r="K628">
        <v>7</v>
      </c>
      <c r="L628" t="s">
        <v>169</v>
      </c>
      <c r="M628">
        <v>284</v>
      </c>
      <c r="N628">
        <v>4</v>
      </c>
      <c r="O628">
        <v>3</v>
      </c>
      <c r="P628" t="s">
        <v>216</v>
      </c>
      <c r="Q628" t="s">
        <v>217</v>
      </c>
      <c r="R628">
        <f t="shared" si="40"/>
        <v>-20</v>
      </c>
      <c r="S628">
        <f t="shared" si="37"/>
        <v>1.7272727272727273</v>
      </c>
      <c r="T628" t="str">
        <f t="shared" si="38"/>
        <v>Low Risk</v>
      </c>
      <c r="U628" t="str">
        <f t="shared" si="39"/>
        <v>Maintain Stock</v>
      </c>
    </row>
    <row r="629" spans="1:21" x14ac:dyDescent="0.25">
      <c r="A629">
        <v>628</v>
      </c>
      <c r="B629" t="s">
        <v>110</v>
      </c>
      <c r="C629" t="s">
        <v>119</v>
      </c>
      <c r="D629" t="s">
        <v>123</v>
      </c>
      <c r="E629">
        <v>480</v>
      </c>
      <c r="F629">
        <v>314</v>
      </c>
      <c r="G629">
        <v>266</v>
      </c>
      <c r="H629">
        <v>4789.63</v>
      </c>
      <c r="I629">
        <v>2788.63</v>
      </c>
      <c r="J629">
        <v>149</v>
      </c>
      <c r="K629">
        <v>3</v>
      </c>
      <c r="L629" t="s">
        <v>125</v>
      </c>
      <c r="M629">
        <v>284</v>
      </c>
      <c r="N629">
        <v>1</v>
      </c>
      <c r="O629">
        <v>43</v>
      </c>
      <c r="P629" t="s">
        <v>216</v>
      </c>
      <c r="Q629" t="s">
        <v>217</v>
      </c>
      <c r="R629">
        <f t="shared" si="40"/>
        <v>48</v>
      </c>
      <c r="S629">
        <f t="shared" si="37"/>
        <v>0.65416666666666667</v>
      </c>
      <c r="T629" t="str">
        <f t="shared" si="38"/>
        <v>Medium Risk</v>
      </c>
      <c r="U629" t="str">
        <f t="shared" si="39"/>
        <v>Monitor Sales</v>
      </c>
    </row>
    <row r="630" spans="1:21" x14ac:dyDescent="0.25">
      <c r="A630">
        <v>629</v>
      </c>
      <c r="B630" t="s">
        <v>61</v>
      </c>
      <c r="C630" t="s">
        <v>120</v>
      </c>
      <c r="D630" t="s">
        <v>123</v>
      </c>
      <c r="E630">
        <v>131</v>
      </c>
      <c r="F630">
        <v>248</v>
      </c>
      <c r="G630">
        <v>211</v>
      </c>
      <c r="H630">
        <v>3534.52</v>
      </c>
      <c r="I630">
        <v>2421.88</v>
      </c>
      <c r="J630">
        <v>50</v>
      </c>
      <c r="K630">
        <v>12</v>
      </c>
      <c r="L630" t="s">
        <v>125</v>
      </c>
      <c r="M630">
        <v>151</v>
      </c>
      <c r="N630">
        <v>3</v>
      </c>
      <c r="O630">
        <v>21</v>
      </c>
      <c r="P630" t="s">
        <v>216</v>
      </c>
      <c r="Q630" t="s">
        <v>217</v>
      </c>
      <c r="R630">
        <f t="shared" si="40"/>
        <v>37</v>
      </c>
      <c r="S630">
        <f t="shared" si="37"/>
        <v>1.8931297709923665</v>
      </c>
      <c r="T630" t="str">
        <f t="shared" si="38"/>
        <v>Low Risk</v>
      </c>
      <c r="U630" t="str">
        <f t="shared" si="39"/>
        <v>Maintain Stock</v>
      </c>
    </row>
    <row r="631" spans="1:21" x14ac:dyDescent="0.25">
      <c r="A631">
        <v>630</v>
      </c>
      <c r="B631" t="s">
        <v>16</v>
      </c>
      <c r="C631" t="s">
        <v>117</v>
      </c>
      <c r="D631" t="s">
        <v>122</v>
      </c>
      <c r="E631">
        <v>365</v>
      </c>
      <c r="F631">
        <v>160</v>
      </c>
      <c r="G631">
        <v>178</v>
      </c>
      <c r="H631">
        <v>1537.15</v>
      </c>
      <c r="I631">
        <v>1152.6500000000001</v>
      </c>
      <c r="J631">
        <v>47</v>
      </c>
      <c r="K631">
        <v>4</v>
      </c>
      <c r="L631" t="s">
        <v>150</v>
      </c>
      <c r="M631">
        <v>52</v>
      </c>
      <c r="N631">
        <v>2</v>
      </c>
      <c r="O631">
        <v>14</v>
      </c>
      <c r="P631" t="s">
        <v>215</v>
      </c>
      <c r="Q631" t="s">
        <v>217</v>
      </c>
      <c r="R631">
        <f t="shared" si="40"/>
        <v>-18</v>
      </c>
      <c r="S631">
        <f t="shared" si="37"/>
        <v>0.43835616438356162</v>
      </c>
      <c r="T631" t="str">
        <f t="shared" si="38"/>
        <v>High Risk</v>
      </c>
      <c r="U631" t="str">
        <f t="shared" si="39"/>
        <v>Apply Discount / Promotion</v>
      </c>
    </row>
    <row r="632" spans="1:21" x14ac:dyDescent="0.25">
      <c r="A632">
        <v>631</v>
      </c>
      <c r="B632" t="s">
        <v>111</v>
      </c>
      <c r="C632" t="s">
        <v>120</v>
      </c>
      <c r="D632" t="s">
        <v>124</v>
      </c>
      <c r="E632">
        <v>401</v>
      </c>
      <c r="F632">
        <v>196</v>
      </c>
      <c r="G632">
        <v>156</v>
      </c>
      <c r="H632">
        <v>1457.72</v>
      </c>
      <c r="I632">
        <v>958.25</v>
      </c>
      <c r="J632">
        <v>137</v>
      </c>
      <c r="K632">
        <v>1</v>
      </c>
      <c r="L632" t="s">
        <v>150</v>
      </c>
      <c r="M632">
        <v>330</v>
      </c>
      <c r="N632">
        <v>4</v>
      </c>
      <c r="O632">
        <v>28</v>
      </c>
      <c r="P632" t="s">
        <v>215</v>
      </c>
      <c r="Q632" t="s">
        <v>218</v>
      </c>
      <c r="R632">
        <f t="shared" si="40"/>
        <v>40</v>
      </c>
      <c r="S632">
        <f t="shared" si="37"/>
        <v>0.48877805486284287</v>
      </c>
      <c r="T632" t="str">
        <f t="shared" si="38"/>
        <v>High Risk</v>
      </c>
      <c r="U632" t="str">
        <f t="shared" si="39"/>
        <v>Apply Discount / Promotion</v>
      </c>
    </row>
    <row r="633" spans="1:21" x14ac:dyDescent="0.25">
      <c r="A633">
        <v>632</v>
      </c>
      <c r="B633" t="s">
        <v>41</v>
      </c>
      <c r="C633" t="s">
        <v>116</v>
      </c>
      <c r="D633" t="s">
        <v>124</v>
      </c>
      <c r="E633">
        <v>284</v>
      </c>
      <c r="F633">
        <v>325</v>
      </c>
      <c r="G633">
        <v>362</v>
      </c>
      <c r="H633">
        <v>4886.1000000000004</v>
      </c>
      <c r="I633">
        <v>2564.19</v>
      </c>
      <c r="J633">
        <v>70</v>
      </c>
      <c r="K633">
        <v>9</v>
      </c>
      <c r="L633" t="s">
        <v>153</v>
      </c>
      <c r="M633">
        <v>179</v>
      </c>
      <c r="N633">
        <v>2</v>
      </c>
      <c r="O633">
        <v>7</v>
      </c>
      <c r="P633" t="s">
        <v>216</v>
      </c>
      <c r="Q633" t="s">
        <v>219</v>
      </c>
      <c r="R633">
        <f t="shared" si="40"/>
        <v>-37</v>
      </c>
      <c r="S633">
        <f t="shared" si="37"/>
        <v>1.1443661971830985</v>
      </c>
      <c r="T633" t="str">
        <f t="shared" si="38"/>
        <v>Low Risk</v>
      </c>
      <c r="U633" t="str">
        <f t="shared" si="39"/>
        <v>Maintain Stock</v>
      </c>
    </row>
    <row r="634" spans="1:21" x14ac:dyDescent="0.25">
      <c r="A634">
        <v>633</v>
      </c>
      <c r="B634" t="s">
        <v>61</v>
      </c>
      <c r="C634" t="s">
        <v>116</v>
      </c>
      <c r="D634" t="s">
        <v>122</v>
      </c>
      <c r="E634">
        <v>419</v>
      </c>
      <c r="F634">
        <v>97</v>
      </c>
      <c r="G634">
        <v>49</v>
      </c>
      <c r="H634">
        <v>2832</v>
      </c>
      <c r="I634">
        <v>1803</v>
      </c>
      <c r="J634">
        <v>81</v>
      </c>
      <c r="K634">
        <v>15</v>
      </c>
      <c r="L634" t="s">
        <v>163</v>
      </c>
      <c r="M634">
        <v>272</v>
      </c>
      <c r="N634">
        <v>4</v>
      </c>
      <c r="O634">
        <v>12</v>
      </c>
      <c r="P634" t="s">
        <v>216</v>
      </c>
      <c r="Q634" t="s">
        <v>217</v>
      </c>
      <c r="R634">
        <f t="shared" si="40"/>
        <v>48</v>
      </c>
      <c r="S634">
        <f t="shared" si="37"/>
        <v>0.23150357995226731</v>
      </c>
      <c r="T634" t="str">
        <f t="shared" si="38"/>
        <v>High Risk</v>
      </c>
      <c r="U634" t="str">
        <f t="shared" si="39"/>
        <v>Apply Discount / Promotion</v>
      </c>
    </row>
    <row r="635" spans="1:21" x14ac:dyDescent="0.25">
      <c r="A635">
        <v>634</v>
      </c>
      <c r="B635" t="s">
        <v>60</v>
      </c>
      <c r="C635" t="s">
        <v>116</v>
      </c>
      <c r="D635" t="s">
        <v>122</v>
      </c>
      <c r="E635">
        <v>335</v>
      </c>
      <c r="F635">
        <v>231</v>
      </c>
      <c r="G635">
        <v>214</v>
      </c>
      <c r="H635">
        <v>1837.24</v>
      </c>
      <c r="I635">
        <v>989.16</v>
      </c>
      <c r="J635">
        <v>73</v>
      </c>
      <c r="K635">
        <v>7</v>
      </c>
      <c r="L635" t="s">
        <v>172</v>
      </c>
      <c r="M635">
        <v>191</v>
      </c>
      <c r="N635">
        <v>4</v>
      </c>
      <c r="O635">
        <v>9</v>
      </c>
      <c r="P635" t="s">
        <v>215</v>
      </c>
      <c r="Q635" t="s">
        <v>219</v>
      </c>
      <c r="R635">
        <f t="shared" si="40"/>
        <v>17</v>
      </c>
      <c r="S635">
        <f t="shared" si="37"/>
        <v>0.68955223880597016</v>
      </c>
      <c r="T635" t="str">
        <f t="shared" si="38"/>
        <v>Medium Risk</v>
      </c>
      <c r="U635" t="str">
        <f t="shared" si="39"/>
        <v>Monitor Sales</v>
      </c>
    </row>
    <row r="636" spans="1:21" x14ac:dyDescent="0.25">
      <c r="A636">
        <v>635</v>
      </c>
      <c r="B636" t="s">
        <v>61</v>
      </c>
      <c r="C636" t="s">
        <v>118</v>
      </c>
      <c r="D636" t="s">
        <v>121</v>
      </c>
      <c r="E636">
        <v>240</v>
      </c>
      <c r="F636">
        <v>58</v>
      </c>
      <c r="G636">
        <v>53</v>
      </c>
      <c r="H636">
        <v>4189.17</v>
      </c>
      <c r="I636">
        <v>2533.62</v>
      </c>
      <c r="J636">
        <v>60</v>
      </c>
      <c r="K636">
        <v>8</v>
      </c>
      <c r="L636" t="s">
        <v>190</v>
      </c>
      <c r="M636">
        <v>165</v>
      </c>
      <c r="N636">
        <v>4</v>
      </c>
      <c r="O636">
        <v>11</v>
      </c>
      <c r="P636" t="s">
        <v>215</v>
      </c>
      <c r="Q636" t="s">
        <v>217</v>
      </c>
      <c r="R636">
        <f t="shared" si="40"/>
        <v>5</v>
      </c>
      <c r="S636">
        <f t="shared" si="37"/>
        <v>0.24166666666666667</v>
      </c>
      <c r="T636" t="str">
        <f t="shared" si="38"/>
        <v>High Risk</v>
      </c>
      <c r="U636" t="str">
        <f t="shared" si="39"/>
        <v>Apply Discount / Promotion</v>
      </c>
    </row>
    <row r="637" spans="1:21" x14ac:dyDescent="0.25">
      <c r="A637">
        <v>636</v>
      </c>
      <c r="B637" t="s">
        <v>99</v>
      </c>
      <c r="C637" t="s">
        <v>118</v>
      </c>
      <c r="D637" t="s">
        <v>122</v>
      </c>
      <c r="E637">
        <v>427</v>
      </c>
      <c r="F637">
        <v>2</v>
      </c>
      <c r="G637">
        <v>50</v>
      </c>
      <c r="H637">
        <v>3740.01</v>
      </c>
      <c r="I637">
        <v>2876.41</v>
      </c>
      <c r="J637">
        <v>114</v>
      </c>
      <c r="K637">
        <v>14</v>
      </c>
      <c r="L637" t="s">
        <v>146</v>
      </c>
      <c r="M637">
        <v>48</v>
      </c>
      <c r="N637">
        <v>5</v>
      </c>
      <c r="O637">
        <v>21</v>
      </c>
      <c r="P637" t="s">
        <v>216</v>
      </c>
      <c r="Q637" t="s">
        <v>217</v>
      </c>
      <c r="R637">
        <f t="shared" si="40"/>
        <v>-48</v>
      </c>
      <c r="S637">
        <f t="shared" si="37"/>
        <v>4.6838407494145199E-3</v>
      </c>
      <c r="T637" t="str">
        <f t="shared" si="38"/>
        <v>High Risk</v>
      </c>
      <c r="U637" t="str">
        <f t="shared" si="39"/>
        <v>Apply Discount / Promotion</v>
      </c>
    </row>
    <row r="638" spans="1:21" x14ac:dyDescent="0.25">
      <c r="A638">
        <v>637</v>
      </c>
      <c r="B638" t="s">
        <v>92</v>
      </c>
      <c r="C638" t="s">
        <v>116</v>
      </c>
      <c r="D638" t="s">
        <v>123</v>
      </c>
      <c r="E638">
        <v>455</v>
      </c>
      <c r="F638">
        <v>343</v>
      </c>
      <c r="G638">
        <v>377</v>
      </c>
      <c r="H638">
        <v>1423.16</v>
      </c>
      <c r="I638">
        <v>1058.27</v>
      </c>
      <c r="J638">
        <v>32</v>
      </c>
      <c r="K638">
        <v>8</v>
      </c>
      <c r="L638" t="s">
        <v>145</v>
      </c>
      <c r="M638">
        <v>219</v>
      </c>
      <c r="N638">
        <v>3</v>
      </c>
      <c r="O638">
        <v>36</v>
      </c>
      <c r="P638" t="s">
        <v>215</v>
      </c>
      <c r="Q638" t="s">
        <v>218</v>
      </c>
      <c r="R638">
        <f t="shared" si="40"/>
        <v>-34</v>
      </c>
      <c r="S638">
        <f t="shared" si="37"/>
        <v>0.75384615384615383</v>
      </c>
      <c r="T638" t="str">
        <f t="shared" si="38"/>
        <v>Medium Risk</v>
      </c>
      <c r="U638" t="str">
        <f t="shared" si="39"/>
        <v>Monitor Sales</v>
      </c>
    </row>
    <row r="639" spans="1:21" x14ac:dyDescent="0.25">
      <c r="A639">
        <v>638</v>
      </c>
      <c r="B639" t="s">
        <v>92</v>
      </c>
      <c r="C639" t="s">
        <v>117</v>
      </c>
      <c r="D639" t="s">
        <v>122</v>
      </c>
      <c r="E639">
        <v>379</v>
      </c>
      <c r="F639">
        <v>398</v>
      </c>
      <c r="G639">
        <v>386</v>
      </c>
      <c r="H639">
        <v>1335.63</v>
      </c>
      <c r="I639">
        <v>850.5</v>
      </c>
      <c r="J639">
        <v>104</v>
      </c>
      <c r="K639">
        <v>3</v>
      </c>
      <c r="L639" t="s">
        <v>206</v>
      </c>
      <c r="M639">
        <v>222</v>
      </c>
      <c r="N639">
        <v>3</v>
      </c>
      <c r="O639">
        <v>45</v>
      </c>
      <c r="P639" t="s">
        <v>215</v>
      </c>
      <c r="Q639" t="s">
        <v>217</v>
      </c>
      <c r="R639">
        <f t="shared" si="40"/>
        <v>12</v>
      </c>
      <c r="S639">
        <f t="shared" si="37"/>
        <v>1.050131926121372</v>
      </c>
      <c r="T639" t="str">
        <f t="shared" si="38"/>
        <v>Low Risk</v>
      </c>
      <c r="U639" t="str">
        <f t="shared" si="39"/>
        <v>Maintain Stock</v>
      </c>
    </row>
    <row r="640" spans="1:21" x14ac:dyDescent="0.25">
      <c r="A640">
        <v>639</v>
      </c>
      <c r="B640" t="s">
        <v>69</v>
      </c>
      <c r="C640" t="s">
        <v>117</v>
      </c>
      <c r="D640" t="s">
        <v>124</v>
      </c>
      <c r="E640">
        <v>381</v>
      </c>
      <c r="F640">
        <v>183</v>
      </c>
      <c r="G640">
        <v>155</v>
      </c>
      <c r="H640">
        <v>2775.59</v>
      </c>
      <c r="I640">
        <v>2190.58</v>
      </c>
      <c r="J640">
        <v>90</v>
      </c>
      <c r="K640">
        <v>4</v>
      </c>
      <c r="L640" t="s">
        <v>159</v>
      </c>
      <c r="M640">
        <v>240</v>
      </c>
      <c r="N640">
        <v>3</v>
      </c>
      <c r="O640">
        <v>24</v>
      </c>
      <c r="P640" t="s">
        <v>216</v>
      </c>
      <c r="Q640" t="s">
        <v>219</v>
      </c>
      <c r="R640">
        <f t="shared" si="40"/>
        <v>28</v>
      </c>
      <c r="S640">
        <f t="shared" si="37"/>
        <v>0.48031496062992124</v>
      </c>
      <c r="T640" t="str">
        <f t="shared" si="38"/>
        <v>High Risk</v>
      </c>
      <c r="U640" t="str">
        <f t="shared" si="39"/>
        <v>Apply Discount / Promotion</v>
      </c>
    </row>
    <row r="641" spans="1:21" x14ac:dyDescent="0.25">
      <c r="A641">
        <v>640</v>
      </c>
      <c r="B641" t="s">
        <v>27</v>
      </c>
      <c r="C641" t="s">
        <v>118</v>
      </c>
      <c r="D641" t="s">
        <v>121</v>
      </c>
      <c r="E641">
        <v>308</v>
      </c>
      <c r="F641">
        <v>347</v>
      </c>
      <c r="G641">
        <v>395</v>
      </c>
      <c r="H641">
        <v>4955.32</v>
      </c>
      <c r="I641">
        <v>3556.91</v>
      </c>
      <c r="J641">
        <v>129</v>
      </c>
      <c r="K641">
        <v>4</v>
      </c>
      <c r="L641" t="s">
        <v>202</v>
      </c>
      <c r="M641">
        <v>314</v>
      </c>
      <c r="N641">
        <v>4</v>
      </c>
      <c r="O641">
        <v>47</v>
      </c>
      <c r="P641" t="s">
        <v>216</v>
      </c>
      <c r="Q641" t="s">
        <v>217</v>
      </c>
      <c r="R641">
        <f t="shared" si="40"/>
        <v>-48</v>
      </c>
      <c r="S641">
        <f t="shared" si="37"/>
        <v>1.1266233766233766</v>
      </c>
      <c r="T641" t="str">
        <f t="shared" si="38"/>
        <v>Low Risk</v>
      </c>
      <c r="U641" t="str">
        <f t="shared" si="39"/>
        <v>Maintain Stock</v>
      </c>
    </row>
    <row r="642" spans="1:21" x14ac:dyDescent="0.25">
      <c r="A642">
        <v>641</v>
      </c>
      <c r="B642" t="s">
        <v>61</v>
      </c>
      <c r="C642" t="s">
        <v>116</v>
      </c>
      <c r="D642" t="s">
        <v>124</v>
      </c>
      <c r="E642">
        <v>218</v>
      </c>
      <c r="F642">
        <v>0</v>
      </c>
      <c r="G642">
        <v>21</v>
      </c>
      <c r="H642">
        <v>3552.44</v>
      </c>
      <c r="I642">
        <v>2288.31</v>
      </c>
      <c r="J642">
        <v>121</v>
      </c>
      <c r="K642">
        <v>2</v>
      </c>
      <c r="L642" t="s">
        <v>155</v>
      </c>
      <c r="M642">
        <v>356</v>
      </c>
      <c r="N642">
        <v>5</v>
      </c>
      <c r="O642">
        <v>33</v>
      </c>
      <c r="P642" t="s">
        <v>215</v>
      </c>
      <c r="Q642" t="s">
        <v>219</v>
      </c>
      <c r="R642">
        <f t="shared" si="40"/>
        <v>-21</v>
      </c>
      <c r="S642">
        <f t="shared" ref="S642:S705" si="41">F642/E642</f>
        <v>0</v>
      </c>
      <c r="T642" t="str">
        <f t="shared" si="38"/>
        <v>High Risk</v>
      </c>
      <c r="U642" t="str">
        <f t="shared" si="39"/>
        <v>Apply Discount / Promotion</v>
      </c>
    </row>
    <row r="643" spans="1:21" x14ac:dyDescent="0.25">
      <c r="A643">
        <v>642</v>
      </c>
      <c r="B643" t="s">
        <v>34</v>
      </c>
      <c r="C643" t="s">
        <v>119</v>
      </c>
      <c r="D643" t="s">
        <v>123</v>
      </c>
      <c r="E643">
        <v>467</v>
      </c>
      <c r="F643">
        <v>93</v>
      </c>
      <c r="G643">
        <v>58</v>
      </c>
      <c r="H643">
        <v>3365.97</v>
      </c>
      <c r="I643">
        <v>1772.95</v>
      </c>
      <c r="J643">
        <v>31</v>
      </c>
      <c r="K643">
        <v>10</v>
      </c>
      <c r="L643" t="s">
        <v>159</v>
      </c>
      <c r="M643">
        <v>232</v>
      </c>
      <c r="N643">
        <v>1</v>
      </c>
      <c r="O643">
        <v>41</v>
      </c>
      <c r="P643" t="s">
        <v>216</v>
      </c>
      <c r="Q643" t="s">
        <v>219</v>
      </c>
      <c r="R643">
        <f t="shared" si="40"/>
        <v>35</v>
      </c>
      <c r="S643">
        <f t="shared" si="41"/>
        <v>0.19914346895074947</v>
      </c>
      <c r="T643" t="str">
        <f t="shared" ref="T643:T706" si="42">IF(S643&lt;0.5,"High Risk",IF(S643&lt;1,"Medium Risk","Low Risk"))</f>
        <v>High Risk</v>
      </c>
      <c r="U643" t="str">
        <f t="shared" ref="U643:U706" si="43">IF(T643="High Risk","Apply Discount / Promotion",
IF(T643="Medium Risk","Monitor Sales",
"Maintain Stock"))</f>
        <v>Apply Discount / Promotion</v>
      </c>
    </row>
    <row r="644" spans="1:21" x14ac:dyDescent="0.25">
      <c r="A644">
        <v>643</v>
      </c>
      <c r="B644" t="s">
        <v>87</v>
      </c>
      <c r="C644" t="s">
        <v>117</v>
      </c>
      <c r="D644" t="s">
        <v>123</v>
      </c>
      <c r="E644">
        <v>275</v>
      </c>
      <c r="F644">
        <v>248</v>
      </c>
      <c r="G644">
        <v>243</v>
      </c>
      <c r="H644">
        <v>4698.8</v>
      </c>
      <c r="I644">
        <v>3608.75</v>
      </c>
      <c r="J644">
        <v>116</v>
      </c>
      <c r="K644">
        <v>7</v>
      </c>
      <c r="L644" t="s">
        <v>186</v>
      </c>
      <c r="M644">
        <v>78</v>
      </c>
      <c r="N644">
        <v>4</v>
      </c>
      <c r="O644">
        <v>32</v>
      </c>
      <c r="P644" t="s">
        <v>216</v>
      </c>
      <c r="Q644" t="s">
        <v>219</v>
      </c>
      <c r="R644">
        <f t="shared" si="40"/>
        <v>5</v>
      </c>
      <c r="S644">
        <f t="shared" si="41"/>
        <v>0.90181818181818185</v>
      </c>
      <c r="T644" t="str">
        <f t="shared" si="42"/>
        <v>Medium Risk</v>
      </c>
      <c r="U644" t="str">
        <f t="shared" si="43"/>
        <v>Monitor Sales</v>
      </c>
    </row>
    <row r="645" spans="1:21" x14ac:dyDescent="0.25">
      <c r="A645">
        <v>644</v>
      </c>
      <c r="B645" t="s">
        <v>17</v>
      </c>
      <c r="C645" t="s">
        <v>116</v>
      </c>
      <c r="D645" t="s">
        <v>124</v>
      </c>
      <c r="E645">
        <v>419</v>
      </c>
      <c r="F645">
        <v>321</v>
      </c>
      <c r="G645">
        <v>288</v>
      </c>
      <c r="H645">
        <v>2853.39</v>
      </c>
      <c r="I645">
        <v>2224.59</v>
      </c>
      <c r="J645">
        <v>91</v>
      </c>
      <c r="K645">
        <v>14</v>
      </c>
      <c r="L645" t="s">
        <v>184</v>
      </c>
      <c r="M645">
        <v>298</v>
      </c>
      <c r="N645">
        <v>4</v>
      </c>
      <c r="O645">
        <v>2</v>
      </c>
      <c r="P645" t="s">
        <v>215</v>
      </c>
      <c r="Q645" t="s">
        <v>218</v>
      </c>
      <c r="R645">
        <f t="shared" si="40"/>
        <v>33</v>
      </c>
      <c r="S645">
        <f t="shared" si="41"/>
        <v>0.76610978520286399</v>
      </c>
      <c r="T645" t="str">
        <f t="shared" si="42"/>
        <v>Medium Risk</v>
      </c>
      <c r="U645" t="str">
        <f t="shared" si="43"/>
        <v>Monitor Sales</v>
      </c>
    </row>
    <row r="646" spans="1:21" x14ac:dyDescent="0.25">
      <c r="A646">
        <v>645</v>
      </c>
      <c r="B646" t="s">
        <v>36</v>
      </c>
      <c r="C646" t="s">
        <v>119</v>
      </c>
      <c r="D646" t="s">
        <v>122</v>
      </c>
      <c r="E646">
        <v>430</v>
      </c>
      <c r="F646">
        <v>188</v>
      </c>
      <c r="G646">
        <v>176</v>
      </c>
      <c r="H646">
        <v>4370.49</v>
      </c>
      <c r="I646">
        <v>2815.19</v>
      </c>
      <c r="J646">
        <v>112</v>
      </c>
      <c r="K646">
        <v>11</v>
      </c>
      <c r="L646" t="s">
        <v>180</v>
      </c>
      <c r="M646">
        <v>307</v>
      </c>
      <c r="N646">
        <v>2</v>
      </c>
      <c r="O646">
        <v>49</v>
      </c>
      <c r="P646" t="s">
        <v>215</v>
      </c>
      <c r="Q646" t="s">
        <v>219</v>
      </c>
      <c r="R646">
        <f t="shared" si="40"/>
        <v>12</v>
      </c>
      <c r="S646">
        <f t="shared" si="41"/>
        <v>0.43720930232558142</v>
      </c>
      <c r="T646" t="str">
        <f t="shared" si="42"/>
        <v>High Risk</v>
      </c>
      <c r="U646" t="str">
        <f t="shared" si="43"/>
        <v>Apply Discount / Promotion</v>
      </c>
    </row>
    <row r="647" spans="1:21" x14ac:dyDescent="0.25">
      <c r="A647">
        <v>646</v>
      </c>
      <c r="B647" t="s">
        <v>61</v>
      </c>
      <c r="C647" t="s">
        <v>120</v>
      </c>
      <c r="D647" t="s">
        <v>121</v>
      </c>
      <c r="E647">
        <v>109</v>
      </c>
      <c r="F647">
        <v>272</v>
      </c>
      <c r="G647">
        <v>234</v>
      </c>
      <c r="H647">
        <v>645.09</v>
      </c>
      <c r="I647">
        <v>470.56</v>
      </c>
      <c r="J647">
        <v>60</v>
      </c>
      <c r="K647">
        <v>8</v>
      </c>
      <c r="L647" t="s">
        <v>188</v>
      </c>
      <c r="M647">
        <v>294</v>
      </c>
      <c r="N647">
        <v>5</v>
      </c>
      <c r="O647">
        <v>40</v>
      </c>
      <c r="P647" t="s">
        <v>216</v>
      </c>
      <c r="Q647" t="s">
        <v>219</v>
      </c>
      <c r="R647">
        <f t="shared" si="40"/>
        <v>38</v>
      </c>
      <c r="S647">
        <f t="shared" si="41"/>
        <v>2.4954128440366974</v>
      </c>
      <c r="T647" t="str">
        <f t="shared" si="42"/>
        <v>Low Risk</v>
      </c>
      <c r="U647" t="str">
        <f t="shared" si="43"/>
        <v>Maintain Stock</v>
      </c>
    </row>
    <row r="648" spans="1:21" x14ac:dyDescent="0.25">
      <c r="A648">
        <v>647</v>
      </c>
      <c r="B648" t="s">
        <v>37</v>
      </c>
      <c r="C648" t="s">
        <v>116</v>
      </c>
      <c r="D648" t="s">
        <v>123</v>
      </c>
      <c r="E648">
        <v>498</v>
      </c>
      <c r="F648">
        <v>92</v>
      </c>
      <c r="G648">
        <v>74</v>
      </c>
      <c r="H648">
        <v>3626.51</v>
      </c>
      <c r="I648">
        <v>2899.59</v>
      </c>
      <c r="J648">
        <v>140</v>
      </c>
      <c r="K648">
        <v>7</v>
      </c>
      <c r="L648" t="s">
        <v>208</v>
      </c>
      <c r="M648">
        <v>48</v>
      </c>
      <c r="N648">
        <v>5</v>
      </c>
      <c r="O648">
        <v>34</v>
      </c>
      <c r="P648" t="s">
        <v>215</v>
      </c>
      <c r="Q648" t="s">
        <v>218</v>
      </c>
      <c r="R648">
        <f t="shared" si="40"/>
        <v>18</v>
      </c>
      <c r="S648">
        <f t="shared" si="41"/>
        <v>0.18473895582329317</v>
      </c>
      <c r="T648" t="str">
        <f t="shared" si="42"/>
        <v>High Risk</v>
      </c>
      <c r="U648" t="str">
        <f t="shared" si="43"/>
        <v>Apply Discount / Promotion</v>
      </c>
    </row>
    <row r="649" spans="1:21" x14ac:dyDescent="0.25">
      <c r="A649">
        <v>648</v>
      </c>
      <c r="B649" t="s">
        <v>50</v>
      </c>
      <c r="C649" t="s">
        <v>119</v>
      </c>
      <c r="D649" t="s">
        <v>123</v>
      </c>
      <c r="E649">
        <v>437</v>
      </c>
      <c r="F649">
        <v>333</v>
      </c>
      <c r="G649">
        <v>347</v>
      </c>
      <c r="H649">
        <v>1679.4</v>
      </c>
      <c r="I649">
        <v>1030.54</v>
      </c>
      <c r="J649">
        <v>61</v>
      </c>
      <c r="K649">
        <v>9</v>
      </c>
      <c r="L649" t="s">
        <v>168</v>
      </c>
      <c r="M649">
        <v>330</v>
      </c>
      <c r="N649">
        <v>1</v>
      </c>
      <c r="O649">
        <v>2</v>
      </c>
      <c r="P649" t="s">
        <v>215</v>
      </c>
      <c r="Q649" t="s">
        <v>217</v>
      </c>
      <c r="R649">
        <f t="shared" si="40"/>
        <v>-14</v>
      </c>
      <c r="S649">
        <f t="shared" si="41"/>
        <v>0.76201372997711669</v>
      </c>
      <c r="T649" t="str">
        <f t="shared" si="42"/>
        <v>Medium Risk</v>
      </c>
      <c r="U649" t="str">
        <f t="shared" si="43"/>
        <v>Monitor Sales</v>
      </c>
    </row>
    <row r="650" spans="1:21" x14ac:dyDescent="0.25">
      <c r="A650">
        <v>649</v>
      </c>
      <c r="B650" t="s">
        <v>31</v>
      </c>
      <c r="C650" t="s">
        <v>120</v>
      </c>
      <c r="D650" t="s">
        <v>124</v>
      </c>
      <c r="E650">
        <v>370</v>
      </c>
      <c r="F650">
        <v>277</v>
      </c>
      <c r="G650">
        <v>308</v>
      </c>
      <c r="H650">
        <v>2640.34</v>
      </c>
      <c r="I650">
        <v>1351.99</v>
      </c>
      <c r="J650">
        <v>54</v>
      </c>
      <c r="K650">
        <v>14</v>
      </c>
      <c r="L650" t="s">
        <v>153</v>
      </c>
      <c r="M650">
        <v>300</v>
      </c>
      <c r="N650">
        <v>3</v>
      </c>
      <c r="O650">
        <v>18</v>
      </c>
      <c r="P650" t="s">
        <v>216</v>
      </c>
      <c r="Q650" t="s">
        <v>218</v>
      </c>
      <c r="R650">
        <f t="shared" si="40"/>
        <v>-31</v>
      </c>
      <c r="S650">
        <f t="shared" si="41"/>
        <v>0.74864864864864866</v>
      </c>
      <c r="T650" t="str">
        <f t="shared" si="42"/>
        <v>Medium Risk</v>
      </c>
      <c r="U650" t="str">
        <f t="shared" si="43"/>
        <v>Monitor Sales</v>
      </c>
    </row>
    <row r="651" spans="1:21" x14ac:dyDescent="0.25">
      <c r="A651">
        <v>650</v>
      </c>
      <c r="B651" t="s">
        <v>81</v>
      </c>
      <c r="C651" t="s">
        <v>120</v>
      </c>
      <c r="D651" t="s">
        <v>121</v>
      </c>
      <c r="E651">
        <v>275</v>
      </c>
      <c r="F651">
        <v>215</v>
      </c>
      <c r="G651">
        <v>168</v>
      </c>
      <c r="H651">
        <v>4213.4799999999996</v>
      </c>
      <c r="I651">
        <v>2836.04</v>
      </c>
      <c r="J651">
        <v>147</v>
      </c>
      <c r="K651">
        <v>9</v>
      </c>
      <c r="L651" t="s">
        <v>204</v>
      </c>
      <c r="M651">
        <v>221</v>
      </c>
      <c r="N651">
        <v>1</v>
      </c>
      <c r="O651">
        <v>46</v>
      </c>
      <c r="P651" t="s">
        <v>215</v>
      </c>
      <c r="Q651" t="s">
        <v>218</v>
      </c>
      <c r="R651">
        <f t="shared" ref="R651:R714" si="44">F651-G651</f>
        <v>47</v>
      </c>
      <c r="S651">
        <f t="shared" si="41"/>
        <v>0.78181818181818186</v>
      </c>
      <c r="T651" t="str">
        <f t="shared" si="42"/>
        <v>Medium Risk</v>
      </c>
      <c r="U651" t="str">
        <f t="shared" si="43"/>
        <v>Monitor Sales</v>
      </c>
    </row>
    <row r="652" spans="1:21" x14ac:dyDescent="0.25">
      <c r="A652">
        <v>651</v>
      </c>
      <c r="B652" t="s">
        <v>96</v>
      </c>
      <c r="C652" t="s">
        <v>116</v>
      </c>
      <c r="D652" t="s">
        <v>121</v>
      </c>
      <c r="E652">
        <v>402</v>
      </c>
      <c r="F652">
        <v>223</v>
      </c>
      <c r="G652">
        <v>243</v>
      </c>
      <c r="H652">
        <v>1765.21</v>
      </c>
      <c r="I652">
        <v>1030.94</v>
      </c>
      <c r="J652">
        <v>127</v>
      </c>
      <c r="K652">
        <v>13</v>
      </c>
      <c r="L652" t="s">
        <v>125</v>
      </c>
      <c r="M652">
        <v>183</v>
      </c>
      <c r="N652">
        <v>1</v>
      </c>
      <c r="O652">
        <v>8</v>
      </c>
      <c r="P652" t="s">
        <v>215</v>
      </c>
      <c r="Q652" t="s">
        <v>217</v>
      </c>
      <c r="R652">
        <f t="shared" si="44"/>
        <v>-20</v>
      </c>
      <c r="S652">
        <f t="shared" si="41"/>
        <v>0.55472636815920395</v>
      </c>
      <c r="T652" t="str">
        <f t="shared" si="42"/>
        <v>Medium Risk</v>
      </c>
      <c r="U652" t="str">
        <f t="shared" si="43"/>
        <v>Monitor Sales</v>
      </c>
    </row>
    <row r="653" spans="1:21" x14ac:dyDescent="0.25">
      <c r="A653">
        <v>652</v>
      </c>
      <c r="B653" t="s">
        <v>77</v>
      </c>
      <c r="C653" t="s">
        <v>120</v>
      </c>
      <c r="D653" t="s">
        <v>122</v>
      </c>
      <c r="E653">
        <v>380</v>
      </c>
      <c r="F653">
        <v>125</v>
      </c>
      <c r="G653">
        <v>173</v>
      </c>
      <c r="H653">
        <v>2619.54</v>
      </c>
      <c r="I653">
        <v>1575.33</v>
      </c>
      <c r="J653">
        <v>66</v>
      </c>
      <c r="K653">
        <v>12</v>
      </c>
      <c r="L653" t="s">
        <v>167</v>
      </c>
      <c r="M653">
        <v>42</v>
      </c>
      <c r="N653">
        <v>3</v>
      </c>
      <c r="O653">
        <v>17</v>
      </c>
      <c r="P653" t="s">
        <v>216</v>
      </c>
      <c r="Q653" t="s">
        <v>217</v>
      </c>
      <c r="R653">
        <f t="shared" si="44"/>
        <v>-48</v>
      </c>
      <c r="S653">
        <f t="shared" si="41"/>
        <v>0.32894736842105265</v>
      </c>
      <c r="T653" t="str">
        <f t="shared" si="42"/>
        <v>High Risk</v>
      </c>
      <c r="U653" t="str">
        <f t="shared" si="43"/>
        <v>Apply Discount / Promotion</v>
      </c>
    </row>
    <row r="654" spans="1:21" x14ac:dyDescent="0.25">
      <c r="A654">
        <v>653</v>
      </c>
      <c r="B654" t="s">
        <v>58</v>
      </c>
      <c r="C654" t="s">
        <v>118</v>
      </c>
      <c r="D654" t="s">
        <v>122</v>
      </c>
      <c r="E654">
        <v>150</v>
      </c>
      <c r="F654">
        <v>134</v>
      </c>
      <c r="G654">
        <v>103</v>
      </c>
      <c r="H654">
        <v>4466.83</v>
      </c>
      <c r="I654">
        <v>3565.64</v>
      </c>
      <c r="J654">
        <v>97</v>
      </c>
      <c r="K654">
        <v>12</v>
      </c>
      <c r="L654" t="s">
        <v>179</v>
      </c>
      <c r="M654">
        <v>217</v>
      </c>
      <c r="N654">
        <v>2</v>
      </c>
      <c r="O654">
        <v>5</v>
      </c>
      <c r="P654" t="s">
        <v>215</v>
      </c>
      <c r="Q654" t="s">
        <v>217</v>
      </c>
      <c r="R654">
        <f t="shared" si="44"/>
        <v>31</v>
      </c>
      <c r="S654">
        <f t="shared" si="41"/>
        <v>0.89333333333333331</v>
      </c>
      <c r="T654" t="str">
        <f t="shared" si="42"/>
        <v>Medium Risk</v>
      </c>
      <c r="U654" t="str">
        <f t="shared" si="43"/>
        <v>Monitor Sales</v>
      </c>
    </row>
    <row r="655" spans="1:21" x14ac:dyDescent="0.25">
      <c r="A655">
        <v>654</v>
      </c>
      <c r="B655" t="s">
        <v>74</v>
      </c>
      <c r="C655" t="s">
        <v>117</v>
      </c>
      <c r="D655" t="s">
        <v>123</v>
      </c>
      <c r="E655">
        <v>122</v>
      </c>
      <c r="F655">
        <v>186</v>
      </c>
      <c r="G655">
        <v>212</v>
      </c>
      <c r="H655">
        <v>3121.05</v>
      </c>
      <c r="I655">
        <v>2312.4299999999998</v>
      </c>
      <c r="J655">
        <v>66</v>
      </c>
      <c r="K655">
        <v>5</v>
      </c>
      <c r="L655" t="s">
        <v>161</v>
      </c>
      <c r="M655">
        <v>158</v>
      </c>
      <c r="N655">
        <v>5</v>
      </c>
      <c r="O655">
        <v>42</v>
      </c>
      <c r="P655" t="s">
        <v>216</v>
      </c>
      <c r="Q655" t="s">
        <v>219</v>
      </c>
      <c r="R655">
        <f t="shared" si="44"/>
        <v>-26</v>
      </c>
      <c r="S655">
        <f t="shared" si="41"/>
        <v>1.5245901639344261</v>
      </c>
      <c r="T655" t="str">
        <f t="shared" si="42"/>
        <v>Low Risk</v>
      </c>
      <c r="U655" t="str">
        <f t="shared" si="43"/>
        <v>Maintain Stock</v>
      </c>
    </row>
    <row r="656" spans="1:21" x14ac:dyDescent="0.25">
      <c r="A656">
        <v>655</v>
      </c>
      <c r="B656" t="s">
        <v>88</v>
      </c>
      <c r="C656" t="s">
        <v>116</v>
      </c>
      <c r="D656" t="s">
        <v>122</v>
      </c>
      <c r="E656">
        <v>495</v>
      </c>
      <c r="F656">
        <v>265</v>
      </c>
      <c r="G656">
        <v>246</v>
      </c>
      <c r="H656">
        <v>1182.21</v>
      </c>
      <c r="I656">
        <v>858.71</v>
      </c>
      <c r="J656">
        <v>130</v>
      </c>
      <c r="K656">
        <v>6</v>
      </c>
      <c r="L656" t="s">
        <v>186</v>
      </c>
      <c r="M656">
        <v>139</v>
      </c>
      <c r="N656">
        <v>5</v>
      </c>
      <c r="O656">
        <v>47</v>
      </c>
      <c r="P656" t="s">
        <v>216</v>
      </c>
      <c r="Q656" t="s">
        <v>218</v>
      </c>
      <c r="R656">
        <f t="shared" si="44"/>
        <v>19</v>
      </c>
      <c r="S656">
        <f t="shared" si="41"/>
        <v>0.53535353535353536</v>
      </c>
      <c r="T656" t="str">
        <f t="shared" si="42"/>
        <v>Medium Risk</v>
      </c>
      <c r="U656" t="str">
        <f t="shared" si="43"/>
        <v>Monitor Sales</v>
      </c>
    </row>
    <row r="657" spans="1:21" x14ac:dyDescent="0.25">
      <c r="A657">
        <v>656</v>
      </c>
      <c r="B657" t="s">
        <v>42</v>
      </c>
      <c r="C657" t="s">
        <v>117</v>
      </c>
      <c r="D657" t="s">
        <v>122</v>
      </c>
      <c r="E657">
        <v>85</v>
      </c>
      <c r="F657">
        <v>259</v>
      </c>
      <c r="G657">
        <v>232</v>
      </c>
      <c r="H657">
        <v>3592.38</v>
      </c>
      <c r="I657">
        <v>2492.8000000000002</v>
      </c>
      <c r="J657">
        <v>139</v>
      </c>
      <c r="K657">
        <v>15</v>
      </c>
      <c r="L657" t="s">
        <v>139</v>
      </c>
      <c r="M657">
        <v>154</v>
      </c>
      <c r="N657">
        <v>2</v>
      </c>
      <c r="O657">
        <v>35</v>
      </c>
      <c r="P657" t="s">
        <v>216</v>
      </c>
      <c r="Q657" t="s">
        <v>217</v>
      </c>
      <c r="R657">
        <f t="shared" si="44"/>
        <v>27</v>
      </c>
      <c r="S657">
        <f t="shared" si="41"/>
        <v>3.0470588235294116</v>
      </c>
      <c r="T657" t="str">
        <f t="shared" si="42"/>
        <v>Low Risk</v>
      </c>
      <c r="U657" t="str">
        <f t="shared" si="43"/>
        <v>Maintain Stock</v>
      </c>
    </row>
    <row r="658" spans="1:21" x14ac:dyDescent="0.25">
      <c r="A658">
        <v>657</v>
      </c>
      <c r="B658" t="s">
        <v>48</v>
      </c>
      <c r="C658" t="s">
        <v>117</v>
      </c>
      <c r="D658" t="s">
        <v>121</v>
      </c>
      <c r="E658">
        <v>213</v>
      </c>
      <c r="F658">
        <v>434</v>
      </c>
      <c r="G658">
        <v>384</v>
      </c>
      <c r="H658">
        <v>2269.9</v>
      </c>
      <c r="I658">
        <v>1343.24</v>
      </c>
      <c r="J658">
        <v>134</v>
      </c>
      <c r="K658">
        <v>3</v>
      </c>
      <c r="L658" t="s">
        <v>179</v>
      </c>
      <c r="M658">
        <v>58</v>
      </c>
      <c r="N658">
        <v>2</v>
      </c>
      <c r="O658">
        <v>43</v>
      </c>
      <c r="P658" t="s">
        <v>216</v>
      </c>
      <c r="Q658" t="s">
        <v>219</v>
      </c>
      <c r="R658">
        <f t="shared" si="44"/>
        <v>50</v>
      </c>
      <c r="S658">
        <f t="shared" si="41"/>
        <v>2.0375586854460095</v>
      </c>
      <c r="T658" t="str">
        <f t="shared" si="42"/>
        <v>Low Risk</v>
      </c>
      <c r="U658" t="str">
        <f t="shared" si="43"/>
        <v>Maintain Stock</v>
      </c>
    </row>
    <row r="659" spans="1:21" x14ac:dyDescent="0.25">
      <c r="A659">
        <v>658</v>
      </c>
      <c r="B659" t="s">
        <v>66</v>
      </c>
      <c r="C659" t="s">
        <v>120</v>
      </c>
      <c r="D659" t="s">
        <v>122</v>
      </c>
      <c r="E659">
        <v>176</v>
      </c>
      <c r="F659">
        <v>90</v>
      </c>
      <c r="G659">
        <v>120</v>
      </c>
      <c r="H659">
        <v>4878.1899999999996</v>
      </c>
      <c r="I659">
        <v>2510.4</v>
      </c>
      <c r="J659">
        <v>55</v>
      </c>
      <c r="K659">
        <v>14</v>
      </c>
      <c r="L659" t="s">
        <v>187</v>
      </c>
      <c r="M659">
        <v>274</v>
      </c>
      <c r="N659">
        <v>3</v>
      </c>
      <c r="O659">
        <v>45</v>
      </c>
      <c r="P659" t="s">
        <v>216</v>
      </c>
      <c r="Q659" t="s">
        <v>217</v>
      </c>
      <c r="R659">
        <f t="shared" si="44"/>
        <v>-30</v>
      </c>
      <c r="S659">
        <f t="shared" si="41"/>
        <v>0.51136363636363635</v>
      </c>
      <c r="T659" t="str">
        <f t="shared" si="42"/>
        <v>Medium Risk</v>
      </c>
      <c r="U659" t="str">
        <f t="shared" si="43"/>
        <v>Monitor Sales</v>
      </c>
    </row>
    <row r="660" spans="1:21" x14ac:dyDescent="0.25">
      <c r="A660">
        <v>659</v>
      </c>
      <c r="B660" t="s">
        <v>18</v>
      </c>
      <c r="C660" t="s">
        <v>118</v>
      </c>
      <c r="D660" t="s">
        <v>123</v>
      </c>
      <c r="E660">
        <v>111</v>
      </c>
      <c r="F660">
        <v>159</v>
      </c>
      <c r="G660">
        <v>133</v>
      </c>
      <c r="H660">
        <v>535.23</v>
      </c>
      <c r="I660">
        <v>378.33</v>
      </c>
      <c r="J660">
        <v>102</v>
      </c>
      <c r="K660">
        <v>10</v>
      </c>
      <c r="L660" t="s">
        <v>130</v>
      </c>
      <c r="M660">
        <v>298</v>
      </c>
      <c r="N660">
        <v>3</v>
      </c>
      <c r="O660">
        <v>11</v>
      </c>
      <c r="P660" t="s">
        <v>215</v>
      </c>
      <c r="Q660" t="s">
        <v>217</v>
      </c>
      <c r="R660">
        <f t="shared" si="44"/>
        <v>26</v>
      </c>
      <c r="S660">
        <f t="shared" si="41"/>
        <v>1.4324324324324325</v>
      </c>
      <c r="T660" t="str">
        <f t="shared" si="42"/>
        <v>Low Risk</v>
      </c>
      <c r="U660" t="str">
        <f t="shared" si="43"/>
        <v>Maintain Stock</v>
      </c>
    </row>
    <row r="661" spans="1:21" x14ac:dyDescent="0.25">
      <c r="A661">
        <v>660</v>
      </c>
      <c r="B661" t="s">
        <v>79</v>
      </c>
      <c r="C661" t="s">
        <v>118</v>
      </c>
      <c r="D661" t="s">
        <v>121</v>
      </c>
      <c r="E661">
        <v>249</v>
      </c>
      <c r="F661">
        <v>421</v>
      </c>
      <c r="G661">
        <v>375</v>
      </c>
      <c r="H661">
        <v>3994.88</v>
      </c>
      <c r="I661">
        <v>3112.67</v>
      </c>
      <c r="J661">
        <v>97</v>
      </c>
      <c r="K661">
        <v>11</v>
      </c>
      <c r="L661" t="s">
        <v>155</v>
      </c>
      <c r="M661">
        <v>232</v>
      </c>
      <c r="N661">
        <v>2</v>
      </c>
      <c r="O661">
        <v>43</v>
      </c>
      <c r="P661" t="s">
        <v>215</v>
      </c>
      <c r="Q661" t="s">
        <v>218</v>
      </c>
      <c r="R661">
        <f t="shared" si="44"/>
        <v>46</v>
      </c>
      <c r="S661">
        <f t="shared" si="41"/>
        <v>1.6907630522088353</v>
      </c>
      <c r="T661" t="str">
        <f t="shared" si="42"/>
        <v>Low Risk</v>
      </c>
      <c r="U661" t="str">
        <f t="shared" si="43"/>
        <v>Maintain Stock</v>
      </c>
    </row>
    <row r="662" spans="1:21" x14ac:dyDescent="0.25">
      <c r="A662">
        <v>661</v>
      </c>
      <c r="B662" t="s">
        <v>113</v>
      </c>
      <c r="C662" t="s">
        <v>119</v>
      </c>
      <c r="D662" t="s">
        <v>123</v>
      </c>
      <c r="E662">
        <v>117</v>
      </c>
      <c r="F662">
        <v>275</v>
      </c>
      <c r="G662">
        <v>284</v>
      </c>
      <c r="H662">
        <v>1269.73</v>
      </c>
      <c r="I662">
        <v>803.54</v>
      </c>
      <c r="J662">
        <v>59</v>
      </c>
      <c r="K662">
        <v>2</v>
      </c>
      <c r="L662" t="s">
        <v>193</v>
      </c>
      <c r="M662">
        <v>132</v>
      </c>
      <c r="N662">
        <v>3</v>
      </c>
      <c r="O662">
        <v>24</v>
      </c>
      <c r="P662" t="s">
        <v>216</v>
      </c>
      <c r="Q662" t="s">
        <v>218</v>
      </c>
      <c r="R662">
        <f t="shared" si="44"/>
        <v>-9</v>
      </c>
      <c r="S662">
        <f t="shared" si="41"/>
        <v>2.3504273504273505</v>
      </c>
      <c r="T662" t="str">
        <f t="shared" si="42"/>
        <v>Low Risk</v>
      </c>
      <c r="U662" t="str">
        <f t="shared" si="43"/>
        <v>Maintain Stock</v>
      </c>
    </row>
    <row r="663" spans="1:21" x14ac:dyDescent="0.25">
      <c r="A663">
        <v>662</v>
      </c>
      <c r="B663" t="s">
        <v>113</v>
      </c>
      <c r="C663" t="s">
        <v>119</v>
      </c>
      <c r="D663" t="s">
        <v>124</v>
      </c>
      <c r="E663">
        <v>289</v>
      </c>
      <c r="F663">
        <v>353</v>
      </c>
      <c r="G663">
        <v>313</v>
      </c>
      <c r="H663">
        <v>2397.69</v>
      </c>
      <c r="I663">
        <v>1404.19</v>
      </c>
      <c r="J663">
        <v>119</v>
      </c>
      <c r="K663">
        <v>5</v>
      </c>
      <c r="L663" t="s">
        <v>140</v>
      </c>
      <c r="M663">
        <v>255</v>
      </c>
      <c r="N663">
        <v>4</v>
      </c>
      <c r="O663">
        <v>9</v>
      </c>
      <c r="P663" t="s">
        <v>216</v>
      </c>
      <c r="Q663" t="s">
        <v>217</v>
      </c>
      <c r="R663">
        <f t="shared" si="44"/>
        <v>40</v>
      </c>
      <c r="S663">
        <f t="shared" si="41"/>
        <v>1.2214532871972319</v>
      </c>
      <c r="T663" t="str">
        <f t="shared" si="42"/>
        <v>Low Risk</v>
      </c>
      <c r="U663" t="str">
        <f t="shared" si="43"/>
        <v>Maintain Stock</v>
      </c>
    </row>
    <row r="664" spans="1:21" x14ac:dyDescent="0.25">
      <c r="A664">
        <v>663</v>
      </c>
      <c r="B664" t="s">
        <v>33</v>
      </c>
      <c r="C664" t="s">
        <v>120</v>
      </c>
      <c r="D664" t="s">
        <v>124</v>
      </c>
      <c r="E664">
        <v>198</v>
      </c>
      <c r="F664">
        <v>157</v>
      </c>
      <c r="G664">
        <v>129</v>
      </c>
      <c r="H664">
        <v>1983.52</v>
      </c>
      <c r="I664">
        <v>1482.3</v>
      </c>
      <c r="J664">
        <v>102</v>
      </c>
      <c r="K664">
        <v>14</v>
      </c>
      <c r="L664" t="s">
        <v>137</v>
      </c>
      <c r="M664">
        <v>273</v>
      </c>
      <c r="N664">
        <v>4</v>
      </c>
      <c r="O664">
        <v>20</v>
      </c>
      <c r="P664" t="s">
        <v>216</v>
      </c>
      <c r="Q664" t="s">
        <v>217</v>
      </c>
      <c r="R664">
        <f t="shared" si="44"/>
        <v>28</v>
      </c>
      <c r="S664">
        <f t="shared" si="41"/>
        <v>0.79292929292929293</v>
      </c>
      <c r="T664" t="str">
        <f t="shared" si="42"/>
        <v>Medium Risk</v>
      </c>
      <c r="U664" t="str">
        <f t="shared" si="43"/>
        <v>Monitor Sales</v>
      </c>
    </row>
    <row r="665" spans="1:21" x14ac:dyDescent="0.25">
      <c r="A665">
        <v>664</v>
      </c>
      <c r="B665" t="s">
        <v>111</v>
      </c>
      <c r="C665" t="s">
        <v>118</v>
      </c>
      <c r="D665" t="s">
        <v>123</v>
      </c>
      <c r="E665">
        <v>385</v>
      </c>
      <c r="F665">
        <v>336</v>
      </c>
      <c r="G665">
        <v>318</v>
      </c>
      <c r="H665">
        <v>1845.36</v>
      </c>
      <c r="I665">
        <v>1446.73</v>
      </c>
      <c r="J665">
        <v>133</v>
      </c>
      <c r="K665">
        <v>9</v>
      </c>
      <c r="L665" t="s">
        <v>129</v>
      </c>
      <c r="M665">
        <v>173</v>
      </c>
      <c r="N665">
        <v>3</v>
      </c>
      <c r="O665">
        <v>12</v>
      </c>
      <c r="P665" t="s">
        <v>215</v>
      </c>
      <c r="Q665" t="s">
        <v>217</v>
      </c>
      <c r="R665">
        <f t="shared" si="44"/>
        <v>18</v>
      </c>
      <c r="S665">
        <f t="shared" si="41"/>
        <v>0.87272727272727268</v>
      </c>
      <c r="T665" t="str">
        <f t="shared" si="42"/>
        <v>Medium Risk</v>
      </c>
      <c r="U665" t="str">
        <f t="shared" si="43"/>
        <v>Monitor Sales</v>
      </c>
    </row>
    <row r="666" spans="1:21" x14ac:dyDescent="0.25">
      <c r="A666">
        <v>665</v>
      </c>
      <c r="B666" t="s">
        <v>80</v>
      </c>
      <c r="C666" t="s">
        <v>117</v>
      </c>
      <c r="D666" t="s">
        <v>123</v>
      </c>
      <c r="E666">
        <v>361</v>
      </c>
      <c r="F666">
        <v>155</v>
      </c>
      <c r="G666">
        <v>131</v>
      </c>
      <c r="H666">
        <v>542.5</v>
      </c>
      <c r="I666">
        <v>364.55</v>
      </c>
      <c r="J666">
        <v>95</v>
      </c>
      <c r="K666">
        <v>13</v>
      </c>
      <c r="L666" t="s">
        <v>177</v>
      </c>
      <c r="M666">
        <v>356</v>
      </c>
      <c r="N666">
        <v>1</v>
      </c>
      <c r="O666">
        <v>13</v>
      </c>
      <c r="P666" t="s">
        <v>215</v>
      </c>
      <c r="Q666" t="s">
        <v>217</v>
      </c>
      <c r="R666">
        <f t="shared" si="44"/>
        <v>24</v>
      </c>
      <c r="S666">
        <f t="shared" si="41"/>
        <v>0.4293628808864266</v>
      </c>
      <c r="T666" t="str">
        <f t="shared" si="42"/>
        <v>High Risk</v>
      </c>
      <c r="U666" t="str">
        <f t="shared" si="43"/>
        <v>Apply Discount / Promotion</v>
      </c>
    </row>
    <row r="667" spans="1:21" x14ac:dyDescent="0.25">
      <c r="A667">
        <v>666</v>
      </c>
      <c r="B667" t="s">
        <v>91</v>
      </c>
      <c r="C667" t="s">
        <v>120</v>
      </c>
      <c r="D667" t="s">
        <v>122</v>
      </c>
      <c r="E667">
        <v>427</v>
      </c>
      <c r="F667">
        <v>36</v>
      </c>
      <c r="G667">
        <v>54</v>
      </c>
      <c r="H667">
        <v>1338.44</v>
      </c>
      <c r="I667">
        <v>951.03</v>
      </c>
      <c r="J667">
        <v>149</v>
      </c>
      <c r="K667">
        <v>1</v>
      </c>
      <c r="L667" t="s">
        <v>167</v>
      </c>
      <c r="M667">
        <v>36</v>
      </c>
      <c r="N667">
        <v>5</v>
      </c>
      <c r="O667">
        <v>26</v>
      </c>
      <c r="P667" t="s">
        <v>215</v>
      </c>
      <c r="Q667" t="s">
        <v>217</v>
      </c>
      <c r="R667">
        <f t="shared" si="44"/>
        <v>-18</v>
      </c>
      <c r="S667">
        <f t="shared" si="41"/>
        <v>8.4309133489461355E-2</v>
      </c>
      <c r="T667" t="str">
        <f t="shared" si="42"/>
        <v>High Risk</v>
      </c>
      <c r="U667" t="str">
        <f t="shared" si="43"/>
        <v>Apply Discount / Promotion</v>
      </c>
    </row>
    <row r="668" spans="1:21" x14ac:dyDescent="0.25">
      <c r="A668">
        <v>667</v>
      </c>
      <c r="B668" t="s">
        <v>17</v>
      </c>
      <c r="C668" t="s">
        <v>119</v>
      </c>
      <c r="D668" t="s">
        <v>123</v>
      </c>
      <c r="E668">
        <v>78</v>
      </c>
      <c r="F668">
        <v>91</v>
      </c>
      <c r="G668">
        <v>125</v>
      </c>
      <c r="H668">
        <v>4345.8100000000004</v>
      </c>
      <c r="I668">
        <v>2313.98</v>
      </c>
      <c r="J668">
        <v>138</v>
      </c>
      <c r="K668">
        <v>14</v>
      </c>
      <c r="L668" t="s">
        <v>154</v>
      </c>
      <c r="M668">
        <v>309</v>
      </c>
      <c r="N668">
        <v>5</v>
      </c>
      <c r="O668">
        <v>44</v>
      </c>
      <c r="P668" t="s">
        <v>215</v>
      </c>
      <c r="Q668" t="s">
        <v>219</v>
      </c>
      <c r="R668">
        <f t="shared" si="44"/>
        <v>-34</v>
      </c>
      <c r="S668">
        <f t="shared" si="41"/>
        <v>1.1666666666666667</v>
      </c>
      <c r="T668" t="str">
        <f t="shared" si="42"/>
        <v>Low Risk</v>
      </c>
      <c r="U668" t="str">
        <f t="shared" si="43"/>
        <v>Maintain Stock</v>
      </c>
    </row>
    <row r="669" spans="1:21" x14ac:dyDescent="0.25">
      <c r="A669">
        <v>668</v>
      </c>
      <c r="B669" t="s">
        <v>89</v>
      </c>
      <c r="C669" t="s">
        <v>120</v>
      </c>
      <c r="D669" t="s">
        <v>121</v>
      </c>
      <c r="E669">
        <v>286</v>
      </c>
      <c r="F669">
        <v>121</v>
      </c>
      <c r="G669">
        <v>91</v>
      </c>
      <c r="H669">
        <v>4304.59</v>
      </c>
      <c r="I669">
        <v>2530.67</v>
      </c>
      <c r="J669">
        <v>66</v>
      </c>
      <c r="K669">
        <v>1</v>
      </c>
      <c r="L669" t="s">
        <v>164</v>
      </c>
      <c r="M669">
        <v>253</v>
      </c>
      <c r="N669">
        <v>3</v>
      </c>
      <c r="O669">
        <v>21</v>
      </c>
      <c r="P669" t="s">
        <v>216</v>
      </c>
      <c r="Q669" t="s">
        <v>217</v>
      </c>
      <c r="R669">
        <f t="shared" si="44"/>
        <v>30</v>
      </c>
      <c r="S669">
        <f t="shared" si="41"/>
        <v>0.42307692307692307</v>
      </c>
      <c r="T669" t="str">
        <f t="shared" si="42"/>
        <v>High Risk</v>
      </c>
      <c r="U669" t="str">
        <f t="shared" si="43"/>
        <v>Apply Discount / Promotion</v>
      </c>
    </row>
    <row r="670" spans="1:21" x14ac:dyDescent="0.25">
      <c r="A670">
        <v>669</v>
      </c>
      <c r="B670" t="s">
        <v>64</v>
      </c>
      <c r="C670" t="s">
        <v>118</v>
      </c>
      <c r="D670" t="s">
        <v>123</v>
      </c>
      <c r="E670">
        <v>159</v>
      </c>
      <c r="F670">
        <v>224</v>
      </c>
      <c r="G670">
        <v>274</v>
      </c>
      <c r="H670">
        <v>4124</v>
      </c>
      <c r="I670">
        <v>3150.69</v>
      </c>
      <c r="J670">
        <v>128</v>
      </c>
      <c r="K670">
        <v>2</v>
      </c>
      <c r="L670" t="s">
        <v>186</v>
      </c>
      <c r="M670">
        <v>168</v>
      </c>
      <c r="N670">
        <v>2</v>
      </c>
      <c r="O670">
        <v>36</v>
      </c>
      <c r="P670" t="s">
        <v>215</v>
      </c>
      <c r="Q670" t="s">
        <v>217</v>
      </c>
      <c r="R670">
        <f t="shared" si="44"/>
        <v>-50</v>
      </c>
      <c r="S670">
        <f t="shared" si="41"/>
        <v>1.4088050314465408</v>
      </c>
      <c r="T670" t="str">
        <f t="shared" si="42"/>
        <v>Low Risk</v>
      </c>
      <c r="U670" t="str">
        <f t="shared" si="43"/>
        <v>Maintain Stock</v>
      </c>
    </row>
    <row r="671" spans="1:21" x14ac:dyDescent="0.25">
      <c r="A671">
        <v>670</v>
      </c>
      <c r="B671" t="s">
        <v>50</v>
      </c>
      <c r="C671" t="s">
        <v>117</v>
      </c>
      <c r="D671" t="s">
        <v>121</v>
      </c>
      <c r="E671">
        <v>205</v>
      </c>
      <c r="F671">
        <v>86</v>
      </c>
      <c r="G671">
        <v>129</v>
      </c>
      <c r="H671">
        <v>758.7</v>
      </c>
      <c r="I671">
        <v>431.94</v>
      </c>
      <c r="J671">
        <v>82</v>
      </c>
      <c r="K671">
        <v>9</v>
      </c>
      <c r="L671" t="s">
        <v>191</v>
      </c>
      <c r="M671">
        <v>46</v>
      </c>
      <c r="N671">
        <v>3</v>
      </c>
      <c r="O671">
        <v>50</v>
      </c>
      <c r="P671" t="s">
        <v>216</v>
      </c>
      <c r="Q671" t="s">
        <v>218</v>
      </c>
      <c r="R671">
        <f t="shared" si="44"/>
        <v>-43</v>
      </c>
      <c r="S671">
        <f t="shared" si="41"/>
        <v>0.4195121951219512</v>
      </c>
      <c r="T671" t="str">
        <f t="shared" si="42"/>
        <v>High Risk</v>
      </c>
      <c r="U671" t="str">
        <f t="shared" si="43"/>
        <v>Apply Discount / Promotion</v>
      </c>
    </row>
    <row r="672" spans="1:21" x14ac:dyDescent="0.25">
      <c r="A672">
        <v>671</v>
      </c>
      <c r="B672" t="s">
        <v>110</v>
      </c>
      <c r="C672" t="s">
        <v>118</v>
      </c>
      <c r="D672" t="s">
        <v>121</v>
      </c>
      <c r="E672">
        <v>433</v>
      </c>
      <c r="F672">
        <v>139</v>
      </c>
      <c r="G672">
        <v>164</v>
      </c>
      <c r="H672">
        <v>2565.71</v>
      </c>
      <c r="I672">
        <v>1921.04</v>
      </c>
      <c r="J672">
        <v>51</v>
      </c>
      <c r="K672">
        <v>10</v>
      </c>
      <c r="L672" t="s">
        <v>137</v>
      </c>
      <c r="M672">
        <v>322</v>
      </c>
      <c r="N672">
        <v>5</v>
      </c>
      <c r="O672">
        <v>39</v>
      </c>
      <c r="P672" t="s">
        <v>216</v>
      </c>
      <c r="Q672" t="s">
        <v>217</v>
      </c>
      <c r="R672">
        <f t="shared" si="44"/>
        <v>-25</v>
      </c>
      <c r="S672">
        <f t="shared" si="41"/>
        <v>0.32101616628175522</v>
      </c>
      <c r="T672" t="str">
        <f t="shared" si="42"/>
        <v>High Risk</v>
      </c>
      <c r="U672" t="str">
        <f t="shared" si="43"/>
        <v>Apply Discount / Promotion</v>
      </c>
    </row>
    <row r="673" spans="1:21" x14ac:dyDescent="0.25">
      <c r="A673">
        <v>672</v>
      </c>
      <c r="B673" t="s">
        <v>39</v>
      </c>
      <c r="C673" t="s">
        <v>118</v>
      </c>
      <c r="D673" t="s">
        <v>123</v>
      </c>
      <c r="E673">
        <v>213</v>
      </c>
      <c r="F673">
        <v>11</v>
      </c>
      <c r="G673">
        <v>58</v>
      </c>
      <c r="H673">
        <v>772.5</v>
      </c>
      <c r="I673">
        <v>415.15</v>
      </c>
      <c r="J673">
        <v>46</v>
      </c>
      <c r="K673">
        <v>3</v>
      </c>
      <c r="L673" t="s">
        <v>153</v>
      </c>
      <c r="M673">
        <v>211</v>
      </c>
      <c r="N673">
        <v>3</v>
      </c>
      <c r="O673">
        <v>30</v>
      </c>
      <c r="P673" t="s">
        <v>215</v>
      </c>
      <c r="Q673" t="s">
        <v>219</v>
      </c>
      <c r="R673">
        <f t="shared" si="44"/>
        <v>-47</v>
      </c>
      <c r="S673">
        <f t="shared" si="41"/>
        <v>5.1643192488262914E-2</v>
      </c>
      <c r="T673" t="str">
        <f t="shared" si="42"/>
        <v>High Risk</v>
      </c>
      <c r="U673" t="str">
        <f t="shared" si="43"/>
        <v>Apply Discount / Promotion</v>
      </c>
    </row>
    <row r="674" spans="1:21" x14ac:dyDescent="0.25">
      <c r="A674">
        <v>673</v>
      </c>
      <c r="B674" t="s">
        <v>101</v>
      </c>
      <c r="C674" t="s">
        <v>116</v>
      </c>
      <c r="D674" t="s">
        <v>122</v>
      </c>
      <c r="E674">
        <v>419</v>
      </c>
      <c r="F674">
        <v>126</v>
      </c>
      <c r="G674">
        <v>89</v>
      </c>
      <c r="H674">
        <v>303.07</v>
      </c>
      <c r="I674">
        <v>196.72</v>
      </c>
      <c r="J674">
        <v>115</v>
      </c>
      <c r="K674">
        <v>2</v>
      </c>
      <c r="L674" t="s">
        <v>177</v>
      </c>
      <c r="M674">
        <v>364</v>
      </c>
      <c r="N674">
        <v>5</v>
      </c>
      <c r="O674">
        <v>42</v>
      </c>
      <c r="P674" t="s">
        <v>216</v>
      </c>
      <c r="Q674" t="s">
        <v>217</v>
      </c>
      <c r="R674">
        <f t="shared" si="44"/>
        <v>37</v>
      </c>
      <c r="S674">
        <f t="shared" si="41"/>
        <v>0.30071599045346065</v>
      </c>
      <c r="T674" t="str">
        <f t="shared" si="42"/>
        <v>High Risk</v>
      </c>
      <c r="U674" t="str">
        <f t="shared" si="43"/>
        <v>Apply Discount / Promotion</v>
      </c>
    </row>
    <row r="675" spans="1:21" x14ac:dyDescent="0.25">
      <c r="A675">
        <v>674</v>
      </c>
      <c r="B675" t="s">
        <v>105</v>
      </c>
      <c r="C675" t="s">
        <v>117</v>
      </c>
      <c r="D675" t="s">
        <v>124</v>
      </c>
      <c r="E675">
        <v>150</v>
      </c>
      <c r="F675">
        <v>123</v>
      </c>
      <c r="G675">
        <v>79</v>
      </c>
      <c r="H675">
        <v>3894.71</v>
      </c>
      <c r="I675">
        <v>2362.17</v>
      </c>
      <c r="J675">
        <v>30</v>
      </c>
      <c r="K675">
        <v>7</v>
      </c>
      <c r="L675" t="s">
        <v>162</v>
      </c>
      <c r="M675">
        <v>271</v>
      </c>
      <c r="N675">
        <v>3</v>
      </c>
      <c r="O675">
        <v>18</v>
      </c>
      <c r="P675" t="s">
        <v>216</v>
      </c>
      <c r="Q675" t="s">
        <v>217</v>
      </c>
      <c r="R675">
        <f t="shared" si="44"/>
        <v>44</v>
      </c>
      <c r="S675">
        <f t="shared" si="41"/>
        <v>0.82</v>
      </c>
      <c r="T675" t="str">
        <f t="shared" si="42"/>
        <v>Medium Risk</v>
      </c>
      <c r="U675" t="str">
        <f t="shared" si="43"/>
        <v>Monitor Sales</v>
      </c>
    </row>
    <row r="676" spans="1:21" x14ac:dyDescent="0.25">
      <c r="A676">
        <v>675</v>
      </c>
      <c r="B676" t="s">
        <v>32</v>
      </c>
      <c r="C676" t="s">
        <v>117</v>
      </c>
      <c r="D676" t="s">
        <v>123</v>
      </c>
      <c r="E676">
        <v>294</v>
      </c>
      <c r="F676">
        <v>271</v>
      </c>
      <c r="G676">
        <v>296</v>
      </c>
      <c r="H676">
        <v>831.76</v>
      </c>
      <c r="I676">
        <v>567.02</v>
      </c>
      <c r="J676">
        <v>73</v>
      </c>
      <c r="K676">
        <v>3</v>
      </c>
      <c r="L676" t="s">
        <v>136</v>
      </c>
      <c r="M676">
        <v>156</v>
      </c>
      <c r="N676">
        <v>1</v>
      </c>
      <c r="O676">
        <v>37</v>
      </c>
      <c r="P676" t="s">
        <v>215</v>
      </c>
      <c r="Q676" t="s">
        <v>217</v>
      </c>
      <c r="R676">
        <f t="shared" si="44"/>
        <v>-25</v>
      </c>
      <c r="S676">
        <f t="shared" si="41"/>
        <v>0.92176870748299322</v>
      </c>
      <c r="T676" t="str">
        <f t="shared" si="42"/>
        <v>Medium Risk</v>
      </c>
      <c r="U676" t="str">
        <f t="shared" si="43"/>
        <v>Monitor Sales</v>
      </c>
    </row>
    <row r="677" spans="1:21" x14ac:dyDescent="0.25">
      <c r="A677">
        <v>676</v>
      </c>
      <c r="B677" t="s">
        <v>98</v>
      </c>
      <c r="C677" t="s">
        <v>118</v>
      </c>
      <c r="D677" t="s">
        <v>124</v>
      </c>
      <c r="E677">
        <v>331</v>
      </c>
      <c r="F677">
        <v>85</v>
      </c>
      <c r="G677">
        <v>76</v>
      </c>
      <c r="H677">
        <v>3036.2</v>
      </c>
      <c r="I677">
        <v>2264.4</v>
      </c>
      <c r="J677">
        <v>60</v>
      </c>
      <c r="K677">
        <v>10</v>
      </c>
      <c r="L677" t="s">
        <v>178</v>
      </c>
      <c r="M677">
        <v>335</v>
      </c>
      <c r="N677">
        <v>3</v>
      </c>
      <c r="O677">
        <v>18</v>
      </c>
      <c r="P677" t="s">
        <v>216</v>
      </c>
      <c r="Q677" t="s">
        <v>217</v>
      </c>
      <c r="R677">
        <f t="shared" si="44"/>
        <v>9</v>
      </c>
      <c r="S677">
        <f t="shared" si="41"/>
        <v>0.25679758308157102</v>
      </c>
      <c r="T677" t="str">
        <f t="shared" si="42"/>
        <v>High Risk</v>
      </c>
      <c r="U677" t="str">
        <f t="shared" si="43"/>
        <v>Apply Discount / Promotion</v>
      </c>
    </row>
    <row r="678" spans="1:21" x14ac:dyDescent="0.25">
      <c r="A678">
        <v>677</v>
      </c>
      <c r="B678" t="s">
        <v>69</v>
      </c>
      <c r="C678" t="s">
        <v>116</v>
      </c>
      <c r="D678" t="s">
        <v>122</v>
      </c>
      <c r="E678">
        <v>202</v>
      </c>
      <c r="F678">
        <v>348</v>
      </c>
      <c r="G678">
        <v>319</v>
      </c>
      <c r="H678">
        <v>2790.78</v>
      </c>
      <c r="I678">
        <v>1730.46</v>
      </c>
      <c r="J678">
        <v>130</v>
      </c>
      <c r="K678">
        <v>7</v>
      </c>
      <c r="L678" t="s">
        <v>202</v>
      </c>
      <c r="M678">
        <v>206</v>
      </c>
      <c r="N678">
        <v>2</v>
      </c>
      <c r="O678">
        <v>30</v>
      </c>
      <c r="P678" t="s">
        <v>215</v>
      </c>
      <c r="Q678" t="s">
        <v>219</v>
      </c>
      <c r="R678">
        <f t="shared" si="44"/>
        <v>29</v>
      </c>
      <c r="S678">
        <f t="shared" si="41"/>
        <v>1.7227722772277227</v>
      </c>
      <c r="T678" t="str">
        <f t="shared" si="42"/>
        <v>Low Risk</v>
      </c>
      <c r="U678" t="str">
        <f t="shared" si="43"/>
        <v>Maintain Stock</v>
      </c>
    </row>
    <row r="679" spans="1:21" x14ac:dyDescent="0.25">
      <c r="A679">
        <v>678</v>
      </c>
      <c r="B679" t="s">
        <v>32</v>
      </c>
      <c r="C679" t="s">
        <v>117</v>
      </c>
      <c r="D679" t="s">
        <v>123</v>
      </c>
      <c r="E679">
        <v>347</v>
      </c>
      <c r="F679">
        <v>66</v>
      </c>
      <c r="G679">
        <v>112</v>
      </c>
      <c r="H679">
        <v>3032.49</v>
      </c>
      <c r="I679">
        <v>1832.45</v>
      </c>
      <c r="J679">
        <v>52</v>
      </c>
      <c r="K679">
        <v>10</v>
      </c>
      <c r="L679" t="s">
        <v>187</v>
      </c>
      <c r="M679">
        <v>318</v>
      </c>
      <c r="N679">
        <v>3</v>
      </c>
      <c r="O679">
        <v>44</v>
      </c>
      <c r="P679" t="s">
        <v>216</v>
      </c>
      <c r="Q679" t="s">
        <v>219</v>
      </c>
      <c r="R679">
        <f t="shared" si="44"/>
        <v>-46</v>
      </c>
      <c r="S679">
        <f t="shared" si="41"/>
        <v>0.19020172910662825</v>
      </c>
      <c r="T679" t="str">
        <f t="shared" si="42"/>
        <v>High Risk</v>
      </c>
      <c r="U679" t="str">
        <f t="shared" si="43"/>
        <v>Apply Discount / Promotion</v>
      </c>
    </row>
    <row r="680" spans="1:21" x14ac:dyDescent="0.25">
      <c r="A680">
        <v>679</v>
      </c>
      <c r="B680" t="s">
        <v>81</v>
      </c>
      <c r="C680" t="s">
        <v>118</v>
      </c>
      <c r="D680" t="s">
        <v>124</v>
      </c>
      <c r="E680">
        <v>325</v>
      </c>
      <c r="F680">
        <v>87</v>
      </c>
      <c r="G680">
        <v>42</v>
      </c>
      <c r="H680">
        <v>1255.5</v>
      </c>
      <c r="I680">
        <v>916.76</v>
      </c>
      <c r="J680">
        <v>68</v>
      </c>
      <c r="K680">
        <v>13</v>
      </c>
      <c r="L680" t="s">
        <v>148</v>
      </c>
      <c r="M680">
        <v>365</v>
      </c>
      <c r="N680">
        <v>2</v>
      </c>
      <c r="O680">
        <v>25</v>
      </c>
      <c r="P680" t="s">
        <v>216</v>
      </c>
      <c r="Q680" t="s">
        <v>217</v>
      </c>
      <c r="R680">
        <f t="shared" si="44"/>
        <v>45</v>
      </c>
      <c r="S680">
        <f t="shared" si="41"/>
        <v>0.26769230769230767</v>
      </c>
      <c r="T680" t="str">
        <f t="shared" si="42"/>
        <v>High Risk</v>
      </c>
      <c r="U680" t="str">
        <f t="shared" si="43"/>
        <v>Apply Discount / Promotion</v>
      </c>
    </row>
    <row r="681" spans="1:21" x14ac:dyDescent="0.25">
      <c r="A681">
        <v>680</v>
      </c>
      <c r="B681" t="s">
        <v>23</v>
      </c>
      <c r="C681" t="s">
        <v>117</v>
      </c>
      <c r="D681" t="s">
        <v>121</v>
      </c>
      <c r="E681">
        <v>494</v>
      </c>
      <c r="F681">
        <v>98</v>
      </c>
      <c r="G681">
        <v>110</v>
      </c>
      <c r="H681">
        <v>2912.78</v>
      </c>
      <c r="I681">
        <v>2224.42</v>
      </c>
      <c r="J681">
        <v>74</v>
      </c>
      <c r="K681">
        <v>4</v>
      </c>
      <c r="L681" t="s">
        <v>204</v>
      </c>
      <c r="M681">
        <v>53</v>
      </c>
      <c r="N681">
        <v>2</v>
      </c>
      <c r="O681">
        <v>21</v>
      </c>
      <c r="P681" t="s">
        <v>216</v>
      </c>
      <c r="Q681" t="s">
        <v>218</v>
      </c>
      <c r="R681">
        <f t="shared" si="44"/>
        <v>-12</v>
      </c>
      <c r="S681">
        <f t="shared" si="41"/>
        <v>0.19838056680161945</v>
      </c>
      <c r="T681" t="str">
        <f t="shared" si="42"/>
        <v>High Risk</v>
      </c>
      <c r="U681" t="str">
        <f t="shared" si="43"/>
        <v>Apply Discount / Promotion</v>
      </c>
    </row>
    <row r="682" spans="1:21" x14ac:dyDescent="0.25">
      <c r="A682">
        <v>681</v>
      </c>
      <c r="B682" t="s">
        <v>82</v>
      </c>
      <c r="C682" t="s">
        <v>119</v>
      </c>
      <c r="D682" t="s">
        <v>123</v>
      </c>
      <c r="E682">
        <v>106</v>
      </c>
      <c r="F682">
        <v>274</v>
      </c>
      <c r="G682">
        <v>312</v>
      </c>
      <c r="H682">
        <v>993.65</v>
      </c>
      <c r="I682">
        <v>506.8</v>
      </c>
      <c r="J682">
        <v>59</v>
      </c>
      <c r="K682">
        <v>14</v>
      </c>
      <c r="L682" t="s">
        <v>187</v>
      </c>
      <c r="M682">
        <v>72</v>
      </c>
      <c r="N682">
        <v>4</v>
      </c>
      <c r="O682">
        <v>24</v>
      </c>
      <c r="P682" t="s">
        <v>216</v>
      </c>
      <c r="Q682" t="s">
        <v>219</v>
      </c>
      <c r="R682">
        <f t="shared" si="44"/>
        <v>-38</v>
      </c>
      <c r="S682">
        <f t="shared" si="41"/>
        <v>2.5849056603773586</v>
      </c>
      <c r="T682" t="str">
        <f t="shared" si="42"/>
        <v>Low Risk</v>
      </c>
      <c r="U682" t="str">
        <f t="shared" si="43"/>
        <v>Maintain Stock</v>
      </c>
    </row>
    <row r="683" spans="1:21" x14ac:dyDescent="0.25">
      <c r="A683">
        <v>682</v>
      </c>
      <c r="B683" t="s">
        <v>95</v>
      </c>
      <c r="C683" t="s">
        <v>117</v>
      </c>
      <c r="D683" t="s">
        <v>124</v>
      </c>
      <c r="E683">
        <v>368</v>
      </c>
      <c r="F683">
        <v>74</v>
      </c>
      <c r="G683">
        <v>87</v>
      </c>
      <c r="H683">
        <v>240.35</v>
      </c>
      <c r="I683">
        <v>159.31</v>
      </c>
      <c r="J683">
        <v>113</v>
      </c>
      <c r="K683">
        <v>5</v>
      </c>
      <c r="L683" t="s">
        <v>135</v>
      </c>
      <c r="M683">
        <v>239</v>
      </c>
      <c r="N683">
        <v>1</v>
      </c>
      <c r="O683">
        <v>35</v>
      </c>
      <c r="P683" t="s">
        <v>216</v>
      </c>
      <c r="Q683" t="s">
        <v>217</v>
      </c>
      <c r="R683">
        <f t="shared" si="44"/>
        <v>-13</v>
      </c>
      <c r="S683">
        <f t="shared" si="41"/>
        <v>0.20108695652173914</v>
      </c>
      <c r="T683" t="str">
        <f t="shared" si="42"/>
        <v>High Risk</v>
      </c>
      <c r="U683" t="str">
        <f t="shared" si="43"/>
        <v>Apply Discount / Promotion</v>
      </c>
    </row>
    <row r="684" spans="1:21" x14ac:dyDescent="0.25">
      <c r="A684">
        <v>683</v>
      </c>
      <c r="B684" t="s">
        <v>46</v>
      </c>
      <c r="C684" t="s">
        <v>120</v>
      </c>
      <c r="D684" t="s">
        <v>124</v>
      </c>
      <c r="E684">
        <v>188</v>
      </c>
      <c r="F684">
        <v>94</v>
      </c>
      <c r="G684">
        <v>65</v>
      </c>
      <c r="H684">
        <v>856.76</v>
      </c>
      <c r="I684">
        <v>574.83000000000004</v>
      </c>
      <c r="J684">
        <v>105</v>
      </c>
      <c r="K684">
        <v>8</v>
      </c>
      <c r="L684" t="s">
        <v>209</v>
      </c>
      <c r="M684">
        <v>301</v>
      </c>
      <c r="N684">
        <v>3</v>
      </c>
      <c r="O684">
        <v>5</v>
      </c>
      <c r="P684" t="s">
        <v>216</v>
      </c>
      <c r="Q684" t="s">
        <v>219</v>
      </c>
      <c r="R684">
        <f t="shared" si="44"/>
        <v>29</v>
      </c>
      <c r="S684">
        <f t="shared" si="41"/>
        <v>0.5</v>
      </c>
      <c r="T684" t="str">
        <f t="shared" si="42"/>
        <v>Medium Risk</v>
      </c>
      <c r="U684" t="str">
        <f t="shared" si="43"/>
        <v>Monitor Sales</v>
      </c>
    </row>
    <row r="685" spans="1:21" x14ac:dyDescent="0.25">
      <c r="A685">
        <v>684</v>
      </c>
      <c r="B685" t="s">
        <v>67</v>
      </c>
      <c r="C685" t="s">
        <v>119</v>
      </c>
      <c r="D685" t="s">
        <v>124</v>
      </c>
      <c r="E685">
        <v>339</v>
      </c>
      <c r="F685">
        <v>335</v>
      </c>
      <c r="G685">
        <v>290</v>
      </c>
      <c r="H685">
        <v>3023.27</v>
      </c>
      <c r="I685">
        <v>1819.55</v>
      </c>
      <c r="J685">
        <v>112</v>
      </c>
      <c r="K685">
        <v>13</v>
      </c>
      <c r="L685" t="s">
        <v>163</v>
      </c>
      <c r="M685">
        <v>229</v>
      </c>
      <c r="N685">
        <v>2</v>
      </c>
      <c r="O685">
        <v>33</v>
      </c>
      <c r="P685" t="s">
        <v>216</v>
      </c>
      <c r="Q685" t="s">
        <v>219</v>
      </c>
      <c r="R685">
        <f t="shared" si="44"/>
        <v>45</v>
      </c>
      <c r="S685">
        <f t="shared" si="41"/>
        <v>0.98820058997050142</v>
      </c>
      <c r="T685" t="str">
        <f t="shared" si="42"/>
        <v>Medium Risk</v>
      </c>
      <c r="U685" t="str">
        <f t="shared" si="43"/>
        <v>Monitor Sales</v>
      </c>
    </row>
    <row r="686" spans="1:21" x14ac:dyDescent="0.25">
      <c r="A686">
        <v>685</v>
      </c>
      <c r="B686" t="s">
        <v>65</v>
      </c>
      <c r="C686" t="s">
        <v>118</v>
      </c>
      <c r="D686" t="s">
        <v>123</v>
      </c>
      <c r="E686">
        <v>112</v>
      </c>
      <c r="F686">
        <v>190</v>
      </c>
      <c r="G686">
        <v>178</v>
      </c>
      <c r="H686">
        <v>4370.78</v>
      </c>
      <c r="I686">
        <v>2804.46</v>
      </c>
      <c r="J686">
        <v>117</v>
      </c>
      <c r="K686">
        <v>6</v>
      </c>
      <c r="L686" t="s">
        <v>196</v>
      </c>
      <c r="M686">
        <v>144</v>
      </c>
      <c r="N686">
        <v>5</v>
      </c>
      <c r="O686">
        <v>23</v>
      </c>
      <c r="P686" t="s">
        <v>215</v>
      </c>
      <c r="Q686" t="s">
        <v>219</v>
      </c>
      <c r="R686">
        <f t="shared" si="44"/>
        <v>12</v>
      </c>
      <c r="S686">
        <f t="shared" si="41"/>
        <v>1.6964285714285714</v>
      </c>
      <c r="T686" t="str">
        <f t="shared" si="42"/>
        <v>Low Risk</v>
      </c>
      <c r="U686" t="str">
        <f t="shared" si="43"/>
        <v>Maintain Stock</v>
      </c>
    </row>
    <row r="687" spans="1:21" x14ac:dyDescent="0.25">
      <c r="A687">
        <v>686</v>
      </c>
      <c r="B687" t="s">
        <v>63</v>
      </c>
      <c r="C687" t="s">
        <v>120</v>
      </c>
      <c r="D687" t="s">
        <v>123</v>
      </c>
      <c r="E687">
        <v>400</v>
      </c>
      <c r="F687">
        <v>299</v>
      </c>
      <c r="G687">
        <v>273</v>
      </c>
      <c r="H687">
        <v>4707.76</v>
      </c>
      <c r="I687">
        <v>2666.73</v>
      </c>
      <c r="J687">
        <v>54</v>
      </c>
      <c r="K687">
        <v>10</v>
      </c>
      <c r="L687" t="s">
        <v>173</v>
      </c>
      <c r="M687">
        <v>77</v>
      </c>
      <c r="N687">
        <v>1</v>
      </c>
      <c r="O687">
        <v>50</v>
      </c>
      <c r="P687" t="s">
        <v>215</v>
      </c>
      <c r="Q687" t="s">
        <v>219</v>
      </c>
      <c r="R687">
        <f t="shared" si="44"/>
        <v>26</v>
      </c>
      <c r="S687">
        <f t="shared" si="41"/>
        <v>0.74750000000000005</v>
      </c>
      <c r="T687" t="str">
        <f t="shared" si="42"/>
        <v>Medium Risk</v>
      </c>
      <c r="U687" t="str">
        <f t="shared" si="43"/>
        <v>Monitor Sales</v>
      </c>
    </row>
    <row r="688" spans="1:21" x14ac:dyDescent="0.25">
      <c r="A688">
        <v>687</v>
      </c>
      <c r="B688" t="s">
        <v>89</v>
      </c>
      <c r="C688" t="s">
        <v>116</v>
      </c>
      <c r="D688" t="s">
        <v>123</v>
      </c>
      <c r="E688">
        <v>149</v>
      </c>
      <c r="F688">
        <v>245</v>
      </c>
      <c r="G688">
        <v>267</v>
      </c>
      <c r="H688">
        <v>1626.77</v>
      </c>
      <c r="I688">
        <v>1198.6199999999999</v>
      </c>
      <c r="J688">
        <v>121</v>
      </c>
      <c r="K688">
        <v>6</v>
      </c>
      <c r="L688" t="s">
        <v>146</v>
      </c>
      <c r="M688">
        <v>130</v>
      </c>
      <c r="N688">
        <v>1</v>
      </c>
      <c r="O688">
        <v>49</v>
      </c>
      <c r="P688" t="s">
        <v>215</v>
      </c>
      <c r="Q688" t="s">
        <v>218</v>
      </c>
      <c r="R688">
        <f t="shared" si="44"/>
        <v>-22</v>
      </c>
      <c r="S688">
        <f t="shared" si="41"/>
        <v>1.6442953020134228</v>
      </c>
      <c r="T688" t="str">
        <f t="shared" si="42"/>
        <v>Low Risk</v>
      </c>
      <c r="U688" t="str">
        <f t="shared" si="43"/>
        <v>Maintain Stock</v>
      </c>
    </row>
    <row r="689" spans="1:21" x14ac:dyDescent="0.25">
      <c r="A689">
        <v>688</v>
      </c>
      <c r="B689" t="s">
        <v>66</v>
      </c>
      <c r="C689" t="s">
        <v>120</v>
      </c>
      <c r="D689" t="s">
        <v>123</v>
      </c>
      <c r="E689">
        <v>88</v>
      </c>
      <c r="F689">
        <v>73</v>
      </c>
      <c r="G689">
        <v>107</v>
      </c>
      <c r="H689">
        <v>3565.05</v>
      </c>
      <c r="I689">
        <v>2450.9299999999998</v>
      </c>
      <c r="J689">
        <v>57</v>
      </c>
      <c r="K689">
        <v>15</v>
      </c>
      <c r="L689" t="s">
        <v>130</v>
      </c>
      <c r="M689">
        <v>196</v>
      </c>
      <c r="N689">
        <v>2</v>
      </c>
      <c r="O689">
        <v>24</v>
      </c>
      <c r="P689" t="s">
        <v>215</v>
      </c>
      <c r="Q689" t="s">
        <v>218</v>
      </c>
      <c r="R689">
        <f t="shared" si="44"/>
        <v>-34</v>
      </c>
      <c r="S689">
        <f t="shared" si="41"/>
        <v>0.82954545454545459</v>
      </c>
      <c r="T689" t="str">
        <f t="shared" si="42"/>
        <v>Medium Risk</v>
      </c>
      <c r="U689" t="str">
        <f t="shared" si="43"/>
        <v>Monitor Sales</v>
      </c>
    </row>
    <row r="690" spans="1:21" x14ac:dyDescent="0.25">
      <c r="A690">
        <v>689</v>
      </c>
      <c r="B690" t="s">
        <v>49</v>
      </c>
      <c r="C690" t="s">
        <v>120</v>
      </c>
      <c r="D690" t="s">
        <v>124</v>
      </c>
      <c r="E690">
        <v>326</v>
      </c>
      <c r="F690">
        <v>143</v>
      </c>
      <c r="G690">
        <v>127</v>
      </c>
      <c r="H690">
        <v>2093.89</v>
      </c>
      <c r="I690">
        <v>1311.78</v>
      </c>
      <c r="J690">
        <v>115</v>
      </c>
      <c r="K690">
        <v>5</v>
      </c>
      <c r="L690" t="s">
        <v>185</v>
      </c>
      <c r="M690">
        <v>216</v>
      </c>
      <c r="N690">
        <v>1</v>
      </c>
      <c r="O690">
        <v>7</v>
      </c>
      <c r="P690" t="s">
        <v>215</v>
      </c>
      <c r="Q690" t="s">
        <v>219</v>
      </c>
      <c r="R690">
        <f t="shared" si="44"/>
        <v>16</v>
      </c>
      <c r="S690">
        <f t="shared" si="41"/>
        <v>0.43865030674846628</v>
      </c>
      <c r="T690" t="str">
        <f t="shared" si="42"/>
        <v>High Risk</v>
      </c>
      <c r="U690" t="str">
        <f t="shared" si="43"/>
        <v>Apply Discount / Promotion</v>
      </c>
    </row>
    <row r="691" spans="1:21" x14ac:dyDescent="0.25">
      <c r="A691">
        <v>690</v>
      </c>
      <c r="B691" t="s">
        <v>16</v>
      </c>
      <c r="C691" t="s">
        <v>116</v>
      </c>
      <c r="D691" t="s">
        <v>122</v>
      </c>
      <c r="E691">
        <v>92</v>
      </c>
      <c r="F691">
        <v>208</v>
      </c>
      <c r="G691">
        <v>255</v>
      </c>
      <c r="H691">
        <v>3703.71</v>
      </c>
      <c r="I691">
        <v>2080.67</v>
      </c>
      <c r="J691">
        <v>46</v>
      </c>
      <c r="K691">
        <v>4</v>
      </c>
      <c r="L691" t="s">
        <v>179</v>
      </c>
      <c r="M691">
        <v>337</v>
      </c>
      <c r="N691">
        <v>2</v>
      </c>
      <c r="O691">
        <v>27</v>
      </c>
      <c r="P691" t="s">
        <v>216</v>
      </c>
      <c r="Q691" t="s">
        <v>217</v>
      </c>
      <c r="R691">
        <f t="shared" si="44"/>
        <v>-47</v>
      </c>
      <c r="S691">
        <f t="shared" si="41"/>
        <v>2.2608695652173911</v>
      </c>
      <c r="T691" t="str">
        <f t="shared" si="42"/>
        <v>Low Risk</v>
      </c>
      <c r="U691" t="str">
        <f t="shared" si="43"/>
        <v>Maintain Stock</v>
      </c>
    </row>
    <row r="692" spans="1:21" x14ac:dyDescent="0.25">
      <c r="A692">
        <v>691</v>
      </c>
      <c r="B692" t="s">
        <v>115</v>
      </c>
      <c r="C692" t="s">
        <v>116</v>
      </c>
      <c r="D692" t="s">
        <v>122</v>
      </c>
      <c r="E692">
        <v>60</v>
      </c>
      <c r="F692">
        <v>174</v>
      </c>
      <c r="G692">
        <v>178</v>
      </c>
      <c r="H692">
        <v>2607.0300000000002</v>
      </c>
      <c r="I692">
        <v>1655.32</v>
      </c>
      <c r="J692">
        <v>116</v>
      </c>
      <c r="K692">
        <v>1</v>
      </c>
      <c r="L692" t="s">
        <v>207</v>
      </c>
      <c r="M692">
        <v>149</v>
      </c>
      <c r="N692">
        <v>1</v>
      </c>
      <c r="O692">
        <v>10</v>
      </c>
      <c r="P692" t="s">
        <v>216</v>
      </c>
      <c r="Q692" t="s">
        <v>219</v>
      </c>
      <c r="R692">
        <f t="shared" si="44"/>
        <v>-4</v>
      </c>
      <c r="S692">
        <f t="shared" si="41"/>
        <v>2.9</v>
      </c>
      <c r="T692" t="str">
        <f t="shared" si="42"/>
        <v>Low Risk</v>
      </c>
      <c r="U692" t="str">
        <f t="shared" si="43"/>
        <v>Maintain Stock</v>
      </c>
    </row>
    <row r="693" spans="1:21" x14ac:dyDescent="0.25">
      <c r="A693">
        <v>692</v>
      </c>
      <c r="B693" t="s">
        <v>112</v>
      </c>
      <c r="C693" t="s">
        <v>116</v>
      </c>
      <c r="D693" t="s">
        <v>122</v>
      </c>
      <c r="E693">
        <v>246</v>
      </c>
      <c r="F693">
        <v>16</v>
      </c>
      <c r="G693">
        <v>26</v>
      </c>
      <c r="H693">
        <v>4642.42</v>
      </c>
      <c r="I693">
        <v>2911.5</v>
      </c>
      <c r="J693">
        <v>110</v>
      </c>
      <c r="K693">
        <v>11</v>
      </c>
      <c r="L693" t="s">
        <v>154</v>
      </c>
      <c r="M693">
        <v>348</v>
      </c>
      <c r="N693">
        <v>3</v>
      </c>
      <c r="O693">
        <v>22</v>
      </c>
      <c r="P693" t="s">
        <v>215</v>
      </c>
      <c r="Q693" t="s">
        <v>219</v>
      </c>
      <c r="R693">
        <f t="shared" si="44"/>
        <v>-10</v>
      </c>
      <c r="S693">
        <f t="shared" si="41"/>
        <v>6.5040650406504072E-2</v>
      </c>
      <c r="T693" t="str">
        <f t="shared" si="42"/>
        <v>High Risk</v>
      </c>
      <c r="U693" t="str">
        <f t="shared" si="43"/>
        <v>Apply Discount / Promotion</v>
      </c>
    </row>
    <row r="694" spans="1:21" x14ac:dyDescent="0.25">
      <c r="A694">
        <v>693</v>
      </c>
      <c r="B694" t="s">
        <v>60</v>
      </c>
      <c r="C694" t="s">
        <v>116</v>
      </c>
      <c r="D694" t="s">
        <v>124</v>
      </c>
      <c r="E694">
        <v>233</v>
      </c>
      <c r="F694">
        <v>295</v>
      </c>
      <c r="G694">
        <v>305</v>
      </c>
      <c r="H694">
        <v>2008.51</v>
      </c>
      <c r="I694">
        <v>1583.85</v>
      </c>
      <c r="J694">
        <v>95</v>
      </c>
      <c r="K694">
        <v>6</v>
      </c>
      <c r="L694" t="s">
        <v>161</v>
      </c>
      <c r="M694">
        <v>187</v>
      </c>
      <c r="N694">
        <v>1</v>
      </c>
      <c r="O694">
        <v>47</v>
      </c>
      <c r="P694" t="s">
        <v>216</v>
      </c>
      <c r="Q694" t="s">
        <v>217</v>
      </c>
      <c r="R694">
        <f t="shared" si="44"/>
        <v>-10</v>
      </c>
      <c r="S694">
        <f t="shared" si="41"/>
        <v>1.2660944206008584</v>
      </c>
      <c r="T694" t="str">
        <f t="shared" si="42"/>
        <v>Low Risk</v>
      </c>
      <c r="U694" t="str">
        <f t="shared" si="43"/>
        <v>Maintain Stock</v>
      </c>
    </row>
    <row r="695" spans="1:21" x14ac:dyDescent="0.25">
      <c r="A695">
        <v>694</v>
      </c>
      <c r="B695" t="s">
        <v>109</v>
      </c>
      <c r="C695" t="s">
        <v>119</v>
      </c>
      <c r="D695" t="s">
        <v>123</v>
      </c>
      <c r="E695">
        <v>98</v>
      </c>
      <c r="F695">
        <v>431</v>
      </c>
      <c r="G695">
        <v>384</v>
      </c>
      <c r="H695">
        <v>2600.34</v>
      </c>
      <c r="I695">
        <v>1856.55</v>
      </c>
      <c r="J695">
        <v>146</v>
      </c>
      <c r="K695">
        <v>11</v>
      </c>
      <c r="L695" t="s">
        <v>136</v>
      </c>
      <c r="M695">
        <v>205</v>
      </c>
      <c r="N695">
        <v>1</v>
      </c>
      <c r="O695">
        <v>22</v>
      </c>
      <c r="P695" t="s">
        <v>215</v>
      </c>
      <c r="Q695" t="s">
        <v>219</v>
      </c>
      <c r="R695">
        <f t="shared" si="44"/>
        <v>47</v>
      </c>
      <c r="S695">
        <f t="shared" si="41"/>
        <v>4.3979591836734695</v>
      </c>
      <c r="T695" t="str">
        <f t="shared" si="42"/>
        <v>Low Risk</v>
      </c>
      <c r="U695" t="str">
        <f t="shared" si="43"/>
        <v>Maintain Stock</v>
      </c>
    </row>
    <row r="696" spans="1:21" x14ac:dyDescent="0.25">
      <c r="A696">
        <v>695</v>
      </c>
      <c r="B696" t="s">
        <v>75</v>
      </c>
      <c r="C696" t="s">
        <v>118</v>
      </c>
      <c r="D696" t="s">
        <v>124</v>
      </c>
      <c r="E696">
        <v>175</v>
      </c>
      <c r="F696">
        <v>182</v>
      </c>
      <c r="G696">
        <v>184</v>
      </c>
      <c r="H696">
        <v>2604.42</v>
      </c>
      <c r="I696">
        <v>1699.1</v>
      </c>
      <c r="J696">
        <v>147</v>
      </c>
      <c r="K696">
        <v>2</v>
      </c>
      <c r="L696" t="s">
        <v>164</v>
      </c>
      <c r="M696">
        <v>75</v>
      </c>
      <c r="N696">
        <v>4</v>
      </c>
      <c r="O696">
        <v>24</v>
      </c>
      <c r="P696" t="s">
        <v>216</v>
      </c>
      <c r="Q696" t="s">
        <v>219</v>
      </c>
      <c r="R696">
        <f t="shared" si="44"/>
        <v>-2</v>
      </c>
      <c r="S696">
        <f t="shared" si="41"/>
        <v>1.04</v>
      </c>
      <c r="T696" t="str">
        <f t="shared" si="42"/>
        <v>Low Risk</v>
      </c>
      <c r="U696" t="str">
        <f t="shared" si="43"/>
        <v>Maintain Stock</v>
      </c>
    </row>
    <row r="697" spans="1:21" x14ac:dyDescent="0.25">
      <c r="A697">
        <v>696</v>
      </c>
      <c r="B697" t="s">
        <v>105</v>
      </c>
      <c r="C697" t="s">
        <v>120</v>
      </c>
      <c r="D697" t="s">
        <v>122</v>
      </c>
      <c r="E697">
        <v>386</v>
      </c>
      <c r="F697">
        <v>299</v>
      </c>
      <c r="G697">
        <v>349</v>
      </c>
      <c r="H697">
        <v>1171.02</v>
      </c>
      <c r="I697">
        <v>588.23</v>
      </c>
      <c r="J697">
        <v>98</v>
      </c>
      <c r="K697">
        <v>10</v>
      </c>
      <c r="L697" t="s">
        <v>134</v>
      </c>
      <c r="M697">
        <v>136</v>
      </c>
      <c r="N697">
        <v>5</v>
      </c>
      <c r="O697">
        <v>39</v>
      </c>
      <c r="P697" t="s">
        <v>215</v>
      </c>
      <c r="Q697" t="s">
        <v>219</v>
      </c>
      <c r="R697">
        <f t="shared" si="44"/>
        <v>-50</v>
      </c>
      <c r="S697">
        <f t="shared" si="41"/>
        <v>0.77461139896373055</v>
      </c>
      <c r="T697" t="str">
        <f t="shared" si="42"/>
        <v>Medium Risk</v>
      </c>
      <c r="U697" t="str">
        <f t="shared" si="43"/>
        <v>Monitor Sales</v>
      </c>
    </row>
    <row r="698" spans="1:21" x14ac:dyDescent="0.25">
      <c r="A698">
        <v>697</v>
      </c>
      <c r="B698" t="s">
        <v>47</v>
      </c>
      <c r="C698" t="s">
        <v>118</v>
      </c>
      <c r="D698" t="s">
        <v>123</v>
      </c>
      <c r="E698">
        <v>38</v>
      </c>
      <c r="F698">
        <v>318</v>
      </c>
      <c r="G698">
        <v>298</v>
      </c>
      <c r="H698">
        <v>551.67999999999995</v>
      </c>
      <c r="I698">
        <v>318.63</v>
      </c>
      <c r="J698">
        <v>131</v>
      </c>
      <c r="K698">
        <v>7</v>
      </c>
      <c r="L698" t="s">
        <v>170</v>
      </c>
      <c r="M698">
        <v>114</v>
      </c>
      <c r="N698">
        <v>2</v>
      </c>
      <c r="O698">
        <v>23</v>
      </c>
      <c r="P698" t="s">
        <v>215</v>
      </c>
      <c r="Q698" t="s">
        <v>219</v>
      </c>
      <c r="R698">
        <f t="shared" si="44"/>
        <v>20</v>
      </c>
      <c r="S698">
        <f t="shared" si="41"/>
        <v>8.3684210526315788</v>
      </c>
      <c r="T698" t="str">
        <f t="shared" si="42"/>
        <v>Low Risk</v>
      </c>
      <c r="U698" t="str">
        <f t="shared" si="43"/>
        <v>Maintain Stock</v>
      </c>
    </row>
    <row r="699" spans="1:21" x14ac:dyDescent="0.25">
      <c r="A699">
        <v>698</v>
      </c>
      <c r="B699" t="s">
        <v>64</v>
      </c>
      <c r="C699" t="s">
        <v>118</v>
      </c>
      <c r="D699" t="s">
        <v>123</v>
      </c>
      <c r="E699">
        <v>123</v>
      </c>
      <c r="F699">
        <v>123</v>
      </c>
      <c r="G699">
        <v>125</v>
      </c>
      <c r="H699">
        <v>363.58</v>
      </c>
      <c r="I699">
        <v>235.6</v>
      </c>
      <c r="J699">
        <v>93</v>
      </c>
      <c r="K699">
        <v>7</v>
      </c>
      <c r="L699" t="s">
        <v>175</v>
      </c>
      <c r="M699">
        <v>42</v>
      </c>
      <c r="N699">
        <v>4</v>
      </c>
      <c r="O699">
        <v>21</v>
      </c>
      <c r="P699" t="s">
        <v>215</v>
      </c>
      <c r="Q699" t="s">
        <v>219</v>
      </c>
      <c r="R699">
        <f t="shared" si="44"/>
        <v>-2</v>
      </c>
      <c r="S699">
        <f t="shared" si="41"/>
        <v>1</v>
      </c>
      <c r="T699" t="str">
        <f t="shared" si="42"/>
        <v>Low Risk</v>
      </c>
      <c r="U699" t="str">
        <f t="shared" si="43"/>
        <v>Maintain Stock</v>
      </c>
    </row>
    <row r="700" spans="1:21" x14ac:dyDescent="0.25">
      <c r="A700">
        <v>699</v>
      </c>
      <c r="B700" t="s">
        <v>16</v>
      </c>
      <c r="C700" t="s">
        <v>117</v>
      </c>
      <c r="D700" t="s">
        <v>122</v>
      </c>
      <c r="E700">
        <v>407</v>
      </c>
      <c r="F700">
        <v>324</v>
      </c>
      <c r="G700">
        <v>370</v>
      </c>
      <c r="H700">
        <v>1416.1</v>
      </c>
      <c r="I700">
        <v>1079.97</v>
      </c>
      <c r="J700">
        <v>58</v>
      </c>
      <c r="K700">
        <v>3</v>
      </c>
      <c r="L700" t="s">
        <v>172</v>
      </c>
      <c r="M700">
        <v>98</v>
      </c>
      <c r="N700">
        <v>5</v>
      </c>
      <c r="O700">
        <v>50</v>
      </c>
      <c r="P700" t="s">
        <v>216</v>
      </c>
      <c r="Q700" t="s">
        <v>218</v>
      </c>
      <c r="R700">
        <f t="shared" si="44"/>
        <v>-46</v>
      </c>
      <c r="S700">
        <f t="shared" si="41"/>
        <v>0.7960687960687961</v>
      </c>
      <c r="T700" t="str">
        <f t="shared" si="42"/>
        <v>Medium Risk</v>
      </c>
      <c r="U700" t="str">
        <f t="shared" si="43"/>
        <v>Monitor Sales</v>
      </c>
    </row>
    <row r="701" spans="1:21" x14ac:dyDescent="0.25">
      <c r="A701">
        <v>700</v>
      </c>
      <c r="B701" t="s">
        <v>30</v>
      </c>
      <c r="C701" t="s">
        <v>120</v>
      </c>
      <c r="D701" t="s">
        <v>124</v>
      </c>
      <c r="E701">
        <v>254</v>
      </c>
      <c r="F701">
        <v>311</v>
      </c>
      <c r="G701">
        <v>354</v>
      </c>
      <c r="H701">
        <v>2581.4499999999998</v>
      </c>
      <c r="I701">
        <v>1373.22</v>
      </c>
      <c r="J701">
        <v>62</v>
      </c>
      <c r="K701">
        <v>15</v>
      </c>
      <c r="L701" t="s">
        <v>135</v>
      </c>
      <c r="M701">
        <v>166</v>
      </c>
      <c r="N701">
        <v>2</v>
      </c>
      <c r="O701">
        <v>24</v>
      </c>
      <c r="P701" t="s">
        <v>216</v>
      </c>
      <c r="Q701" t="s">
        <v>217</v>
      </c>
      <c r="R701">
        <f t="shared" si="44"/>
        <v>-43</v>
      </c>
      <c r="S701">
        <f t="shared" si="41"/>
        <v>1.2244094488188977</v>
      </c>
      <c r="T701" t="str">
        <f t="shared" si="42"/>
        <v>Low Risk</v>
      </c>
      <c r="U701" t="str">
        <f t="shared" si="43"/>
        <v>Maintain Stock</v>
      </c>
    </row>
    <row r="702" spans="1:21" x14ac:dyDescent="0.25">
      <c r="A702">
        <v>701</v>
      </c>
      <c r="B702" t="s">
        <v>71</v>
      </c>
      <c r="C702" t="s">
        <v>117</v>
      </c>
      <c r="D702" t="s">
        <v>122</v>
      </c>
      <c r="E702">
        <v>258</v>
      </c>
      <c r="F702">
        <v>318</v>
      </c>
      <c r="G702">
        <v>360</v>
      </c>
      <c r="H702">
        <v>2934.47</v>
      </c>
      <c r="I702">
        <v>2182.38</v>
      </c>
      <c r="J702">
        <v>142</v>
      </c>
      <c r="K702">
        <v>8</v>
      </c>
      <c r="L702" t="s">
        <v>166</v>
      </c>
      <c r="M702">
        <v>346</v>
      </c>
      <c r="N702">
        <v>3</v>
      </c>
      <c r="O702">
        <v>19</v>
      </c>
      <c r="P702" t="s">
        <v>216</v>
      </c>
      <c r="Q702" t="s">
        <v>219</v>
      </c>
      <c r="R702">
        <f t="shared" si="44"/>
        <v>-42</v>
      </c>
      <c r="S702">
        <f t="shared" si="41"/>
        <v>1.2325581395348837</v>
      </c>
      <c r="T702" t="str">
        <f t="shared" si="42"/>
        <v>Low Risk</v>
      </c>
      <c r="U702" t="str">
        <f t="shared" si="43"/>
        <v>Maintain Stock</v>
      </c>
    </row>
    <row r="703" spans="1:21" x14ac:dyDescent="0.25">
      <c r="A703">
        <v>702</v>
      </c>
      <c r="B703" t="s">
        <v>74</v>
      </c>
      <c r="C703" t="s">
        <v>119</v>
      </c>
      <c r="D703" t="s">
        <v>123</v>
      </c>
      <c r="E703">
        <v>338</v>
      </c>
      <c r="F703">
        <v>344</v>
      </c>
      <c r="G703">
        <v>318</v>
      </c>
      <c r="H703">
        <v>3313.96</v>
      </c>
      <c r="I703">
        <v>2097.92</v>
      </c>
      <c r="J703">
        <v>64</v>
      </c>
      <c r="K703">
        <v>13</v>
      </c>
      <c r="L703" t="s">
        <v>154</v>
      </c>
      <c r="M703">
        <v>279</v>
      </c>
      <c r="N703">
        <v>4</v>
      </c>
      <c r="O703">
        <v>29</v>
      </c>
      <c r="P703" t="s">
        <v>215</v>
      </c>
      <c r="Q703" t="s">
        <v>219</v>
      </c>
      <c r="R703">
        <f t="shared" si="44"/>
        <v>26</v>
      </c>
      <c r="S703">
        <f t="shared" si="41"/>
        <v>1.0177514792899409</v>
      </c>
      <c r="T703" t="str">
        <f t="shared" si="42"/>
        <v>Low Risk</v>
      </c>
      <c r="U703" t="str">
        <f t="shared" si="43"/>
        <v>Maintain Stock</v>
      </c>
    </row>
    <row r="704" spans="1:21" x14ac:dyDescent="0.25">
      <c r="A704">
        <v>703</v>
      </c>
      <c r="B704" t="s">
        <v>99</v>
      </c>
      <c r="C704" t="s">
        <v>119</v>
      </c>
      <c r="D704" t="s">
        <v>122</v>
      </c>
      <c r="E704">
        <v>277</v>
      </c>
      <c r="F704">
        <v>118</v>
      </c>
      <c r="G704">
        <v>150</v>
      </c>
      <c r="H704">
        <v>4440.54</v>
      </c>
      <c r="I704">
        <v>3037.22</v>
      </c>
      <c r="J704">
        <v>31</v>
      </c>
      <c r="K704">
        <v>4</v>
      </c>
      <c r="L704" t="s">
        <v>145</v>
      </c>
      <c r="M704">
        <v>296</v>
      </c>
      <c r="N704">
        <v>2</v>
      </c>
      <c r="O704">
        <v>49</v>
      </c>
      <c r="P704" t="s">
        <v>215</v>
      </c>
      <c r="Q704" t="s">
        <v>218</v>
      </c>
      <c r="R704">
        <f t="shared" si="44"/>
        <v>-32</v>
      </c>
      <c r="S704">
        <f t="shared" si="41"/>
        <v>0.4259927797833935</v>
      </c>
      <c r="T704" t="str">
        <f t="shared" si="42"/>
        <v>High Risk</v>
      </c>
      <c r="U704" t="str">
        <f t="shared" si="43"/>
        <v>Apply Discount / Promotion</v>
      </c>
    </row>
    <row r="705" spans="1:21" x14ac:dyDescent="0.25">
      <c r="A705">
        <v>704</v>
      </c>
      <c r="B705" t="s">
        <v>105</v>
      </c>
      <c r="C705" t="s">
        <v>119</v>
      </c>
      <c r="D705" t="s">
        <v>122</v>
      </c>
      <c r="E705">
        <v>217</v>
      </c>
      <c r="F705">
        <v>238</v>
      </c>
      <c r="G705">
        <v>268</v>
      </c>
      <c r="H705">
        <v>1876.03</v>
      </c>
      <c r="I705">
        <v>1330.22</v>
      </c>
      <c r="J705">
        <v>107</v>
      </c>
      <c r="K705">
        <v>13</v>
      </c>
      <c r="L705" t="s">
        <v>129</v>
      </c>
      <c r="M705">
        <v>298</v>
      </c>
      <c r="N705">
        <v>1</v>
      </c>
      <c r="O705">
        <v>43</v>
      </c>
      <c r="P705" t="s">
        <v>215</v>
      </c>
      <c r="Q705" t="s">
        <v>218</v>
      </c>
      <c r="R705">
        <f t="shared" si="44"/>
        <v>-30</v>
      </c>
      <c r="S705">
        <f t="shared" si="41"/>
        <v>1.096774193548387</v>
      </c>
      <c r="T705" t="str">
        <f t="shared" si="42"/>
        <v>Low Risk</v>
      </c>
      <c r="U705" t="str">
        <f t="shared" si="43"/>
        <v>Maintain Stock</v>
      </c>
    </row>
    <row r="706" spans="1:21" x14ac:dyDescent="0.25">
      <c r="A706">
        <v>705</v>
      </c>
      <c r="B706" t="s">
        <v>69</v>
      </c>
      <c r="C706" t="s">
        <v>120</v>
      </c>
      <c r="D706" t="s">
        <v>124</v>
      </c>
      <c r="E706">
        <v>464</v>
      </c>
      <c r="F706">
        <v>235</v>
      </c>
      <c r="G706">
        <v>270</v>
      </c>
      <c r="H706">
        <v>1906.98</v>
      </c>
      <c r="I706">
        <v>1033.19</v>
      </c>
      <c r="J706">
        <v>129</v>
      </c>
      <c r="K706">
        <v>6</v>
      </c>
      <c r="L706" t="s">
        <v>135</v>
      </c>
      <c r="M706">
        <v>175</v>
      </c>
      <c r="N706">
        <v>1</v>
      </c>
      <c r="O706">
        <v>40</v>
      </c>
      <c r="P706" t="s">
        <v>215</v>
      </c>
      <c r="Q706" t="s">
        <v>217</v>
      </c>
      <c r="R706">
        <f t="shared" si="44"/>
        <v>-35</v>
      </c>
      <c r="S706">
        <f t="shared" ref="S706:S769" si="45">F706/E706</f>
        <v>0.50646551724137934</v>
      </c>
      <c r="T706" t="str">
        <f t="shared" si="42"/>
        <v>Medium Risk</v>
      </c>
      <c r="U706" t="str">
        <f t="shared" si="43"/>
        <v>Monitor Sales</v>
      </c>
    </row>
    <row r="707" spans="1:21" x14ac:dyDescent="0.25">
      <c r="A707">
        <v>706</v>
      </c>
      <c r="B707" t="s">
        <v>72</v>
      </c>
      <c r="C707" t="s">
        <v>117</v>
      </c>
      <c r="D707" t="s">
        <v>121</v>
      </c>
      <c r="E707">
        <v>162</v>
      </c>
      <c r="F707">
        <v>368</v>
      </c>
      <c r="G707">
        <v>391</v>
      </c>
      <c r="H707">
        <v>3398.33</v>
      </c>
      <c r="I707">
        <v>2618.67</v>
      </c>
      <c r="J707">
        <v>82</v>
      </c>
      <c r="K707">
        <v>8</v>
      </c>
      <c r="L707" t="s">
        <v>127</v>
      </c>
      <c r="M707">
        <v>343</v>
      </c>
      <c r="N707">
        <v>3</v>
      </c>
      <c r="O707">
        <v>31</v>
      </c>
      <c r="P707" t="s">
        <v>215</v>
      </c>
      <c r="Q707" t="s">
        <v>218</v>
      </c>
      <c r="R707">
        <f t="shared" si="44"/>
        <v>-23</v>
      </c>
      <c r="S707">
        <f t="shared" si="45"/>
        <v>2.2716049382716048</v>
      </c>
      <c r="T707" t="str">
        <f t="shared" ref="T707:T770" si="46">IF(S707&lt;0.5,"High Risk",IF(S707&lt;1,"Medium Risk","Low Risk"))</f>
        <v>Low Risk</v>
      </c>
      <c r="U707" t="str">
        <f t="shared" ref="U707:U770" si="47">IF(T707="High Risk","Apply Discount / Promotion",
IF(T707="Medium Risk","Monitor Sales",
"Maintain Stock"))</f>
        <v>Maintain Stock</v>
      </c>
    </row>
    <row r="708" spans="1:21" x14ac:dyDescent="0.25">
      <c r="A708">
        <v>707</v>
      </c>
      <c r="B708" t="s">
        <v>64</v>
      </c>
      <c r="C708" t="s">
        <v>117</v>
      </c>
      <c r="D708" t="s">
        <v>124</v>
      </c>
      <c r="E708">
        <v>156</v>
      </c>
      <c r="F708">
        <v>260</v>
      </c>
      <c r="G708">
        <v>277</v>
      </c>
      <c r="H708">
        <v>825.39</v>
      </c>
      <c r="I708">
        <v>512.53</v>
      </c>
      <c r="J708">
        <v>135</v>
      </c>
      <c r="K708">
        <v>10</v>
      </c>
      <c r="L708" t="s">
        <v>214</v>
      </c>
      <c r="M708">
        <v>91</v>
      </c>
      <c r="N708">
        <v>4</v>
      </c>
      <c r="O708">
        <v>13</v>
      </c>
      <c r="P708" t="s">
        <v>215</v>
      </c>
      <c r="Q708" t="s">
        <v>218</v>
      </c>
      <c r="R708">
        <f t="shared" si="44"/>
        <v>-17</v>
      </c>
      <c r="S708">
        <f t="shared" si="45"/>
        <v>1.6666666666666667</v>
      </c>
      <c r="T708" t="str">
        <f t="shared" si="46"/>
        <v>Low Risk</v>
      </c>
      <c r="U708" t="str">
        <f t="shared" si="47"/>
        <v>Maintain Stock</v>
      </c>
    </row>
    <row r="709" spans="1:21" x14ac:dyDescent="0.25">
      <c r="A709">
        <v>708</v>
      </c>
      <c r="B709" t="s">
        <v>46</v>
      </c>
      <c r="C709" t="s">
        <v>117</v>
      </c>
      <c r="D709" t="s">
        <v>124</v>
      </c>
      <c r="E709">
        <v>150</v>
      </c>
      <c r="F709">
        <v>390</v>
      </c>
      <c r="G709">
        <v>348</v>
      </c>
      <c r="H709">
        <v>323.44</v>
      </c>
      <c r="I709">
        <v>240.34</v>
      </c>
      <c r="J709">
        <v>79</v>
      </c>
      <c r="K709">
        <v>9</v>
      </c>
      <c r="L709" t="s">
        <v>170</v>
      </c>
      <c r="M709">
        <v>36</v>
      </c>
      <c r="N709">
        <v>3</v>
      </c>
      <c r="O709">
        <v>26</v>
      </c>
      <c r="P709" t="s">
        <v>215</v>
      </c>
      <c r="Q709" t="s">
        <v>219</v>
      </c>
      <c r="R709">
        <f t="shared" si="44"/>
        <v>42</v>
      </c>
      <c r="S709">
        <f t="shared" si="45"/>
        <v>2.6</v>
      </c>
      <c r="T709" t="str">
        <f t="shared" si="46"/>
        <v>Low Risk</v>
      </c>
      <c r="U709" t="str">
        <f t="shared" si="47"/>
        <v>Maintain Stock</v>
      </c>
    </row>
    <row r="710" spans="1:21" x14ac:dyDescent="0.25">
      <c r="A710">
        <v>709</v>
      </c>
      <c r="B710" t="s">
        <v>24</v>
      </c>
      <c r="C710" t="s">
        <v>120</v>
      </c>
      <c r="D710" t="s">
        <v>122</v>
      </c>
      <c r="E710">
        <v>476</v>
      </c>
      <c r="F710">
        <v>351</v>
      </c>
      <c r="G710">
        <v>388</v>
      </c>
      <c r="H710">
        <v>2131.31</v>
      </c>
      <c r="I710">
        <v>1077.47</v>
      </c>
      <c r="J710">
        <v>75</v>
      </c>
      <c r="K710">
        <v>10</v>
      </c>
      <c r="L710" t="s">
        <v>130</v>
      </c>
      <c r="M710">
        <v>134</v>
      </c>
      <c r="N710">
        <v>4</v>
      </c>
      <c r="O710">
        <v>43</v>
      </c>
      <c r="P710" t="s">
        <v>215</v>
      </c>
      <c r="Q710" t="s">
        <v>217</v>
      </c>
      <c r="R710">
        <f t="shared" si="44"/>
        <v>-37</v>
      </c>
      <c r="S710">
        <f t="shared" si="45"/>
        <v>0.73739495798319332</v>
      </c>
      <c r="T710" t="str">
        <f t="shared" si="46"/>
        <v>Medium Risk</v>
      </c>
      <c r="U710" t="str">
        <f t="shared" si="47"/>
        <v>Monitor Sales</v>
      </c>
    </row>
    <row r="711" spans="1:21" x14ac:dyDescent="0.25">
      <c r="A711">
        <v>710</v>
      </c>
      <c r="B711" t="s">
        <v>59</v>
      </c>
      <c r="C711" t="s">
        <v>117</v>
      </c>
      <c r="D711" t="s">
        <v>123</v>
      </c>
      <c r="E711">
        <v>416</v>
      </c>
      <c r="F711">
        <v>42</v>
      </c>
      <c r="G711">
        <v>77</v>
      </c>
      <c r="H711">
        <v>3097.44</v>
      </c>
      <c r="I711">
        <v>2086.25</v>
      </c>
      <c r="J711">
        <v>126</v>
      </c>
      <c r="K711">
        <v>3</v>
      </c>
      <c r="L711" t="s">
        <v>129</v>
      </c>
      <c r="M711">
        <v>191</v>
      </c>
      <c r="N711">
        <v>1</v>
      </c>
      <c r="O711">
        <v>15</v>
      </c>
      <c r="P711" t="s">
        <v>215</v>
      </c>
      <c r="Q711" t="s">
        <v>218</v>
      </c>
      <c r="R711">
        <f t="shared" si="44"/>
        <v>-35</v>
      </c>
      <c r="S711">
        <f t="shared" si="45"/>
        <v>0.10096153846153846</v>
      </c>
      <c r="T711" t="str">
        <f t="shared" si="46"/>
        <v>High Risk</v>
      </c>
      <c r="U711" t="str">
        <f t="shared" si="47"/>
        <v>Apply Discount / Promotion</v>
      </c>
    </row>
    <row r="712" spans="1:21" x14ac:dyDescent="0.25">
      <c r="A712">
        <v>711</v>
      </c>
      <c r="B712" t="s">
        <v>110</v>
      </c>
      <c r="C712" t="s">
        <v>120</v>
      </c>
      <c r="D712" t="s">
        <v>122</v>
      </c>
      <c r="E712">
        <v>391</v>
      </c>
      <c r="F712">
        <v>224</v>
      </c>
      <c r="G712">
        <v>226</v>
      </c>
      <c r="H712">
        <v>2453.2800000000002</v>
      </c>
      <c r="I712">
        <v>1866.18</v>
      </c>
      <c r="J712">
        <v>46</v>
      </c>
      <c r="K712">
        <v>9</v>
      </c>
      <c r="L712" t="s">
        <v>170</v>
      </c>
      <c r="M712">
        <v>162</v>
      </c>
      <c r="N712">
        <v>4</v>
      </c>
      <c r="O712">
        <v>5</v>
      </c>
      <c r="P712" t="s">
        <v>216</v>
      </c>
      <c r="Q712" t="s">
        <v>217</v>
      </c>
      <c r="R712">
        <f t="shared" si="44"/>
        <v>-2</v>
      </c>
      <c r="S712">
        <f t="shared" si="45"/>
        <v>0.57289002557544755</v>
      </c>
      <c r="T712" t="str">
        <f t="shared" si="46"/>
        <v>Medium Risk</v>
      </c>
      <c r="U712" t="str">
        <f t="shared" si="47"/>
        <v>Monitor Sales</v>
      </c>
    </row>
    <row r="713" spans="1:21" x14ac:dyDescent="0.25">
      <c r="A713">
        <v>712</v>
      </c>
      <c r="B713" t="s">
        <v>106</v>
      </c>
      <c r="C713" t="s">
        <v>117</v>
      </c>
      <c r="D713" t="s">
        <v>121</v>
      </c>
      <c r="E713">
        <v>261</v>
      </c>
      <c r="F713">
        <v>346</v>
      </c>
      <c r="G713">
        <v>357</v>
      </c>
      <c r="H713">
        <v>3544.67</v>
      </c>
      <c r="I713">
        <v>2044.23</v>
      </c>
      <c r="J713">
        <v>70</v>
      </c>
      <c r="K713">
        <v>6</v>
      </c>
      <c r="L713" t="s">
        <v>179</v>
      </c>
      <c r="M713">
        <v>215</v>
      </c>
      <c r="N713">
        <v>2</v>
      </c>
      <c r="O713">
        <v>8</v>
      </c>
      <c r="P713" t="s">
        <v>216</v>
      </c>
      <c r="Q713" t="s">
        <v>218</v>
      </c>
      <c r="R713">
        <f t="shared" si="44"/>
        <v>-11</v>
      </c>
      <c r="S713">
        <f t="shared" si="45"/>
        <v>1.3256704980842913</v>
      </c>
      <c r="T713" t="str">
        <f t="shared" si="46"/>
        <v>Low Risk</v>
      </c>
      <c r="U713" t="str">
        <f t="shared" si="47"/>
        <v>Maintain Stock</v>
      </c>
    </row>
    <row r="714" spans="1:21" x14ac:dyDescent="0.25">
      <c r="A714">
        <v>713</v>
      </c>
      <c r="B714" t="s">
        <v>63</v>
      </c>
      <c r="C714" t="s">
        <v>116</v>
      </c>
      <c r="D714" t="s">
        <v>121</v>
      </c>
      <c r="E714">
        <v>85</v>
      </c>
      <c r="F714">
        <v>95</v>
      </c>
      <c r="G714">
        <v>128</v>
      </c>
      <c r="H714">
        <v>2529.8200000000002</v>
      </c>
      <c r="I714">
        <v>1656</v>
      </c>
      <c r="J714">
        <v>60</v>
      </c>
      <c r="K714">
        <v>13</v>
      </c>
      <c r="L714" t="s">
        <v>193</v>
      </c>
      <c r="M714">
        <v>36</v>
      </c>
      <c r="N714">
        <v>4</v>
      </c>
      <c r="O714">
        <v>30</v>
      </c>
      <c r="P714" t="s">
        <v>215</v>
      </c>
      <c r="Q714" t="s">
        <v>219</v>
      </c>
      <c r="R714">
        <f t="shared" si="44"/>
        <v>-33</v>
      </c>
      <c r="S714">
        <f t="shared" si="45"/>
        <v>1.1176470588235294</v>
      </c>
      <c r="T714" t="str">
        <f t="shared" si="46"/>
        <v>Low Risk</v>
      </c>
      <c r="U714" t="str">
        <f t="shared" si="47"/>
        <v>Maintain Stock</v>
      </c>
    </row>
    <row r="715" spans="1:21" x14ac:dyDescent="0.25">
      <c r="A715">
        <v>714</v>
      </c>
      <c r="B715" t="s">
        <v>90</v>
      </c>
      <c r="C715" t="s">
        <v>116</v>
      </c>
      <c r="D715" t="s">
        <v>123</v>
      </c>
      <c r="E715">
        <v>318</v>
      </c>
      <c r="F715">
        <v>70</v>
      </c>
      <c r="G715">
        <v>87</v>
      </c>
      <c r="H715">
        <v>3191.28</v>
      </c>
      <c r="I715">
        <v>1642.22</v>
      </c>
      <c r="J715">
        <v>77</v>
      </c>
      <c r="K715">
        <v>7</v>
      </c>
      <c r="L715" t="s">
        <v>150</v>
      </c>
      <c r="M715">
        <v>115</v>
      </c>
      <c r="N715">
        <v>5</v>
      </c>
      <c r="O715">
        <v>27</v>
      </c>
      <c r="P715" t="s">
        <v>215</v>
      </c>
      <c r="Q715" t="s">
        <v>217</v>
      </c>
      <c r="R715">
        <f t="shared" ref="R715:R778" si="48">F715-G715</f>
        <v>-17</v>
      </c>
      <c r="S715">
        <f t="shared" si="45"/>
        <v>0.22012578616352202</v>
      </c>
      <c r="T715" t="str">
        <f t="shared" si="46"/>
        <v>High Risk</v>
      </c>
      <c r="U715" t="str">
        <f t="shared" si="47"/>
        <v>Apply Discount / Promotion</v>
      </c>
    </row>
    <row r="716" spans="1:21" x14ac:dyDescent="0.25">
      <c r="A716">
        <v>715</v>
      </c>
      <c r="B716" t="s">
        <v>79</v>
      </c>
      <c r="C716" t="s">
        <v>118</v>
      </c>
      <c r="D716" t="s">
        <v>121</v>
      </c>
      <c r="E716">
        <v>42</v>
      </c>
      <c r="F716">
        <v>0</v>
      </c>
      <c r="G716">
        <v>13</v>
      </c>
      <c r="H716">
        <v>2393.8000000000002</v>
      </c>
      <c r="I716">
        <v>1561.06</v>
      </c>
      <c r="J716">
        <v>142</v>
      </c>
      <c r="K716">
        <v>14</v>
      </c>
      <c r="L716" t="s">
        <v>186</v>
      </c>
      <c r="M716">
        <v>212</v>
      </c>
      <c r="N716">
        <v>3</v>
      </c>
      <c r="O716">
        <v>37</v>
      </c>
      <c r="P716" t="s">
        <v>215</v>
      </c>
      <c r="Q716" t="s">
        <v>219</v>
      </c>
      <c r="R716">
        <f t="shared" si="48"/>
        <v>-13</v>
      </c>
      <c r="S716">
        <f t="shared" si="45"/>
        <v>0</v>
      </c>
      <c r="T716" t="str">
        <f t="shared" si="46"/>
        <v>High Risk</v>
      </c>
      <c r="U716" t="str">
        <f t="shared" si="47"/>
        <v>Apply Discount / Promotion</v>
      </c>
    </row>
    <row r="717" spans="1:21" x14ac:dyDescent="0.25">
      <c r="A717">
        <v>716</v>
      </c>
      <c r="B717" t="s">
        <v>26</v>
      </c>
      <c r="C717" t="s">
        <v>116</v>
      </c>
      <c r="D717" t="s">
        <v>123</v>
      </c>
      <c r="E717">
        <v>99</v>
      </c>
      <c r="F717">
        <v>307</v>
      </c>
      <c r="G717">
        <v>356</v>
      </c>
      <c r="H717">
        <v>622.53</v>
      </c>
      <c r="I717">
        <v>414.87</v>
      </c>
      <c r="J717">
        <v>110</v>
      </c>
      <c r="K717">
        <v>15</v>
      </c>
      <c r="L717" t="s">
        <v>155</v>
      </c>
      <c r="M717">
        <v>117</v>
      </c>
      <c r="N717">
        <v>1</v>
      </c>
      <c r="O717">
        <v>38</v>
      </c>
      <c r="P717" t="s">
        <v>215</v>
      </c>
      <c r="Q717" t="s">
        <v>219</v>
      </c>
      <c r="R717">
        <f t="shared" si="48"/>
        <v>-49</v>
      </c>
      <c r="S717">
        <f t="shared" si="45"/>
        <v>3.1010101010101012</v>
      </c>
      <c r="T717" t="str">
        <f t="shared" si="46"/>
        <v>Low Risk</v>
      </c>
      <c r="U717" t="str">
        <f t="shared" si="47"/>
        <v>Maintain Stock</v>
      </c>
    </row>
    <row r="718" spans="1:21" x14ac:dyDescent="0.25">
      <c r="A718">
        <v>717</v>
      </c>
      <c r="B718" t="s">
        <v>83</v>
      </c>
      <c r="C718" t="s">
        <v>117</v>
      </c>
      <c r="D718" t="s">
        <v>121</v>
      </c>
      <c r="E718">
        <v>493</v>
      </c>
      <c r="F718">
        <v>296</v>
      </c>
      <c r="G718">
        <v>272</v>
      </c>
      <c r="H718">
        <v>4324.3500000000004</v>
      </c>
      <c r="I718">
        <v>3121.87</v>
      </c>
      <c r="J718">
        <v>34</v>
      </c>
      <c r="K718">
        <v>2</v>
      </c>
      <c r="L718" t="s">
        <v>126</v>
      </c>
      <c r="M718">
        <v>258</v>
      </c>
      <c r="N718">
        <v>4</v>
      </c>
      <c r="O718">
        <v>4</v>
      </c>
      <c r="P718" t="s">
        <v>215</v>
      </c>
      <c r="Q718" t="s">
        <v>217</v>
      </c>
      <c r="R718">
        <f t="shared" si="48"/>
        <v>24</v>
      </c>
      <c r="S718">
        <f t="shared" si="45"/>
        <v>0.60040567951318458</v>
      </c>
      <c r="T718" t="str">
        <f t="shared" si="46"/>
        <v>Medium Risk</v>
      </c>
      <c r="U718" t="str">
        <f t="shared" si="47"/>
        <v>Monitor Sales</v>
      </c>
    </row>
    <row r="719" spans="1:21" x14ac:dyDescent="0.25">
      <c r="A719">
        <v>718</v>
      </c>
      <c r="B719" t="s">
        <v>89</v>
      </c>
      <c r="C719" t="s">
        <v>116</v>
      </c>
      <c r="D719" t="s">
        <v>122</v>
      </c>
      <c r="E719">
        <v>349</v>
      </c>
      <c r="F719">
        <v>315</v>
      </c>
      <c r="G719">
        <v>286</v>
      </c>
      <c r="H719">
        <v>2122.87</v>
      </c>
      <c r="I719">
        <v>1496.97</v>
      </c>
      <c r="J719">
        <v>41</v>
      </c>
      <c r="K719">
        <v>1</v>
      </c>
      <c r="L719" t="s">
        <v>174</v>
      </c>
      <c r="M719">
        <v>293</v>
      </c>
      <c r="N719">
        <v>1</v>
      </c>
      <c r="O719">
        <v>30</v>
      </c>
      <c r="P719" t="s">
        <v>215</v>
      </c>
      <c r="Q719" t="s">
        <v>219</v>
      </c>
      <c r="R719">
        <f t="shared" si="48"/>
        <v>29</v>
      </c>
      <c r="S719">
        <f t="shared" si="45"/>
        <v>0.90257879656160456</v>
      </c>
      <c r="T719" t="str">
        <f t="shared" si="46"/>
        <v>Medium Risk</v>
      </c>
      <c r="U719" t="str">
        <f t="shared" si="47"/>
        <v>Monitor Sales</v>
      </c>
    </row>
    <row r="720" spans="1:21" x14ac:dyDescent="0.25">
      <c r="A720">
        <v>719</v>
      </c>
      <c r="B720" t="s">
        <v>45</v>
      </c>
      <c r="C720" t="s">
        <v>118</v>
      </c>
      <c r="D720" t="s">
        <v>123</v>
      </c>
      <c r="E720">
        <v>81</v>
      </c>
      <c r="F720">
        <v>223</v>
      </c>
      <c r="G720">
        <v>220</v>
      </c>
      <c r="H720">
        <v>977.86</v>
      </c>
      <c r="I720">
        <v>672.82</v>
      </c>
      <c r="J720">
        <v>108</v>
      </c>
      <c r="K720">
        <v>3</v>
      </c>
      <c r="L720" t="s">
        <v>169</v>
      </c>
      <c r="M720">
        <v>276</v>
      </c>
      <c r="N720">
        <v>5</v>
      </c>
      <c r="O720">
        <v>5</v>
      </c>
      <c r="P720" t="s">
        <v>215</v>
      </c>
      <c r="Q720" t="s">
        <v>218</v>
      </c>
      <c r="R720">
        <f t="shared" si="48"/>
        <v>3</v>
      </c>
      <c r="S720">
        <f t="shared" si="45"/>
        <v>2.7530864197530862</v>
      </c>
      <c r="T720" t="str">
        <f t="shared" si="46"/>
        <v>Low Risk</v>
      </c>
      <c r="U720" t="str">
        <f t="shared" si="47"/>
        <v>Maintain Stock</v>
      </c>
    </row>
    <row r="721" spans="1:21" x14ac:dyDescent="0.25">
      <c r="A721">
        <v>720</v>
      </c>
      <c r="B721" t="s">
        <v>93</v>
      </c>
      <c r="C721" t="s">
        <v>120</v>
      </c>
      <c r="D721" t="s">
        <v>121</v>
      </c>
      <c r="E721">
        <v>22</v>
      </c>
      <c r="F721">
        <v>83</v>
      </c>
      <c r="G721">
        <v>124</v>
      </c>
      <c r="H721">
        <v>1053.67</v>
      </c>
      <c r="I721">
        <v>555.32000000000005</v>
      </c>
      <c r="J721">
        <v>103</v>
      </c>
      <c r="K721">
        <v>8</v>
      </c>
      <c r="L721" t="s">
        <v>199</v>
      </c>
      <c r="M721">
        <v>189</v>
      </c>
      <c r="N721">
        <v>2</v>
      </c>
      <c r="O721">
        <v>47</v>
      </c>
      <c r="P721" t="s">
        <v>215</v>
      </c>
      <c r="Q721" t="s">
        <v>218</v>
      </c>
      <c r="R721">
        <f t="shared" si="48"/>
        <v>-41</v>
      </c>
      <c r="S721">
        <f t="shared" si="45"/>
        <v>3.7727272727272729</v>
      </c>
      <c r="T721" t="str">
        <f t="shared" si="46"/>
        <v>Low Risk</v>
      </c>
      <c r="U721" t="str">
        <f t="shared" si="47"/>
        <v>Maintain Stock</v>
      </c>
    </row>
    <row r="722" spans="1:21" x14ac:dyDescent="0.25">
      <c r="A722">
        <v>721</v>
      </c>
      <c r="B722" t="s">
        <v>17</v>
      </c>
      <c r="C722" t="s">
        <v>118</v>
      </c>
      <c r="D722" t="s">
        <v>124</v>
      </c>
      <c r="E722">
        <v>377</v>
      </c>
      <c r="F722">
        <v>333</v>
      </c>
      <c r="G722">
        <v>317</v>
      </c>
      <c r="H722">
        <v>4706.96</v>
      </c>
      <c r="I722">
        <v>3238.02</v>
      </c>
      <c r="J722">
        <v>32</v>
      </c>
      <c r="K722">
        <v>5</v>
      </c>
      <c r="L722" t="s">
        <v>172</v>
      </c>
      <c r="M722">
        <v>192</v>
      </c>
      <c r="N722">
        <v>1</v>
      </c>
      <c r="O722">
        <v>23</v>
      </c>
      <c r="P722" t="s">
        <v>216</v>
      </c>
      <c r="Q722" t="s">
        <v>219</v>
      </c>
      <c r="R722">
        <f t="shared" si="48"/>
        <v>16</v>
      </c>
      <c r="S722">
        <f t="shared" si="45"/>
        <v>0.88328912466843501</v>
      </c>
      <c r="T722" t="str">
        <f t="shared" si="46"/>
        <v>Medium Risk</v>
      </c>
      <c r="U722" t="str">
        <f t="shared" si="47"/>
        <v>Monitor Sales</v>
      </c>
    </row>
    <row r="723" spans="1:21" x14ac:dyDescent="0.25">
      <c r="A723">
        <v>722</v>
      </c>
      <c r="B723" t="s">
        <v>59</v>
      </c>
      <c r="C723" t="s">
        <v>120</v>
      </c>
      <c r="D723" t="s">
        <v>122</v>
      </c>
      <c r="E723">
        <v>296</v>
      </c>
      <c r="F723">
        <v>113</v>
      </c>
      <c r="G723">
        <v>162</v>
      </c>
      <c r="H723">
        <v>2659.87</v>
      </c>
      <c r="I723">
        <v>2049.88</v>
      </c>
      <c r="J723">
        <v>148</v>
      </c>
      <c r="K723">
        <v>11</v>
      </c>
      <c r="L723" t="s">
        <v>195</v>
      </c>
      <c r="M723">
        <v>92</v>
      </c>
      <c r="N723">
        <v>4</v>
      </c>
      <c r="O723">
        <v>9</v>
      </c>
      <c r="P723" t="s">
        <v>216</v>
      </c>
      <c r="Q723" t="s">
        <v>217</v>
      </c>
      <c r="R723">
        <f t="shared" si="48"/>
        <v>-49</v>
      </c>
      <c r="S723">
        <f t="shared" si="45"/>
        <v>0.38175675675675674</v>
      </c>
      <c r="T723" t="str">
        <f t="shared" si="46"/>
        <v>High Risk</v>
      </c>
      <c r="U723" t="str">
        <f t="shared" si="47"/>
        <v>Apply Discount / Promotion</v>
      </c>
    </row>
    <row r="724" spans="1:21" x14ac:dyDescent="0.25">
      <c r="A724">
        <v>723</v>
      </c>
      <c r="B724" t="s">
        <v>91</v>
      </c>
      <c r="C724" t="s">
        <v>118</v>
      </c>
      <c r="D724" t="s">
        <v>123</v>
      </c>
      <c r="E724">
        <v>500</v>
      </c>
      <c r="F724">
        <v>249</v>
      </c>
      <c r="G724">
        <v>225</v>
      </c>
      <c r="H724">
        <v>2479.2199999999998</v>
      </c>
      <c r="I724">
        <v>1325.18</v>
      </c>
      <c r="J724">
        <v>125</v>
      </c>
      <c r="K724">
        <v>14</v>
      </c>
      <c r="L724" t="s">
        <v>153</v>
      </c>
      <c r="M724">
        <v>178</v>
      </c>
      <c r="N724">
        <v>1</v>
      </c>
      <c r="O724">
        <v>10</v>
      </c>
      <c r="P724" t="s">
        <v>216</v>
      </c>
      <c r="Q724" t="s">
        <v>218</v>
      </c>
      <c r="R724">
        <f t="shared" si="48"/>
        <v>24</v>
      </c>
      <c r="S724">
        <f t="shared" si="45"/>
        <v>0.498</v>
      </c>
      <c r="T724" t="str">
        <f t="shared" si="46"/>
        <v>High Risk</v>
      </c>
      <c r="U724" t="str">
        <f t="shared" si="47"/>
        <v>Apply Discount / Promotion</v>
      </c>
    </row>
    <row r="725" spans="1:21" x14ac:dyDescent="0.25">
      <c r="A725">
        <v>724</v>
      </c>
      <c r="B725" t="s">
        <v>84</v>
      </c>
      <c r="C725" t="s">
        <v>120</v>
      </c>
      <c r="D725" t="s">
        <v>122</v>
      </c>
      <c r="E725">
        <v>127</v>
      </c>
      <c r="F725">
        <v>323</v>
      </c>
      <c r="G725">
        <v>364</v>
      </c>
      <c r="H725">
        <v>2178.38</v>
      </c>
      <c r="I725">
        <v>1089.6300000000001</v>
      </c>
      <c r="J725">
        <v>63</v>
      </c>
      <c r="K725">
        <v>10</v>
      </c>
      <c r="L725" t="s">
        <v>198</v>
      </c>
      <c r="M725">
        <v>279</v>
      </c>
      <c r="N725">
        <v>5</v>
      </c>
      <c r="O725">
        <v>0</v>
      </c>
      <c r="P725" t="s">
        <v>216</v>
      </c>
      <c r="Q725" t="s">
        <v>218</v>
      </c>
      <c r="R725">
        <f t="shared" si="48"/>
        <v>-41</v>
      </c>
      <c r="S725">
        <f t="shared" si="45"/>
        <v>2.5433070866141732</v>
      </c>
      <c r="T725" t="str">
        <f t="shared" si="46"/>
        <v>Low Risk</v>
      </c>
      <c r="U725" t="str">
        <f t="shared" si="47"/>
        <v>Maintain Stock</v>
      </c>
    </row>
    <row r="726" spans="1:21" x14ac:dyDescent="0.25">
      <c r="A726">
        <v>725</v>
      </c>
      <c r="B726" t="s">
        <v>84</v>
      </c>
      <c r="C726" t="s">
        <v>119</v>
      </c>
      <c r="D726" t="s">
        <v>121</v>
      </c>
      <c r="E726">
        <v>266</v>
      </c>
      <c r="F726">
        <v>285</v>
      </c>
      <c r="G726">
        <v>266</v>
      </c>
      <c r="H726">
        <v>2799.87</v>
      </c>
      <c r="I726">
        <v>2144.92</v>
      </c>
      <c r="J726">
        <v>66</v>
      </c>
      <c r="K726">
        <v>3</v>
      </c>
      <c r="L726" t="s">
        <v>155</v>
      </c>
      <c r="M726">
        <v>355</v>
      </c>
      <c r="N726">
        <v>1</v>
      </c>
      <c r="O726">
        <v>8</v>
      </c>
      <c r="P726" t="s">
        <v>216</v>
      </c>
      <c r="Q726" t="s">
        <v>218</v>
      </c>
      <c r="R726">
        <f t="shared" si="48"/>
        <v>19</v>
      </c>
      <c r="S726">
        <f t="shared" si="45"/>
        <v>1.0714285714285714</v>
      </c>
      <c r="T726" t="str">
        <f t="shared" si="46"/>
        <v>Low Risk</v>
      </c>
      <c r="U726" t="str">
        <f t="shared" si="47"/>
        <v>Maintain Stock</v>
      </c>
    </row>
    <row r="727" spans="1:21" x14ac:dyDescent="0.25">
      <c r="A727">
        <v>726</v>
      </c>
      <c r="B727" t="s">
        <v>73</v>
      </c>
      <c r="C727" t="s">
        <v>118</v>
      </c>
      <c r="D727" t="s">
        <v>124</v>
      </c>
      <c r="E727">
        <v>320</v>
      </c>
      <c r="F727">
        <v>379</v>
      </c>
      <c r="G727">
        <v>375</v>
      </c>
      <c r="H727">
        <v>207.86</v>
      </c>
      <c r="I727">
        <v>120.83</v>
      </c>
      <c r="J727">
        <v>104</v>
      </c>
      <c r="K727">
        <v>1</v>
      </c>
      <c r="L727" t="s">
        <v>182</v>
      </c>
      <c r="M727">
        <v>306</v>
      </c>
      <c r="N727">
        <v>1</v>
      </c>
      <c r="O727">
        <v>26</v>
      </c>
      <c r="P727" t="s">
        <v>215</v>
      </c>
      <c r="Q727" t="s">
        <v>219</v>
      </c>
      <c r="R727">
        <f t="shared" si="48"/>
        <v>4</v>
      </c>
      <c r="S727">
        <f t="shared" si="45"/>
        <v>1.184375</v>
      </c>
      <c r="T727" t="str">
        <f t="shared" si="46"/>
        <v>Low Risk</v>
      </c>
      <c r="U727" t="str">
        <f t="shared" si="47"/>
        <v>Maintain Stock</v>
      </c>
    </row>
    <row r="728" spans="1:21" x14ac:dyDescent="0.25">
      <c r="A728">
        <v>727</v>
      </c>
      <c r="B728" t="s">
        <v>97</v>
      </c>
      <c r="C728" t="s">
        <v>116</v>
      </c>
      <c r="D728" t="s">
        <v>124</v>
      </c>
      <c r="E728">
        <v>360</v>
      </c>
      <c r="F728">
        <v>426</v>
      </c>
      <c r="G728">
        <v>378</v>
      </c>
      <c r="H728">
        <v>4536.41</v>
      </c>
      <c r="I728">
        <v>3181.03</v>
      </c>
      <c r="J728">
        <v>122</v>
      </c>
      <c r="K728">
        <v>11</v>
      </c>
      <c r="L728" t="s">
        <v>187</v>
      </c>
      <c r="M728">
        <v>109</v>
      </c>
      <c r="N728">
        <v>1</v>
      </c>
      <c r="O728">
        <v>36</v>
      </c>
      <c r="P728" t="s">
        <v>216</v>
      </c>
      <c r="Q728" t="s">
        <v>218</v>
      </c>
      <c r="R728">
        <f t="shared" si="48"/>
        <v>48</v>
      </c>
      <c r="S728">
        <f t="shared" si="45"/>
        <v>1.1833333333333333</v>
      </c>
      <c r="T728" t="str">
        <f t="shared" si="46"/>
        <v>Low Risk</v>
      </c>
      <c r="U728" t="str">
        <f t="shared" si="47"/>
        <v>Maintain Stock</v>
      </c>
    </row>
    <row r="729" spans="1:21" x14ac:dyDescent="0.25">
      <c r="A729">
        <v>728</v>
      </c>
      <c r="B729" t="s">
        <v>105</v>
      </c>
      <c r="C729" t="s">
        <v>117</v>
      </c>
      <c r="D729" t="s">
        <v>121</v>
      </c>
      <c r="E729">
        <v>333</v>
      </c>
      <c r="F729">
        <v>369</v>
      </c>
      <c r="G729">
        <v>387</v>
      </c>
      <c r="H729">
        <v>577.91999999999996</v>
      </c>
      <c r="I729">
        <v>305.69</v>
      </c>
      <c r="J729">
        <v>91</v>
      </c>
      <c r="K729">
        <v>15</v>
      </c>
      <c r="L729" t="s">
        <v>191</v>
      </c>
      <c r="M729">
        <v>203</v>
      </c>
      <c r="N729">
        <v>1</v>
      </c>
      <c r="O729">
        <v>36</v>
      </c>
      <c r="P729" t="s">
        <v>215</v>
      </c>
      <c r="Q729" t="s">
        <v>219</v>
      </c>
      <c r="R729">
        <f t="shared" si="48"/>
        <v>-18</v>
      </c>
      <c r="S729">
        <f t="shared" si="45"/>
        <v>1.1081081081081081</v>
      </c>
      <c r="T729" t="str">
        <f t="shared" si="46"/>
        <v>Low Risk</v>
      </c>
      <c r="U729" t="str">
        <f t="shared" si="47"/>
        <v>Maintain Stock</v>
      </c>
    </row>
    <row r="730" spans="1:21" x14ac:dyDescent="0.25">
      <c r="A730">
        <v>729</v>
      </c>
      <c r="B730" t="s">
        <v>35</v>
      </c>
      <c r="C730" t="s">
        <v>119</v>
      </c>
      <c r="D730" t="s">
        <v>122</v>
      </c>
      <c r="E730">
        <v>253</v>
      </c>
      <c r="F730">
        <v>136</v>
      </c>
      <c r="G730">
        <v>102</v>
      </c>
      <c r="H730">
        <v>3449.72</v>
      </c>
      <c r="I730">
        <v>1791.08</v>
      </c>
      <c r="J730">
        <v>70</v>
      </c>
      <c r="K730">
        <v>9</v>
      </c>
      <c r="L730" t="s">
        <v>208</v>
      </c>
      <c r="M730">
        <v>325</v>
      </c>
      <c r="N730">
        <v>2</v>
      </c>
      <c r="O730">
        <v>44</v>
      </c>
      <c r="P730" t="s">
        <v>216</v>
      </c>
      <c r="Q730" t="s">
        <v>217</v>
      </c>
      <c r="R730">
        <f t="shared" si="48"/>
        <v>34</v>
      </c>
      <c r="S730">
        <f t="shared" si="45"/>
        <v>0.53754940711462451</v>
      </c>
      <c r="T730" t="str">
        <f t="shared" si="46"/>
        <v>Medium Risk</v>
      </c>
      <c r="U730" t="str">
        <f t="shared" si="47"/>
        <v>Monitor Sales</v>
      </c>
    </row>
    <row r="731" spans="1:21" x14ac:dyDescent="0.25">
      <c r="A731">
        <v>730</v>
      </c>
      <c r="B731" t="s">
        <v>47</v>
      </c>
      <c r="C731" t="s">
        <v>117</v>
      </c>
      <c r="D731" t="s">
        <v>124</v>
      </c>
      <c r="E731">
        <v>255</v>
      </c>
      <c r="F731">
        <v>424</v>
      </c>
      <c r="G731">
        <v>396</v>
      </c>
      <c r="H731">
        <v>2797.29</v>
      </c>
      <c r="I731">
        <v>1938.7</v>
      </c>
      <c r="J731">
        <v>53</v>
      </c>
      <c r="K731">
        <v>3</v>
      </c>
      <c r="L731" t="s">
        <v>180</v>
      </c>
      <c r="M731">
        <v>132</v>
      </c>
      <c r="N731">
        <v>4</v>
      </c>
      <c r="O731">
        <v>31</v>
      </c>
      <c r="P731" t="s">
        <v>216</v>
      </c>
      <c r="Q731" t="s">
        <v>217</v>
      </c>
      <c r="R731">
        <f t="shared" si="48"/>
        <v>28</v>
      </c>
      <c r="S731">
        <f t="shared" si="45"/>
        <v>1.6627450980392158</v>
      </c>
      <c r="T731" t="str">
        <f t="shared" si="46"/>
        <v>Low Risk</v>
      </c>
      <c r="U731" t="str">
        <f t="shared" si="47"/>
        <v>Maintain Stock</v>
      </c>
    </row>
    <row r="732" spans="1:21" x14ac:dyDescent="0.25">
      <c r="A732">
        <v>731</v>
      </c>
      <c r="B732" t="s">
        <v>89</v>
      </c>
      <c r="C732" t="s">
        <v>119</v>
      </c>
      <c r="D732" t="s">
        <v>124</v>
      </c>
      <c r="E732">
        <v>487</v>
      </c>
      <c r="F732">
        <v>314</v>
      </c>
      <c r="G732">
        <v>356</v>
      </c>
      <c r="H732">
        <v>2532.1</v>
      </c>
      <c r="I732">
        <v>1826.84</v>
      </c>
      <c r="J732">
        <v>139</v>
      </c>
      <c r="K732">
        <v>5</v>
      </c>
      <c r="L732" t="s">
        <v>174</v>
      </c>
      <c r="M732">
        <v>88</v>
      </c>
      <c r="N732">
        <v>5</v>
      </c>
      <c r="O732">
        <v>2</v>
      </c>
      <c r="P732" t="s">
        <v>215</v>
      </c>
      <c r="Q732" t="s">
        <v>218</v>
      </c>
      <c r="R732">
        <f t="shared" si="48"/>
        <v>-42</v>
      </c>
      <c r="S732">
        <f t="shared" si="45"/>
        <v>0.64476386036960986</v>
      </c>
      <c r="T732" t="str">
        <f t="shared" si="46"/>
        <v>Medium Risk</v>
      </c>
      <c r="U732" t="str">
        <f t="shared" si="47"/>
        <v>Monitor Sales</v>
      </c>
    </row>
    <row r="733" spans="1:21" x14ac:dyDescent="0.25">
      <c r="A733">
        <v>732</v>
      </c>
      <c r="B733" t="s">
        <v>107</v>
      </c>
      <c r="C733" t="s">
        <v>118</v>
      </c>
      <c r="D733" t="s">
        <v>124</v>
      </c>
      <c r="E733">
        <v>259</v>
      </c>
      <c r="F733">
        <v>200</v>
      </c>
      <c r="G733">
        <v>216</v>
      </c>
      <c r="H733">
        <v>2589.31</v>
      </c>
      <c r="I733">
        <v>1699.21</v>
      </c>
      <c r="J733">
        <v>97</v>
      </c>
      <c r="K733">
        <v>10</v>
      </c>
      <c r="L733" t="s">
        <v>144</v>
      </c>
      <c r="M733">
        <v>254</v>
      </c>
      <c r="N733">
        <v>1</v>
      </c>
      <c r="O733">
        <v>23</v>
      </c>
      <c r="P733" t="s">
        <v>215</v>
      </c>
      <c r="Q733" t="s">
        <v>219</v>
      </c>
      <c r="R733">
        <f t="shared" si="48"/>
        <v>-16</v>
      </c>
      <c r="S733">
        <f t="shared" si="45"/>
        <v>0.77220077220077221</v>
      </c>
      <c r="T733" t="str">
        <f t="shared" si="46"/>
        <v>Medium Risk</v>
      </c>
      <c r="U733" t="str">
        <f t="shared" si="47"/>
        <v>Monitor Sales</v>
      </c>
    </row>
    <row r="734" spans="1:21" x14ac:dyDescent="0.25">
      <c r="A734">
        <v>733</v>
      </c>
      <c r="B734" t="s">
        <v>76</v>
      </c>
      <c r="C734" t="s">
        <v>118</v>
      </c>
      <c r="D734" t="s">
        <v>123</v>
      </c>
      <c r="E734">
        <v>48</v>
      </c>
      <c r="F734">
        <v>32</v>
      </c>
      <c r="G734">
        <v>22</v>
      </c>
      <c r="H734">
        <v>3490.29</v>
      </c>
      <c r="I734">
        <v>2087.65</v>
      </c>
      <c r="J734">
        <v>65</v>
      </c>
      <c r="K734">
        <v>13</v>
      </c>
      <c r="L734" t="s">
        <v>181</v>
      </c>
      <c r="M734">
        <v>342</v>
      </c>
      <c r="N734">
        <v>3</v>
      </c>
      <c r="O734">
        <v>9</v>
      </c>
      <c r="P734" t="s">
        <v>215</v>
      </c>
      <c r="Q734" t="s">
        <v>217</v>
      </c>
      <c r="R734">
        <f t="shared" si="48"/>
        <v>10</v>
      </c>
      <c r="S734">
        <f t="shared" si="45"/>
        <v>0.66666666666666663</v>
      </c>
      <c r="T734" t="str">
        <f t="shared" si="46"/>
        <v>Medium Risk</v>
      </c>
      <c r="U734" t="str">
        <f t="shared" si="47"/>
        <v>Monitor Sales</v>
      </c>
    </row>
    <row r="735" spans="1:21" x14ac:dyDescent="0.25">
      <c r="A735">
        <v>734</v>
      </c>
      <c r="B735" t="s">
        <v>45</v>
      </c>
      <c r="C735" t="s">
        <v>118</v>
      </c>
      <c r="D735" t="s">
        <v>122</v>
      </c>
      <c r="E735">
        <v>32</v>
      </c>
      <c r="F735">
        <v>77</v>
      </c>
      <c r="G735">
        <v>60</v>
      </c>
      <c r="H735">
        <v>968.61</v>
      </c>
      <c r="I735">
        <v>664.26</v>
      </c>
      <c r="J735">
        <v>114</v>
      </c>
      <c r="K735">
        <v>8</v>
      </c>
      <c r="L735" t="s">
        <v>174</v>
      </c>
      <c r="M735">
        <v>310</v>
      </c>
      <c r="N735">
        <v>2</v>
      </c>
      <c r="O735">
        <v>41</v>
      </c>
      <c r="P735" t="s">
        <v>215</v>
      </c>
      <c r="Q735" t="s">
        <v>219</v>
      </c>
      <c r="R735">
        <f t="shared" si="48"/>
        <v>17</v>
      </c>
      <c r="S735">
        <f t="shared" si="45"/>
        <v>2.40625</v>
      </c>
      <c r="T735" t="str">
        <f t="shared" si="46"/>
        <v>Low Risk</v>
      </c>
      <c r="U735" t="str">
        <f t="shared" si="47"/>
        <v>Maintain Stock</v>
      </c>
    </row>
    <row r="736" spans="1:21" x14ac:dyDescent="0.25">
      <c r="A736">
        <v>735</v>
      </c>
      <c r="B736" t="s">
        <v>53</v>
      </c>
      <c r="C736" t="s">
        <v>120</v>
      </c>
      <c r="D736" t="s">
        <v>124</v>
      </c>
      <c r="E736">
        <v>370</v>
      </c>
      <c r="F736">
        <v>258</v>
      </c>
      <c r="G736">
        <v>292</v>
      </c>
      <c r="H736">
        <v>4624.76</v>
      </c>
      <c r="I736">
        <v>2760.25</v>
      </c>
      <c r="J736">
        <v>57</v>
      </c>
      <c r="K736">
        <v>13</v>
      </c>
      <c r="L736" t="s">
        <v>177</v>
      </c>
      <c r="M736">
        <v>78</v>
      </c>
      <c r="N736">
        <v>4</v>
      </c>
      <c r="O736">
        <v>16</v>
      </c>
      <c r="P736" t="s">
        <v>216</v>
      </c>
      <c r="Q736" t="s">
        <v>217</v>
      </c>
      <c r="R736">
        <f t="shared" si="48"/>
        <v>-34</v>
      </c>
      <c r="S736">
        <f t="shared" si="45"/>
        <v>0.69729729729729728</v>
      </c>
      <c r="T736" t="str">
        <f t="shared" si="46"/>
        <v>Medium Risk</v>
      </c>
      <c r="U736" t="str">
        <f t="shared" si="47"/>
        <v>Monitor Sales</v>
      </c>
    </row>
    <row r="737" spans="1:21" x14ac:dyDescent="0.25">
      <c r="A737">
        <v>736</v>
      </c>
      <c r="B737" t="s">
        <v>59</v>
      </c>
      <c r="C737" t="s">
        <v>119</v>
      </c>
      <c r="D737" t="s">
        <v>122</v>
      </c>
      <c r="E737">
        <v>450</v>
      </c>
      <c r="F737">
        <v>236</v>
      </c>
      <c r="G737">
        <v>200</v>
      </c>
      <c r="H737">
        <v>4432.55</v>
      </c>
      <c r="I737">
        <v>3332.71</v>
      </c>
      <c r="J737">
        <v>75</v>
      </c>
      <c r="K737">
        <v>3</v>
      </c>
      <c r="L737" t="s">
        <v>167</v>
      </c>
      <c r="M737">
        <v>173</v>
      </c>
      <c r="N737">
        <v>3</v>
      </c>
      <c r="O737">
        <v>33</v>
      </c>
      <c r="P737" t="s">
        <v>216</v>
      </c>
      <c r="Q737" t="s">
        <v>217</v>
      </c>
      <c r="R737">
        <f t="shared" si="48"/>
        <v>36</v>
      </c>
      <c r="S737">
        <f t="shared" si="45"/>
        <v>0.52444444444444449</v>
      </c>
      <c r="T737" t="str">
        <f t="shared" si="46"/>
        <v>Medium Risk</v>
      </c>
      <c r="U737" t="str">
        <f t="shared" si="47"/>
        <v>Monitor Sales</v>
      </c>
    </row>
    <row r="738" spans="1:21" x14ac:dyDescent="0.25">
      <c r="A738">
        <v>737</v>
      </c>
      <c r="B738" t="s">
        <v>47</v>
      </c>
      <c r="C738" t="s">
        <v>116</v>
      </c>
      <c r="D738" t="s">
        <v>122</v>
      </c>
      <c r="E738">
        <v>199</v>
      </c>
      <c r="F738">
        <v>32</v>
      </c>
      <c r="G738">
        <v>71</v>
      </c>
      <c r="H738">
        <v>3136.39</v>
      </c>
      <c r="I738">
        <v>1659.33</v>
      </c>
      <c r="J738">
        <v>75</v>
      </c>
      <c r="K738">
        <v>1</v>
      </c>
      <c r="L738" t="s">
        <v>165</v>
      </c>
      <c r="M738">
        <v>236</v>
      </c>
      <c r="N738">
        <v>3</v>
      </c>
      <c r="O738">
        <v>16</v>
      </c>
      <c r="P738" t="s">
        <v>216</v>
      </c>
      <c r="Q738" t="s">
        <v>219</v>
      </c>
      <c r="R738">
        <f t="shared" si="48"/>
        <v>-39</v>
      </c>
      <c r="S738">
        <f t="shared" si="45"/>
        <v>0.16080402010050251</v>
      </c>
      <c r="T738" t="str">
        <f t="shared" si="46"/>
        <v>High Risk</v>
      </c>
      <c r="U738" t="str">
        <f t="shared" si="47"/>
        <v>Apply Discount / Promotion</v>
      </c>
    </row>
    <row r="739" spans="1:21" x14ac:dyDescent="0.25">
      <c r="A739">
        <v>738</v>
      </c>
      <c r="B739" t="s">
        <v>55</v>
      </c>
      <c r="C739" t="s">
        <v>120</v>
      </c>
      <c r="D739" t="s">
        <v>121</v>
      </c>
      <c r="E739">
        <v>470</v>
      </c>
      <c r="F739">
        <v>169</v>
      </c>
      <c r="G739">
        <v>180</v>
      </c>
      <c r="H739">
        <v>2370.2399999999998</v>
      </c>
      <c r="I739">
        <v>1718.04</v>
      </c>
      <c r="J739">
        <v>33</v>
      </c>
      <c r="K739">
        <v>6</v>
      </c>
      <c r="L739" t="s">
        <v>207</v>
      </c>
      <c r="M739">
        <v>170</v>
      </c>
      <c r="N739">
        <v>3</v>
      </c>
      <c r="O739">
        <v>48</v>
      </c>
      <c r="P739" t="s">
        <v>215</v>
      </c>
      <c r="Q739" t="s">
        <v>219</v>
      </c>
      <c r="R739">
        <f t="shared" si="48"/>
        <v>-11</v>
      </c>
      <c r="S739">
        <f t="shared" si="45"/>
        <v>0.3595744680851064</v>
      </c>
      <c r="T739" t="str">
        <f t="shared" si="46"/>
        <v>High Risk</v>
      </c>
      <c r="U739" t="str">
        <f t="shared" si="47"/>
        <v>Apply Discount / Promotion</v>
      </c>
    </row>
    <row r="740" spans="1:21" x14ac:dyDescent="0.25">
      <c r="A740">
        <v>739</v>
      </c>
      <c r="B740" t="s">
        <v>97</v>
      </c>
      <c r="C740" t="s">
        <v>119</v>
      </c>
      <c r="D740" t="s">
        <v>124</v>
      </c>
      <c r="E740">
        <v>48</v>
      </c>
      <c r="F740">
        <v>366</v>
      </c>
      <c r="G740">
        <v>369</v>
      </c>
      <c r="H740">
        <v>1184.3800000000001</v>
      </c>
      <c r="I740">
        <v>693.18</v>
      </c>
      <c r="J740">
        <v>92</v>
      </c>
      <c r="K740">
        <v>9</v>
      </c>
      <c r="L740" t="s">
        <v>146</v>
      </c>
      <c r="M740">
        <v>181</v>
      </c>
      <c r="N740">
        <v>1</v>
      </c>
      <c r="O740">
        <v>33</v>
      </c>
      <c r="P740" t="s">
        <v>215</v>
      </c>
      <c r="Q740" t="s">
        <v>218</v>
      </c>
      <c r="R740">
        <f t="shared" si="48"/>
        <v>-3</v>
      </c>
      <c r="S740">
        <f t="shared" si="45"/>
        <v>7.625</v>
      </c>
      <c r="T740" t="str">
        <f t="shared" si="46"/>
        <v>Low Risk</v>
      </c>
      <c r="U740" t="str">
        <f t="shared" si="47"/>
        <v>Maintain Stock</v>
      </c>
    </row>
    <row r="741" spans="1:21" x14ac:dyDescent="0.25">
      <c r="A741">
        <v>740</v>
      </c>
      <c r="B741" t="s">
        <v>47</v>
      </c>
      <c r="C741" t="s">
        <v>120</v>
      </c>
      <c r="D741" t="s">
        <v>123</v>
      </c>
      <c r="E741">
        <v>289</v>
      </c>
      <c r="F741">
        <v>147</v>
      </c>
      <c r="G741">
        <v>145</v>
      </c>
      <c r="H741">
        <v>3645.17</v>
      </c>
      <c r="I741">
        <v>2410.73</v>
      </c>
      <c r="J741">
        <v>89</v>
      </c>
      <c r="K741">
        <v>3</v>
      </c>
      <c r="L741" t="s">
        <v>135</v>
      </c>
      <c r="M741">
        <v>50</v>
      </c>
      <c r="N741">
        <v>4</v>
      </c>
      <c r="O741">
        <v>17</v>
      </c>
      <c r="P741" t="s">
        <v>216</v>
      </c>
      <c r="Q741" t="s">
        <v>217</v>
      </c>
      <c r="R741">
        <f t="shared" si="48"/>
        <v>2</v>
      </c>
      <c r="S741">
        <f t="shared" si="45"/>
        <v>0.50865051903114189</v>
      </c>
      <c r="T741" t="str">
        <f t="shared" si="46"/>
        <v>Medium Risk</v>
      </c>
      <c r="U741" t="str">
        <f t="shared" si="47"/>
        <v>Monitor Sales</v>
      </c>
    </row>
    <row r="742" spans="1:21" x14ac:dyDescent="0.25">
      <c r="A742">
        <v>741</v>
      </c>
      <c r="B742" t="s">
        <v>27</v>
      </c>
      <c r="C742" t="s">
        <v>116</v>
      </c>
      <c r="D742" t="s">
        <v>122</v>
      </c>
      <c r="E742">
        <v>480</v>
      </c>
      <c r="F742">
        <v>334</v>
      </c>
      <c r="G742">
        <v>324</v>
      </c>
      <c r="H742">
        <v>767.16</v>
      </c>
      <c r="I742">
        <v>388.21</v>
      </c>
      <c r="J742">
        <v>122</v>
      </c>
      <c r="K742">
        <v>11</v>
      </c>
      <c r="L742" t="s">
        <v>204</v>
      </c>
      <c r="M742">
        <v>251</v>
      </c>
      <c r="N742">
        <v>3</v>
      </c>
      <c r="O742">
        <v>48</v>
      </c>
      <c r="P742" t="s">
        <v>216</v>
      </c>
      <c r="Q742" t="s">
        <v>218</v>
      </c>
      <c r="R742">
        <f t="shared" si="48"/>
        <v>10</v>
      </c>
      <c r="S742">
        <f t="shared" si="45"/>
        <v>0.6958333333333333</v>
      </c>
      <c r="T742" t="str">
        <f t="shared" si="46"/>
        <v>Medium Risk</v>
      </c>
      <c r="U742" t="str">
        <f t="shared" si="47"/>
        <v>Monitor Sales</v>
      </c>
    </row>
    <row r="743" spans="1:21" x14ac:dyDescent="0.25">
      <c r="A743">
        <v>742</v>
      </c>
      <c r="B743" t="s">
        <v>74</v>
      </c>
      <c r="C743" t="s">
        <v>117</v>
      </c>
      <c r="D743" t="s">
        <v>121</v>
      </c>
      <c r="E743">
        <v>78</v>
      </c>
      <c r="F743">
        <v>336</v>
      </c>
      <c r="G743">
        <v>374</v>
      </c>
      <c r="H743">
        <v>4455.17</v>
      </c>
      <c r="I743">
        <v>3496.02</v>
      </c>
      <c r="J743">
        <v>79</v>
      </c>
      <c r="K743">
        <v>1</v>
      </c>
      <c r="L743" t="s">
        <v>151</v>
      </c>
      <c r="M743">
        <v>291</v>
      </c>
      <c r="N743">
        <v>4</v>
      </c>
      <c r="O743">
        <v>21</v>
      </c>
      <c r="P743" t="s">
        <v>216</v>
      </c>
      <c r="Q743" t="s">
        <v>217</v>
      </c>
      <c r="R743">
        <f t="shared" si="48"/>
        <v>-38</v>
      </c>
      <c r="S743">
        <f t="shared" si="45"/>
        <v>4.3076923076923075</v>
      </c>
      <c r="T743" t="str">
        <f t="shared" si="46"/>
        <v>Low Risk</v>
      </c>
      <c r="U743" t="str">
        <f t="shared" si="47"/>
        <v>Maintain Stock</v>
      </c>
    </row>
    <row r="744" spans="1:21" x14ac:dyDescent="0.25">
      <c r="A744">
        <v>743</v>
      </c>
      <c r="B744" t="s">
        <v>76</v>
      </c>
      <c r="C744" t="s">
        <v>117</v>
      </c>
      <c r="D744" t="s">
        <v>122</v>
      </c>
      <c r="E744">
        <v>466</v>
      </c>
      <c r="F744">
        <v>251</v>
      </c>
      <c r="G744">
        <v>261</v>
      </c>
      <c r="H744">
        <v>2539.15</v>
      </c>
      <c r="I744">
        <v>1276.49</v>
      </c>
      <c r="J744">
        <v>110</v>
      </c>
      <c r="K744">
        <v>13</v>
      </c>
      <c r="L744" t="s">
        <v>171</v>
      </c>
      <c r="M744">
        <v>248</v>
      </c>
      <c r="N744">
        <v>3</v>
      </c>
      <c r="O744">
        <v>21</v>
      </c>
      <c r="P744" t="s">
        <v>215</v>
      </c>
      <c r="Q744" t="s">
        <v>218</v>
      </c>
      <c r="R744">
        <f t="shared" si="48"/>
        <v>-10</v>
      </c>
      <c r="S744">
        <f t="shared" si="45"/>
        <v>0.53862660944206009</v>
      </c>
      <c r="T744" t="str">
        <f t="shared" si="46"/>
        <v>Medium Risk</v>
      </c>
      <c r="U744" t="str">
        <f t="shared" si="47"/>
        <v>Monitor Sales</v>
      </c>
    </row>
    <row r="745" spans="1:21" x14ac:dyDescent="0.25">
      <c r="A745">
        <v>744</v>
      </c>
      <c r="B745" t="s">
        <v>106</v>
      </c>
      <c r="C745" t="s">
        <v>120</v>
      </c>
      <c r="D745" t="s">
        <v>124</v>
      </c>
      <c r="E745">
        <v>234</v>
      </c>
      <c r="F745">
        <v>65</v>
      </c>
      <c r="G745">
        <v>48</v>
      </c>
      <c r="H745">
        <v>2281.5300000000002</v>
      </c>
      <c r="I745">
        <v>1800.27</v>
      </c>
      <c r="J745">
        <v>110</v>
      </c>
      <c r="K745">
        <v>9</v>
      </c>
      <c r="L745" t="s">
        <v>166</v>
      </c>
      <c r="M745">
        <v>272</v>
      </c>
      <c r="N745">
        <v>5</v>
      </c>
      <c r="O745">
        <v>43</v>
      </c>
      <c r="P745" t="s">
        <v>215</v>
      </c>
      <c r="Q745" t="s">
        <v>217</v>
      </c>
      <c r="R745">
        <f t="shared" si="48"/>
        <v>17</v>
      </c>
      <c r="S745">
        <f t="shared" si="45"/>
        <v>0.27777777777777779</v>
      </c>
      <c r="T745" t="str">
        <f t="shared" si="46"/>
        <v>High Risk</v>
      </c>
      <c r="U745" t="str">
        <f t="shared" si="47"/>
        <v>Apply Discount / Promotion</v>
      </c>
    </row>
    <row r="746" spans="1:21" x14ac:dyDescent="0.25">
      <c r="A746">
        <v>745</v>
      </c>
      <c r="B746" t="s">
        <v>102</v>
      </c>
      <c r="C746" t="s">
        <v>118</v>
      </c>
      <c r="D746" t="s">
        <v>124</v>
      </c>
      <c r="E746">
        <v>93</v>
      </c>
      <c r="F746">
        <v>77</v>
      </c>
      <c r="G746">
        <v>64</v>
      </c>
      <c r="H746">
        <v>2427.3000000000002</v>
      </c>
      <c r="I746">
        <v>1886.28</v>
      </c>
      <c r="J746">
        <v>49</v>
      </c>
      <c r="K746">
        <v>13</v>
      </c>
      <c r="L746" t="s">
        <v>150</v>
      </c>
      <c r="M746">
        <v>69</v>
      </c>
      <c r="N746">
        <v>2</v>
      </c>
      <c r="O746">
        <v>37</v>
      </c>
      <c r="P746" t="s">
        <v>215</v>
      </c>
      <c r="Q746" t="s">
        <v>218</v>
      </c>
      <c r="R746">
        <f t="shared" si="48"/>
        <v>13</v>
      </c>
      <c r="S746">
        <f t="shared" si="45"/>
        <v>0.82795698924731187</v>
      </c>
      <c r="T746" t="str">
        <f t="shared" si="46"/>
        <v>Medium Risk</v>
      </c>
      <c r="U746" t="str">
        <f t="shared" si="47"/>
        <v>Monitor Sales</v>
      </c>
    </row>
    <row r="747" spans="1:21" x14ac:dyDescent="0.25">
      <c r="A747">
        <v>746</v>
      </c>
      <c r="B747" t="s">
        <v>95</v>
      </c>
      <c r="C747" t="s">
        <v>118</v>
      </c>
      <c r="D747" t="s">
        <v>124</v>
      </c>
      <c r="E747">
        <v>249</v>
      </c>
      <c r="F747">
        <v>23</v>
      </c>
      <c r="G747">
        <v>30</v>
      </c>
      <c r="H747">
        <v>3904.52</v>
      </c>
      <c r="I747">
        <v>2220.87</v>
      </c>
      <c r="J747">
        <v>33</v>
      </c>
      <c r="K747">
        <v>15</v>
      </c>
      <c r="L747" t="s">
        <v>158</v>
      </c>
      <c r="M747">
        <v>159</v>
      </c>
      <c r="N747">
        <v>5</v>
      </c>
      <c r="O747">
        <v>49</v>
      </c>
      <c r="P747" t="s">
        <v>215</v>
      </c>
      <c r="Q747" t="s">
        <v>217</v>
      </c>
      <c r="R747">
        <f t="shared" si="48"/>
        <v>-7</v>
      </c>
      <c r="S747">
        <f t="shared" si="45"/>
        <v>9.2369477911646583E-2</v>
      </c>
      <c r="T747" t="str">
        <f t="shared" si="46"/>
        <v>High Risk</v>
      </c>
      <c r="U747" t="str">
        <f t="shared" si="47"/>
        <v>Apply Discount / Promotion</v>
      </c>
    </row>
    <row r="748" spans="1:21" x14ac:dyDescent="0.25">
      <c r="A748">
        <v>747</v>
      </c>
      <c r="B748" t="s">
        <v>55</v>
      </c>
      <c r="C748" t="s">
        <v>117</v>
      </c>
      <c r="D748" t="s">
        <v>124</v>
      </c>
      <c r="E748">
        <v>356</v>
      </c>
      <c r="F748">
        <v>44</v>
      </c>
      <c r="G748">
        <v>12</v>
      </c>
      <c r="H748">
        <v>857.48</v>
      </c>
      <c r="I748">
        <v>520.08000000000004</v>
      </c>
      <c r="J748">
        <v>141</v>
      </c>
      <c r="K748">
        <v>14</v>
      </c>
      <c r="L748" t="s">
        <v>186</v>
      </c>
      <c r="M748">
        <v>70</v>
      </c>
      <c r="N748">
        <v>1</v>
      </c>
      <c r="O748">
        <v>34</v>
      </c>
      <c r="P748" t="s">
        <v>215</v>
      </c>
      <c r="Q748" t="s">
        <v>217</v>
      </c>
      <c r="R748">
        <f t="shared" si="48"/>
        <v>32</v>
      </c>
      <c r="S748">
        <f t="shared" si="45"/>
        <v>0.12359550561797752</v>
      </c>
      <c r="T748" t="str">
        <f t="shared" si="46"/>
        <v>High Risk</v>
      </c>
      <c r="U748" t="str">
        <f t="shared" si="47"/>
        <v>Apply Discount / Promotion</v>
      </c>
    </row>
    <row r="749" spans="1:21" x14ac:dyDescent="0.25">
      <c r="A749">
        <v>748</v>
      </c>
      <c r="B749" t="s">
        <v>45</v>
      </c>
      <c r="C749" t="s">
        <v>116</v>
      </c>
      <c r="D749" t="s">
        <v>123</v>
      </c>
      <c r="E749">
        <v>326</v>
      </c>
      <c r="F749">
        <v>342</v>
      </c>
      <c r="G749">
        <v>390</v>
      </c>
      <c r="H749">
        <v>311.88</v>
      </c>
      <c r="I749">
        <v>237.35</v>
      </c>
      <c r="J749">
        <v>82</v>
      </c>
      <c r="K749">
        <v>1</v>
      </c>
      <c r="L749" t="s">
        <v>165</v>
      </c>
      <c r="M749">
        <v>179</v>
      </c>
      <c r="N749">
        <v>2</v>
      </c>
      <c r="O749">
        <v>47</v>
      </c>
      <c r="P749" t="s">
        <v>216</v>
      </c>
      <c r="Q749" t="s">
        <v>218</v>
      </c>
      <c r="R749">
        <f t="shared" si="48"/>
        <v>-48</v>
      </c>
      <c r="S749">
        <f t="shared" si="45"/>
        <v>1.0490797546012269</v>
      </c>
      <c r="T749" t="str">
        <f t="shared" si="46"/>
        <v>Low Risk</v>
      </c>
      <c r="U749" t="str">
        <f t="shared" si="47"/>
        <v>Maintain Stock</v>
      </c>
    </row>
    <row r="750" spans="1:21" x14ac:dyDescent="0.25">
      <c r="A750">
        <v>749</v>
      </c>
      <c r="B750" t="s">
        <v>102</v>
      </c>
      <c r="C750" t="s">
        <v>117</v>
      </c>
      <c r="D750" t="s">
        <v>121</v>
      </c>
      <c r="E750">
        <v>460</v>
      </c>
      <c r="F750">
        <v>113</v>
      </c>
      <c r="G750">
        <v>98</v>
      </c>
      <c r="H750">
        <v>4309.1000000000004</v>
      </c>
      <c r="I750">
        <v>2797.26</v>
      </c>
      <c r="J750">
        <v>50</v>
      </c>
      <c r="K750">
        <v>8</v>
      </c>
      <c r="L750" t="s">
        <v>173</v>
      </c>
      <c r="M750">
        <v>338</v>
      </c>
      <c r="N750">
        <v>4</v>
      </c>
      <c r="O750">
        <v>44</v>
      </c>
      <c r="P750" t="s">
        <v>216</v>
      </c>
      <c r="Q750" t="s">
        <v>218</v>
      </c>
      <c r="R750">
        <f t="shared" si="48"/>
        <v>15</v>
      </c>
      <c r="S750">
        <f t="shared" si="45"/>
        <v>0.24565217391304348</v>
      </c>
      <c r="T750" t="str">
        <f t="shared" si="46"/>
        <v>High Risk</v>
      </c>
      <c r="U750" t="str">
        <f t="shared" si="47"/>
        <v>Apply Discount / Promotion</v>
      </c>
    </row>
    <row r="751" spans="1:21" x14ac:dyDescent="0.25">
      <c r="A751">
        <v>750</v>
      </c>
      <c r="B751" t="s">
        <v>38</v>
      </c>
      <c r="C751" t="s">
        <v>118</v>
      </c>
      <c r="D751" t="s">
        <v>121</v>
      </c>
      <c r="E751">
        <v>317</v>
      </c>
      <c r="F751">
        <v>189</v>
      </c>
      <c r="G751">
        <v>164</v>
      </c>
      <c r="H751">
        <v>1024.1500000000001</v>
      </c>
      <c r="I751">
        <v>649.48</v>
      </c>
      <c r="J751">
        <v>54</v>
      </c>
      <c r="K751">
        <v>10</v>
      </c>
      <c r="L751" t="s">
        <v>136</v>
      </c>
      <c r="M751">
        <v>196</v>
      </c>
      <c r="N751">
        <v>1</v>
      </c>
      <c r="O751">
        <v>36</v>
      </c>
      <c r="P751" t="s">
        <v>215</v>
      </c>
      <c r="Q751" t="s">
        <v>218</v>
      </c>
      <c r="R751">
        <f t="shared" si="48"/>
        <v>25</v>
      </c>
      <c r="S751">
        <f t="shared" si="45"/>
        <v>0.59621451104100942</v>
      </c>
      <c r="T751" t="str">
        <f t="shared" si="46"/>
        <v>Medium Risk</v>
      </c>
      <c r="U751" t="str">
        <f t="shared" si="47"/>
        <v>Monitor Sales</v>
      </c>
    </row>
    <row r="752" spans="1:21" x14ac:dyDescent="0.25">
      <c r="A752">
        <v>751</v>
      </c>
      <c r="B752" t="s">
        <v>90</v>
      </c>
      <c r="C752" t="s">
        <v>120</v>
      </c>
      <c r="D752" t="s">
        <v>123</v>
      </c>
      <c r="E752">
        <v>205</v>
      </c>
      <c r="F752">
        <v>78</v>
      </c>
      <c r="G752">
        <v>40</v>
      </c>
      <c r="H752">
        <v>4547.18</v>
      </c>
      <c r="I752">
        <v>3107.22</v>
      </c>
      <c r="J752">
        <v>146</v>
      </c>
      <c r="K752">
        <v>13</v>
      </c>
      <c r="L752" t="s">
        <v>201</v>
      </c>
      <c r="M752">
        <v>124</v>
      </c>
      <c r="N752">
        <v>2</v>
      </c>
      <c r="O752">
        <v>35</v>
      </c>
      <c r="P752" t="s">
        <v>216</v>
      </c>
      <c r="Q752" t="s">
        <v>219</v>
      </c>
      <c r="R752">
        <f t="shared" si="48"/>
        <v>38</v>
      </c>
      <c r="S752">
        <f t="shared" si="45"/>
        <v>0.38048780487804879</v>
      </c>
      <c r="T752" t="str">
        <f t="shared" si="46"/>
        <v>High Risk</v>
      </c>
      <c r="U752" t="str">
        <f t="shared" si="47"/>
        <v>Apply Discount / Promotion</v>
      </c>
    </row>
    <row r="753" spans="1:21" x14ac:dyDescent="0.25">
      <c r="A753">
        <v>752</v>
      </c>
      <c r="B753" t="s">
        <v>82</v>
      </c>
      <c r="C753" t="s">
        <v>117</v>
      </c>
      <c r="D753" t="s">
        <v>121</v>
      </c>
      <c r="E753">
        <v>183</v>
      </c>
      <c r="F753">
        <v>167</v>
      </c>
      <c r="G753">
        <v>198</v>
      </c>
      <c r="H753">
        <v>4175.8599999999997</v>
      </c>
      <c r="I753">
        <v>2283.66</v>
      </c>
      <c r="J753">
        <v>81</v>
      </c>
      <c r="K753">
        <v>6</v>
      </c>
      <c r="L753" t="s">
        <v>179</v>
      </c>
      <c r="M753">
        <v>273</v>
      </c>
      <c r="N753">
        <v>3</v>
      </c>
      <c r="O753">
        <v>33</v>
      </c>
      <c r="P753" t="s">
        <v>216</v>
      </c>
      <c r="Q753" t="s">
        <v>218</v>
      </c>
      <c r="R753">
        <f t="shared" si="48"/>
        <v>-31</v>
      </c>
      <c r="S753">
        <f t="shared" si="45"/>
        <v>0.91256830601092898</v>
      </c>
      <c r="T753" t="str">
        <f t="shared" si="46"/>
        <v>Medium Risk</v>
      </c>
      <c r="U753" t="str">
        <f t="shared" si="47"/>
        <v>Monitor Sales</v>
      </c>
    </row>
    <row r="754" spans="1:21" x14ac:dyDescent="0.25">
      <c r="A754">
        <v>753</v>
      </c>
      <c r="B754" t="s">
        <v>84</v>
      </c>
      <c r="C754" t="s">
        <v>117</v>
      </c>
      <c r="D754" t="s">
        <v>123</v>
      </c>
      <c r="E754">
        <v>328</v>
      </c>
      <c r="F754">
        <v>389</v>
      </c>
      <c r="G754">
        <v>387</v>
      </c>
      <c r="H754">
        <v>3485.2</v>
      </c>
      <c r="I754">
        <v>2466.15</v>
      </c>
      <c r="J754">
        <v>139</v>
      </c>
      <c r="K754">
        <v>12</v>
      </c>
      <c r="L754" t="s">
        <v>169</v>
      </c>
      <c r="M754">
        <v>309</v>
      </c>
      <c r="N754">
        <v>3</v>
      </c>
      <c r="O754">
        <v>36</v>
      </c>
      <c r="P754" t="s">
        <v>216</v>
      </c>
      <c r="Q754" t="s">
        <v>218</v>
      </c>
      <c r="R754">
        <f t="shared" si="48"/>
        <v>2</v>
      </c>
      <c r="S754">
        <f t="shared" si="45"/>
        <v>1.1859756097560976</v>
      </c>
      <c r="T754" t="str">
        <f t="shared" si="46"/>
        <v>Low Risk</v>
      </c>
      <c r="U754" t="str">
        <f t="shared" si="47"/>
        <v>Maintain Stock</v>
      </c>
    </row>
    <row r="755" spans="1:21" x14ac:dyDescent="0.25">
      <c r="A755">
        <v>754</v>
      </c>
      <c r="B755" t="s">
        <v>69</v>
      </c>
      <c r="C755" t="s">
        <v>118</v>
      </c>
      <c r="D755" t="s">
        <v>123</v>
      </c>
      <c r="E755">
        <v>359</v>
      </c>
      <c r="F755">
        <v>146</v>
      </c>
      <c r="G755">
        <v>192</v>
      </c>
      <c r="H755">
        <v>3831.87</v>
      </c>
      <c r="I755">
        <v>2318.46</v>
      </c>
      <c r="J755">
        <v>74</v>
      </c>
      <c r="K755">
        <v>6</v>
      </c>
      <c r="L755" t="s">
        <v>209</v>
      </c>
      <c r="M755">
        <v>325</v>
      </c>
      <c r="N755">
        <v>3</v>
      </c>
      <c r="O755">
        <v>49</v>
      </c>
      <c r="P755" t="s">
        <v>215</v>
      </c>
      <c r="Q755" t="s">
        <v>217</v>
      </c>
      <c r="R755">
        <f t="shared" si="48"/>
        <v>-46</v>
      </c>
      <c r="S755">
        <f t="shared" si="45"/>
        <v>0.40668523676880225</v>
      </c>
      <c r="T755" t="str">
        <f t="shared" si="46"/>
        <v>High Risk</v>
      </c>
      <c r="U755" t="str">
        <f t="shared" si="47"/>
        <v>Apply Discount / Promotion</v>
      </c>
    </row>
    <row r="756" spans="1:21" x14ac:dyDescent="0.25">
      <c r="A756">
        <v>755</v>
      </c>
      <c r="B756" t="s">
        <v>88</v>
      </c>
      <c r="C756" t="s">
        <v>118</v>
      </c>
      <c r="D756" t="s">
        <v>122</v>
      </c>
      <c r="E756">
        <v>166</v>
      </c>
      <c r="F756">
        <v>254</v>
      </c>
      <c r="G756">
        <v>267</v>
      </c>
      <c r="H756">
        <v>2531.91</v>
      </c>
      <c r="I756">
        <v>1642.46</v>
      </c>
      <c r="J756">
        <v>86</v>
      </c>
      <c r="K756">
        <v>9</v>
      </c>
      <c r="L756" t="s">
        <v>154</v>
      </c>
      <c r="M756">
        <v>135</v>
      </c>
      <c r="N756">
        <v>3</v>
      </c>
      <c r="O756">
        <v>34</v>
      </c>
      <c r="P756" t="s">
        <v>216</v>
      </c>
      <c r="Q756" t="s">
        <v>218</v>
      </c>
      <c r="R756">
        <f t="shared" si="48"/>
        <v>-13</v>
      </c>
      <c r="S756">
        <f t="shared" si="45"/>
        <v>1.5301204819277108</v>
      </c>
      <c r="T756" t="str">
        <f t="shared" si="46"/>
        <v>Low Risk</v>
      </c>
      <c r="U756" t="str">
        <f t="shared" si="47"/>
        <v>Maintain Stock</v>
      </c>
    </row>
    <row r="757" spans="1:21" x14ac:dyDescent="0.25">
      <c r="A757">
        <v>756</v>
      </c>
      <c r="B757" t="s">
        <v>89</v>
      </c>
      <c r="C757" t="s">
        <v>119</v>
      </c>
      <c r="D757" t="s">
        <v>124</v>
      </c>
      <c r="E757">
        <v>238</v>
      </c>
      <c r="F757">
        <v>359</v>
      </c>
      <c r="G757">
        <v>383</v>
      </c>
      <c r="H757">
        <v>4381.92</v>
      </c>
      <c r="I757">
        <v>3237.02</v>
      </c>
      <c r="J757">
        <v>53</v>
      </c>
      <c r="K757">
        <v>1</v>
      </c>
      <c r="L757" t="s">
        <v>160</v>
      </c>
      <c r="M757">
        <v>112</v>
      </c>
      <c r="N757">
        <v>3</v>
      </c>
      <c r="O757">
        <v>5</v>
      </c>
      <c r="P757" t="s">
        <v>216</v>
      </c>
      <c r="Q757" t="s">
        <v>217</v>
      </c>
      <c r="R757">
        <f t="shared" si="48"/>
        <v>-24</v>
      </c>
      <c r="S757">
        <f t="shared" si="45"/>
        <v>1.5084033613445378</v>
      </c>
      <c r="T757" t="str">
        <f t="shared" si="46"/>
        <v>Low Risk</v>
      </c>
      <c r="U757" t="str">
        <f t="shared" si="47"/>
        <v>Maintain Stock</v>
      </c>
    </row>
    <row r="758" spans="1:21" x14ac:dyDescent="0.25">
      <c r="A758">
        <v>757</v>
      </c>
      <c r="B758" t="s">
        <v>107</v>
      </c>
      <c r="C758" t="s">
        <v>119</v>
      </c>
      <c r="D758" t="s">
        <v>123</v>
      </c>
      <c r="E758">
        <v>334</v>
      </c>
      <c r="F758">
        <v>168</v>
      </c>
      <c r="G758">
        <v>213</v>
      </c>
      <c r="H758">
        <v>530.26</v>
      </c>
      <c r="I758">
        <v>287.87</v>
      </c>
      <c r="J758">
        <v>52</v>
      </c>
      <c r="K758">
        <v>9</v>
      </c>
      <c r="L758" t="s">
        <v>198</v>
      </c>
      <c r="M758">
        <v>162</v>
      </c>
      <c r="N758">
        <v>2</v>
      </c>
      <c r="O758">
        <v>20</v>
      </c>
      <c r="P758" t="s">
        <v>216</v>
      </c>
      <c r="Q758" t="s">
        <v>218</v>
      </c>
      <c r="R758">
        <f t="shared" si="48"/>
        <v>-45</v>
      </c>
      <c r="S758">
        <f t="shared" si="45"/>
        <v>0.50299401197604787</v>
      </c>
      <c r="T758" t="str">
        <f t="shared" si="46"/>
        <v>Medium Risk</v>
      </c>
      <c r="U758" t="str">
        <f t="shared" si="47"/>
        <v>Monitor Sales</v>
      </c>
    </row>
    <row r="759" spans="1:21" x14ac:dyDescent="0.25">
      <c r="A759">
        <v>758</v>
      </c>
      <c r="B759" t="s">
        <v>83</v>
      </c>
      <c r="C759" t="s">
        <v>119</v>
      </c>
      <c r="D759" t="s">
        <v>123</v>
      </c>
      <c r="E759">
        <v>165</v>
      </c>
      <c r="F759">
        <v>75</v>
      </c>
      <c r="G759">
        <v>95</v>
      </c>
      <c r="H759">
        <v>976.94</v>
      </c>
      <c r="I759">
        <v>704.95</v>
      </c>
      <c r="J759">
        <v>58</v>
      </c>
      <c r="K759">
        <v>10</v>
      </c>
      <c r="L759" t="s">
        <v>139</v>
      </c>
      <c r="M759">
        <v>265</v>
      </c>
      <c r="N759">
        <v>1</v>
      </c>
      <c r="O759">
        <v>30</v>
      </c>
      <c r="P759" t="s">
        <v>216</v>
      </c>
      <c r="Q759" t="s">
        <v>217</v>
      </c>
      <c r="R759">
        <f t="shared" si="48"/>
        <v>-20</v>
      </c>
      <c r="S759">
        <f t="shared" si="45"/>
        <v>0.45454545454545453</v>
      </c>
      <c r="T759" t="str">
        <f t="shared" si="46"/>
        <v>High Risk</v>
      </c>
      <c r="U759" t="str">
        <f t="shared" si="47"/>
        <v>Apply Discount / Promotion</v>
      </c>
    </row>
    <row r="760" spans="1:21" x14ac:dyDescent="0.25">
      <c r="A760">
        <v>759</v>
      </c>
      <c r="B760" t="s">
        <v>84</v>
      </c>
      <c r="C760" t="s">
        <v>116</v>
      </c>
      <c r="D760" t="s">
        <v>121</v>
      </c>
      <c r="E760">
        <v>374</v>
      </c>
      <c r="F760">
        <v>131</v>
      </c>
      <c r="G760">
        <v>168</v>
      </c>
      <c r="H760">
        <v>4466.8900000000003</v>
      </c>
      <c r="I760">
        <v>2885.87</v>
      </c>
      <c r="J760">
        <v>80</v>
      </c>
      <c r="K760">
        <v>2</v>
      </c>
      <c r="L760" t="s">
        <v>138</v>
      </c>
      <c r="M760">
        <v>56</v>
      </c>
      <c r="N760">
        <v>1</v>
      </c>
      <c r="O760">
        <v>49</v>
      </c>
      <c r="P760" t="s">
        <v>216</v>
      </c>
      <c r="Q760" t="s">
        <v>217</v>
      </c>
      <c r="R760">
        <f t="shared" si="48"/>
        <v>-37</v>
      </c>
      <c r="S760">
        <f t="shared" si="45"/>
        <v>0.3502673796791444</v>
      </c>
      <c r="T760" t="str">
        <f t="shared" si="46"/>
        <v>High Risk</v>
      </c>
      <c r="U760" t="str">
        <f t="shared" si="47"/>
        <v>Apply Discount / Promotion</v>
      </c>
    </row>
    <row r="761" spans="1:21" x14ac:dyDescent="0.25">
      <c r="A761">
        <v>760</v>
      </c>
      <c r="B761" t="s">
        <v>45</v>
      </c>
      <c r="C761" t="s">
        <v>119</v>
      </c>
      <c r="D761" t="s">
        <v>123</v>
      </c>
      <c r="E761">
        <v>223</v>
      </c>
      <c r="F761">
        <v>409</v>
      </c>
      <c r="G761">
        <v>380</v>
      </c>
      <c r="H761">
        <v>4107.17</v>
      </c>
      <c r="I761">
        <v>3045.57</v>
      </c>
      <c r="J761">
        <v>74</v>
      </c>
      <c r="K761">
        <v>5</v>
      </c>
      <c r="L761" t="s">
        <v>152</v>
      </c>
      <c r="M761">
        <v>348</v>
      </c>
      <c r="N761">
        <v>3</v>
      </c>
      <c r="O761">
        <v>30</v>
      </c>
      <c r="P761" t="s">
        <v>215</v>
      </c>
      <c r="Q761" t="s">
        <v>217</v>
      </c>
      <c r="R761">
        <f t="shared" si="48"/>
        <v>29</v>
      </c>
      <c r="S761">
        <f t="shared" si="45"/>
        <v>1.8340807174887892</v>
      </c>
      <c r="T761" t="str">
        <f t="shared" si="46"/>
        <v>Low Risk</v>
      </c>
      <c r="U761" t="str">
        <f t="shared" si="47"/>
        <v>Maintain Stock</v>
      </c>
    </row>
    <row r="762" spans="1:21" x14ac:dyDescent="0.25">
      <c r="A762">
        <v>761</v>
      </c>
      <c r="B762" t="s">
        <v>88</v>
      </c>
      <c r="C762" t="s">
        <v>118</v>
      </c>
      <c r="D762" t="s">
        <v>121</v>
      </c>
      <c r="E762">
        <v>495</v>
      </c>
      <c r="F762">
        <v>219</v>
      </c>
      <c r="G762">
        <v>248</v>
      </c>
      <c r="H762">
        <v>1203.94</v>
      </c>
      <c r="I762">
        <v>896.49</v>
      </c>
      <c r="J762">
        <v>59</v>
      </c>
      <c r="K762">
        <v>3</v>
      </c>
      <c r="L762" t="s">
        <v>136</v>
      </c>
      <c r="M762">
        <v>176</v>
      </c>
      <c r="N762">
        <v>3</v>
      </c>
      <c r="O762">
        <v>43</v>
      </c>
      <c r="P762" t="s">
        <v>216</v>
      </c>
      <c r="Q762" t="s">
        <v>218</v>
      </c>
      <c r="R762">
        <f t="shared" si="48"/>
        <v>-29</v>
      </c>
      <c r="S762">
        <f t="shared" si="45"/>
        <v>0.44242424242424244</v>
      </c>
      <c r="T762" t="str">
        <f t="shared" si="46"/>
        <v>High Risk</v>
      </c>
      <c r="U762" t="str">
        <f t="shared" si="47"/>
        <v>Apply Discount / Promotion</v>
      </c>
    </row>
    <row r="763" spans="1:21" x14ac:dyDescent="0.25">
      <c r="A763">
        <v>762</v>
      </c>
      <c r="B763" t="s">
        <v>48</v>
      </c>
      <c r="C763" t="s">
        <v>119</v>
      </c>
      <c r="D763" t="s">
        <v>124</v>
      </c>
      <c r="E763">
        <v>468</v>
      </c>
      <c r="F763">
        <v>284</v>
      </c>
      <c r="G763">
        <v>244</v>
      </c>
      <c r="H763">
        <v>3319.51</v>
      </c>
      <c r="I763">
        <v>1844.94</v>
      </c>
      <c r="J763">
        <v>126</v>
      </c>
      <c r="K763">
        <v>15</v>
      </c>
      <c r="L763" t="s">
        <v>126</v>
      </c>
      <c r="M763">
        <v>306</v>
      </c>
      <c r="N763">
        <v>1</v>
      </c>
      <c r="O763">
        <v>7</v>
      </c>
      <c r="P763" t="s">
        <v>216</v>
      </c>
      <c r="Q763" t="s">
        <v>217</v>
      </c>
      <c r="R763">
        <f t="shared" si="48"/>
        <v>40</v>
      </c>
      <c r="S763">
        <f t="shared" si="45"/>
        <v>0.60683760683760679</v>
      </c>
      <c r="T763" t="str">
        <f t="shared" si="46"/>
        <v>Medium Risk</v>
      </c>
      <c r="U763" t="str">
        <f t="shared" si="47"/>
        <v>Monitor Sales</v>
      </c>
    </row>
    <row r="764" spans="1:21" x14ac:dyDescent="0.25">
      <c r="A764">
        <v>763</v>
      </c>
      <c r="B764" t="s">
        <v>97</v>
      </c>
      <c r="C764" t="s">
        <v>120</v>
      </c>
      <c r="D764" t="s">
        <v>121</v>
      </c>
      <c r="E764">
        <v>384</v>
      </c>
      <c r="F764">
        <v>170</v>
      </c>
      <c r="G764">
        <v>144</v>
      </c>
      <c r="H764">
        <v>182.22</v>
      </c>
      <c r="I764">
        <v>108.68</v>
      </c>
      <c r="J764">
        <v>116</v>
      </c>
      <c r="K764">
        <v>13</v>
      </c>
      <c r="L764" t="s">
        <v>210</v>
      </c>
      <c r="M764">
        <v>309</v>
      </c>
      <c r="N764">
        <v>4</v>
      </c>
      <c r="O764">
        <v>17</v>
      </c>
      <c r="P764" t="s">
        <v>215</v>
      </c>
      <c r="Q764" t="s">
        <v>218</v>
      </c>
      <c r="R764">
        <f t="shared" si="48"/>
        <v>26</v>
      </c>
      <c r="S764">
        <f t="shared" si="45"/>
        <v>0.44270833333333331</v>
      </c>
      <c r="T764" t="str">
        <f t="shared" si="46"/>
        <v>High Risk</v>
      </c>
      <c r="U764" t="str">
        <f t="shared" si="47"/>
        <v>Apply Discount / Promotion</v>
      </c>
    </row>
    <row r="765" spans="1:21" x14ac:dyDescent="0.25">
      <c r="A765">
        <v>764</v>
      </c>
      <c r="B765" t="s">
        <v>24</v>
      </c>
      <c r="C765" t="s">
        <v>117</v>
      </c>
      <c r="D765" t="s">
        <v>122</v>
      </c>
      <c r="E765">
        <v>122</v>
      </c>
      <c r="F765">
        <v>429</v>
      </c>
      <c r="G765">
        <v>388</v>
      </c>
      <c r="H765">
        <v>265.38</v>
      </c>
      <c r="I765">
        <v>166.57</v>
      </c>
      <c r="J765">
        <v>119</v>
      </c>
      <c r="K765">
        <v>9</v>
      </c>
      <c r="L765" t="s">
        <v>171</v>
      </c>
      <c r="M765">
        <v>151</v>
      </c>
      <c r="N765">
        <v>5</v>
      </c>
      <c r="O765">
        <v>30</v>
      </c>
      <c r="P765" t="s">
        <v>215</v>
      </c>
      <c r="Q765" t="s">
        <v>218</v>
      </c>
      <c r="R765">
        <f t="shared" si="48"/>
        <v>41</v>
      </c>
      <c r="S765">
        <f t="shared" si="45"/>
        <v>3.5163934426229506</v>
      </c>
      <c r="T765" t="str">
        <f t="shared" si="46"/>
        <v>Low Risk</v>
      </c>
      <c r="U765" t="str">
        <f t="shared" si="47"/>
        <v>Maintain Stock</v>
      </c>
    </row>
    <row r="766" spans="1:21" x14ac:dyDescent="0.25">
      <c r="A766">
        <v>765</v>
      </c>
      <c r="B766" t="s">
        <v>78</v>
      </c>
      <c r="C766" t="s">
        <v>120</v>
      </c>
      <c r="D766" t="s">
        <v>121</v>
      </c>
      <c r="E766">
        <v>335</v>
      </c>
      <c r="F766">
        <v>313</v>
      </c>
      <c r="G766">
        <v>320</v>
      </c>
      <c r="H766">
        <v>3600.36</v>
      </c>
      <c r="I766">
        <v>2271.3000000000002</v>
      </c>
      <c r="J766">
        <v>149</v>
      </c>
      <c r="K766">
        <v>9</v>
      </c>
      <c r="L766" t="s">
        <v>139</v>
      </c>
      <c r="M766">
        <v>157</v>
      </c>
      <c r="N766">
        <v>4</v>
      </c>
      <c r="O766">
        <v>4</v>
      </c>
      <c r="P766" t="s">
        <v>215</v>
      </c>
      <c r="Q766" t="s">
        <v>218</v>
      </c>
      <c r="R766">
        <f t="shared" si="48"/>
        <v>-7</v>
      </c>
      <c r="S766">
        <f t="shared" si="45"/>
        <v>0.93432835820895521</v>
      </c>
      <c r="T766" t="str">
        <f t="shared" si="46"/>
        <v>Medium Risk</v>
      </c>
      <c r="U766" t="str">
        <f t="shared" si="47"/>
        <v>Monitor Sales</v>
      </c>
    </row>
    <row r="767" spans="1:21" x14ac:dyDescent="0.25">
      <c r="A767">
        <v>766</v>
      </c>
      <c r="B767" t="s">
        <v>58</v>
      </c>
      <c r="C767" t="s">
        <v>117</v>
      </c>
      <c r="D767" t="s">
        <v>121</v>
      </c>
      <c r="E767">
        <v>141</v>
      </c>
      <c r="F767">
        <v>386</v>
      </c>
      <c r="G767">
        <v>356</v>
      </c>
      <c r="H767">
        <v>2365.11</v>
      </c>
      <c r="I767">
        <v>1671.14</v>
      </c>
      <c r="J767">
        <v>114</v>
      </c>
      <c r="K767">
        <v>12</v>
      </c>
      <c r="L767" t="s">
        <v>178</v>
      </c>
      <c r="M767">
        <v>348</v>
      </c>
      <c r="N767">
        <v>5</v>
      </c>
      <c r="O767">
        <v>14</v>
      </c>
      <c r="P767" t="s">
        <v>216</v>
      </c>
      <c r="Q767" t="s">
        <v>219</v>
      </c>
      <c r="R767">
        <f t="shared" si="48"/>
        <v>30</v>
      </c>
      <c r="S767">
        <f t="shared" si="45"/>
        <v>2.7375886524822697</v>
      </c>
      <c r="T767" t="str">
        <f t="shared" si="46"/>
        <v>Low Risk</v>
      </c>
      <c r="U767" t="str">
        <f t="shared" si="47"/>
        <v>Maintain Stock</v>
      </c>
    </row>
    <row r="768" spans="1:21" x14ac:dyDescent="0.25">
      <c r="A768">
        <v>767</v>
      </c>
      <c r="B768" t="s">
        <v>50</v>
      </c>
      <c r="C768" t="s">
        <v>119</v>
      </c>
      <c r="D768" t="s">
        <v>121</v>
      </c>
      <c r="E768">
        <v>119</v>
      </c>
      <c r="F768">
        <v>127</v>
      </c>
      <c r="G768">
        <v>119</v>
      </c>
      <c r="H768">
        <v>3138.06</v>
      </c>
      <c r="I768">
        <v>2106.2399999999998</v>
      </c>
      <c r="J768">
        <v>101</v>
      </c>
      <c r="K768">
        <v>15</v>
      </c>
      <c r="L768" t="s">
        <v>200</v>
      </c>
      <c r="M768">
        <v>183</v>
      </c>
      <c r="N768">
        <v>2</v>
      </c>
      <c r="O768">
        <v>7</v>
      </c>
      <c r="P768" t="s">
        <v>215</v>
      </c>
      <c r="Q768" t="s">
        <v>218</v>
      </c>
      <c r="R768">
        <f t="shared" si="48"/>
        <v>8</v>
      </c>
      <c r="S768">
        <f t="shared" si="45"/>
        <v>1.0672268907563025</v>
      </c>
      <c r="T768" t="str">
        <f t="shared" si="46"/>
        <v>Low Risk</v>
      </c>
      <c r="U768" t="str">
        <f t="shared" si="47"/>
        <v>Maintain Stock</v>
      </c>
    </row>
    <row r="769" spans="1:21" x14ac:dyDescent="0.25">
      <c r="A769">
        <v>768</v>
      </c>
      <c r="B769" t="s">
        <v>87</v>
      </c>
      <c r="C769" t="s">
        <v>120</v>
      </c>
      <c r="D769" t="s">
        <v>121</v>
      </c>
      <c r="E769">
        <v>369</v>
      </c>
      <c r="F769">
        <v>305</v>
      </c>
      <c r="G769">
        <v>352</v>
      </c>
      <c r="H769">
        <v>4479.16</v>
      </c>
      <c r="I769">
        <v>2685.6</v>
      </c>
      <c r="J769">
        <v>119</v>
      </c>
      <c r="K769">
        <v>2</v>
      </c>
      <c r="L769" t="s">
        <v>159</v>
      </c>
      <c r="M769">
        <v>235</v>
      </c>
      <c r="N769">
        <v>3</v>
      </c>
      <c r="O769">
        <v>5</v>
      </c>
      <c r="P769" t="s">
        <v>215</v>
      </c>
      <c r="Q769" t="s">
        <v>217</v>
      </c>
      <c r="R769">
        <f t="shared" si="48"/>
        <v>-47</v>
      </c>
      <c r="S769">
        <f t="shared" si="45"/>
        <v>0.82655826558265577</v>
      </c>
      <c r="T769" t="str">
        <f t="shared" si="46"/>
        <v>Medium Risk</v>
      </c>
      <c r="U769" t="str">
        <f t="shared" si="47"/>
        <v>Monitor Sales</v>
      </c>
    </row>
    <row r="770" spans="1:21" x14ac:dyDescent="0.25">
      <c r="A770">
        <v>769</v>
      </c>
      <c r="B770" t="s">
        <v>17</v>
      </c>
      <c r="C770" t="s">
        <v>116</v>
      </c>
      <c r="D770" t="s">
        <v>123</v>
      </c>
      <c r="E770">
        <v>411</v>
      </c>
      <c r="F770">
        <v>349</v>
      </c>
      <c r="G770">
        <v>361</v>
      </c>
      <c r="H770">
        <v>2731.59</v>
      </c>
      <c r="I770">
        <v>1592.79</v>
      </c>
      <c r="J770">
        <v>119</v>
      </c>
      <c r="K770">
        <v>15</v>
      </c>
      <c r="L770" t="s">
        <v>195</v>
      </c>
      <c r="M770">
        <v>90</v>
      </c>
      <c r="N770">
        <v>2</v>
      </c>
      <c r="O770">
        <v>16</v>
      </c>
      <c r="P770" t="s">
        <v>216</v>
      </c>
      <c r="Q770" t="s">
        <v>218</v>
      </c>
      <c r="R770">
        <f t="shared" si="48"/>
        <v>-12</v>
      </c>
      <c r="S770">
        <f t="shared" ref="S770:S833" si="49">F770/E770</f>
        <v>0.84914841849148415</v>
      </c>
      <c r="T770" t="str">
        <f t="shared" si="46"/>
        <v>Medium Risk</v>
      </c>
      <c r="U770" t="str">
        <f t="shared" si="47"/>
        <v>Monitor Sales</v>
      </c>
    </row>
    <row r="771" spans="1:21" x14ac:dyDescent="0.25">
      <c r="A771">
        <v>770</v>
      </c>
      <c r="B771" t="s">
        <v>108</v>
      </c>
      <c r="C771" t="s">
        <v>118</v>
      </c>
      <c r="D771" t="s">
        <v>121</v>
      </c>
      <c r="E771">
        <v>439</v>
      </c>
      <c r="F771">
        <v>319</v>
      </c>
      <c r="G771">
        <v>367</v>
      </c>
      <c r="H771">
        <v>1037.8499999999999</v>
      </c>
      <c r="I771">
        <v>795.06</v>
      </c>
      <c r="J771">
        <v>63</v>
      </c>
      <c r="K771">
        <v>3</v>
      </c>
      <c r="L771" t="s">
        <v>127</v>
      </c>
      <c r="M771">
        <v>206</v>
      </c>
      <c r="N771">
        <v>1</v>
      </c>
      <c r="O771">
        <v>12</v>
      </c>
      <c r="P771" t="s">
        <v>215</v>
      </c>
      <c r="Q771" t="s">
        <v>219</v>
      </c>
      <c r="R771">
        <f t="shared" si="48"/>
        <v>-48</v>
      </c>
      <c r="S771">
        <f t="shared" si="49"/>
        <v>0.72665148063781326</v>
      </c>
      <c r="T771" t="str">
        <f t="shared" ref="T771:T834" si="50">IF(S771&lt;0.5,"High Risk",IF(S771&lt;1,"Medium Risk","Low Risk"))</f>
        <v>Medium Risk</v>
      </c>
      <c r="U771" t="str">
        <f t="shared" ref="U771:U834" si="51">IF(T771="High Risk","Apply Discount / Promotion",
IF(T771="Medium Risk","Monitor Sales",
"Maintain Stock"))</f>
        <v>Monitor Sales</v>
      </c>
    </row>
    <row r="772" spans="1:21" x14ac:dyDescent="0.25">
      <c r="A772">
        <v>771</v>
      </c>
      <c r="B772" t="s">
        <v>52</v>
      </c>
      <c r="C772" t="s">
        <v>117</v>
      </c>
      <c r="D772" t="s">
        <v>122</v>
      </c>
      <c r="E772">
        <v>465</v>
      </c>
      <c r="F772">
        <v>281</v>
      </c>
      <c r="G772">
        <v>280</v>
      </c>
      <c r="H772">
        <v>1651.09</v>
      </c>
      <c r="I772">
        <v>1284.55</v>
      </c>
      <c r="J772">
        <v>62</v>
      </c>
      <c r="K772">
        <v>13</v>
      </c>
      <c r="L772" t="s">
        <v>194</v>
      </c>
      <c r="M772">
        <v>308</v>
      </c>
      <c r="N772">
        <v>4</v>
      </c>
      <c r="O772">
        <v>4</v>
      </c>
      <c r="P772" t="s">
        <v>216</v>
      </c>
      <c r="Q772" t="s">
        <v>219</v>
      </c>
      <c r="R772">
        <f t="shared" si="48"/>
        <v>1</v>
      </c>
      <c r="S772">
        <f t="shared" si="49"/>
        <v>0.60430107526881716</v>
      </c>
      <c r="T772" t="str">
        <f t="shared" si="50"/>
        <v>Medium Risk</v>
      </c>
      <c r="U772" t="str">
        <f t="shared" si="51"/>
        <v>Monitor Sales</v>
      </c>
    </row>
    <row r="773" spans="1:21" x14ac:dyDescent="0.25">
      <c r="A773">
        <v>772</v>
      </c>
      <c r="B773" t="s">
        <v>69</v>
      </c>
      <c r="C773" t="s">
        <v>119</v>
      </c>
      <c r="D773" t="s">
        <v>122</v>
      </c>
      <c r="E773">
        <v>293</v>
      </c>
      <c r="F773">
        <v>204</v>
      </c>
      <c r="G773">
        <v>184</v>
      </c>
      <c r="H773">
        <v>504.3</v>
      </c>
      <c r="I773">
        <v>354.28</v>
      </c>
      <c r="J773">
        <v>74</v>
      </c>
      <c r="K773">
        <v>13</v>
      </c>
      <c r="L773" t="s">
        <v>185</v>
      </c>
      <c r="M773">
        <v>359</v>
      </c>
      <c r="N773">
        <v>5</v>
      </c>
      <c r="O773">
        <v>32</v>
      </c>
      <c r="P773" t="s">
        <v>215</v>
      </c>
      <c r="Q773" t="s">
        <v>218</v>
      </c>
      <c r="R773">
        <f t="shared" si="48"/>
        <v>20</v>
      </c>
      <c r="S773">
        <f t="shared" si="49"/>
        <v>0.69624573378839594</v>
      </c>
      <c r="T773" t="str">
        <f t="shared" si="50"/>
        <v>Medium Risk</v>
      </c>
      <c r="U773" t="str">
        <f t="shared" si="51"/>
        <v>Monitor Sales</v>
      </c>
    </row>
    <row r="774" spans="1:21" x14ac:dyDescent="0.25">
      <c r="A774">
        <v>773</v>
      </c>
      <c r="B774" t="s">
        <v>46</v>
      </c>
      <c r="C774" t="s">
        <v>117</v>
      </c>
      <c r="D774" t="s">
        <v>123</v>
      </c>
      <c r="E774">
        <v>137</v>
      </c>
      <c r="F774">
        <v>37</v>
      </c>
      <c r="G774">
        <v>56</v>
      </c>
      <c r="H774">
        <v>2884.43</v>
      </c>
      <c r="I774">
        <v>2087.87</v>
      </c>
      <c r="J774">
        <v>33</v>
      </c>
      <c r="K774">
        <v>10</v>
      </c>
      <c r="L774" t="s">
        <v>139</v>
      </c>
      <c r="M774">
        <v>332</v>
      </c>
      <c r="N774">
        <v>3</v>
      </c>
      <c r="O774">
        <v>2</v>
      </c>
      <c r="P774" t="s">
        <v>216</v>
      </c>
      <c r="Q774" t="s">
        <v>218</v>
      </c>
      <c r="R774">
        <f t="shared" si="48"/>
        <v>-19</v>
      </c>
      <c r="S774">
        <f t="shared" si="49"/>
        <v>0.27007299270072993</v>
      </c>
      <c r="T774" t="str">
        <f t="shared" si="50"/>
        <v>High Risk</v>
      </c>
      <c r="U774" t="str">
        <f t="shared" si="51"/>
        <v>Apply Discount / Promotion</v>
      </c>
    </row>
    <row r="775" spans="1:21" x14ac:dyDescent="0.25">
      <c r="A775">
        <v>774</v>
      </c>
      <c r="B775" t="s">
        <v>60</v>
      </c>
      <c r="C775" t="s">
        <v>116</v>
      </c>
      <c r="D775" t="s">
        <v>122</v>
      </c>
      <c r="E775">
        <v>249</v>
      </c>
      <c r="F775">
        <v>361</v>
      </c>
      <c r="G775">
        <v>363</v>
      </c>
      <c r="H775">
        <v>248.57</v>
      </c>
      <c r="I775">
        <v>128.47</v>
      </c>
      <c r="J775">
        <v>150</v>
      </c>
      <c r="K775">
        <v>8</v>
      </c>
      <c r="L775" t="s">
        <v>206</v>
      </c>
      <c r="M775">
        <v>192</v>
      </c>
      <c r="N775">
        <v>5</v>
      </c>
      <c r="O775">
        <v>17</v>
      </c>
      <c r="P775" t="s">
        <v>216</v>
      </c>
      <c r="Q775" t="s">
        <v>218</v>
      </c>
      <c r="R775">
        <f t="shared" si="48"/>
        <v>-2</v>
      </c>
      <c r="S775">
        <f t="shared" si="49"/>
        <v>1.4497991967871486</v>
      </c>
      <c r="T775" t="str">
        <f t="shared" si="50"/>
        <v>Low Risk</v>
      </c>
      <c r="U775" t="str">
        <f t="shared" si="51"/>
        <v>Maintain Stock</v>
      </c>
    </row>
    <row r="776" spans="1:21" x14ac:dyDescent="0.25">
      <c r="A776">
        <v>775</v>
      </c>
      <c r="B776" t="s">
        <v>28</v>
      </c>
      <c r="C776" t="s">
        <v>119</v>
      </c>
      <c r="D776" t="s">
        <v>124</v>
      </c>
      <c r="E776">
        <v>489</v>
      </c>
      <c r="F776">
        <v>135</v>
      </c>
      <c r="G776">
        <v>170</v>
      </c>
      <c r="H776">
        <v>492.97</v>
      </c>
      <c r="I776">
        <v>285.24</v>
      </c>
      <c r="J776">
        <v>139</v>
      </c>
      <c r="K776">
        <v>1</v>
      </c>
      <c r="L776" t="s">
        <v>201</v>
      </c>
      <c r="M776">
        <v>152</v>
      </c>
      <c r="N776">
        <v>5</v>
      </c>
      <c r="O776">
        <v>4</v>
      </c>
      <c r="P776" t="s">
        <v>215</v>
      </c>
      <c r="Q776" t="s">
        <v>218</v>
      </c>
      <c r="R776">
        <f t="shared" si="48"/>
        <v>-35</v>
      </c>
      <c r="S776">
        <f t="shared" si="49"/>
        <v>0.27607361963190186</v>
      </c>
      <c r="T776" t="str">
        <f t="shared" si="50"/>
        <v>High Risk</v>
      </c>
      <c r="U776" t="str">
        <f t="shared" si="51"/>
        <v>Apply Discount / Promotion</v>
      </c>
    </row>
    <row r="777" spans="1:21" x14ac:dyDescent="0.25">
      <c r="A777">
        <v>776</v>
      </c>
      <c r="B777" t="s">
        <v>109</v>
      </c>
      <c r="C777" t="s">
        <v>119</v>
      </c>
      <c r="D777" t="s">
        <v>122</v>
      </c>
      <c r="E777">
        <v>189</v>
      </c>
      <c r="F777">
        <v>69</v>
      </c>
      <c r="G777">
        <v>49</v>
      </c>
      <c r="H777">
        <v>4313.47</v>
      </c>
      <c r="I777">
        <v>3124.8</v>
      </c>
      <c r="J777">
        <v>72</v>
      </c>
      <c r="K777">
        <v>9</v>
      </c>
      <c r="L777" t="s">
        <v>205</v>
      </c>
      <c r="M777">
        <v>263</v>
      </c>
      <c r="N777">
        <v>5</v>
      </c>
      <c r="O777">
        <v>43</v>
      </c>
      <c r="P777" t="s">
        <v>215</v>
      </c>
      <c r="Q777" t="s">
        <v>218</v>
      </c>
      <c r="R777">
        <f t="shared" si="48"/>
        <v>20</v>
      </c>
      <c r="S777">
        <f t="shared" si="49"/>
        <v>0.36507936507936506</v>
      </c>
      <c r="T777" t="str">
        <f t="shared" si="50"/>
        <v>High Risk</v>
      </c>
      <c r="U777" t="str">
        <f t="shared" si="51"/>
        <v>Apply Discount / Promotion</v>
      </c>
    </row>
    <row r="778" spans="1:21" x14ac:dyDescent="0.25">
      <c r="A778">
        <v>777</v>
      </c>
      <c r="B778" t="s">
        <v>69</v>
      </c>
      <c r="C778" t="s">
        <v>118</v>
      </c>
      <c r="D778" t="s">
        <v>124</v>
      </c>
      <c r="E778">
        <v>262</v>
      </c>
      <c r="F778">
        <v>306</v>
      </c>
      <c r="G778">
        <v>260</v>
      </c>
      <c r="H778">
        <v>4886.13</v>
      </c>
      <c r="I778">
        <v>3165.63</v>
      </c>
      <c r="J778">
        <v>56</v>
      </c>
      <c r="K778">
        <v>2</v>
      </c>
      <c r="L778" t="s">
        <v>206</v>
      </c>
      <c r="M778">
        <v>298</v>
      </c>
      <c r="N778">
        <v>1</v>
      </c>
      <c r="O778">
        <v>41</v>
      </c>
      <c r="P778" t="s">
        <v>216</v>
      </c>
      <c r="Q778" t="s">
        <v>218</v>
      </c>
      <c r="R778">
        <f t="shared" si="48"/>
        <v>46</v>
      </c>
      <c r="S778">
        <f t="shared" si="49"/>
        <v>1.16793893129771</v>
      </c>
      <c r="T778" t="str">
        <f t="shared" si="50"/>
        <v>Low Risk</v>
      </c>
      <c r="U778" t="str">
        <f t="shared" si="51"/>
        <v>Maintain Stock</v>
      </c>
    </row>
    <row r="779" spans="1:21" x14ac:dyDescent="0.25">
      <c r="A779">
        <v>778</v>
      </c>
      <c r="B779" t="s">
        <v>79</v>
      </c>
      <c r="C779" t="s">
        <v>119</v>
      </c>
      <c r="D779" t="s">
        <v>122</v>
      </c>
      <c r="E779">
        <v>127</v>
      </c>
      <c r="F779">
        <v>289</v>
      </c>
      <c r="G779">
        <v>246</v>
      </c>
      <c r="H779">
        <v>391.43</v>
      </c>
      <c r="I779">
        <v>211.82</v>
      </c>
      <c r="J779">
        <v>91</v>
      </c>
      <c r="K779">
        <v>15</v>
      </c>
      <c r="L779" t="s">
        <v>205</v>
      </c>
      <c r="M779">
        <v>268</v>
      </c>
      <c r="N779">
        <v>3</v>
      </c>
      <c r="O779">
        <v>11</v>
      </c>
      <c r="P779" t="s">
        <v>216</v>
      </c>
      <c r="Q779" t="s">
        <v>218</v>
      </c>
      <c r="R779">
        <f t="shared" ref="R779:R842" si="52">F779-G779</f>
        <v>43</v>
      </c>
      <c r="S779">
        <f t="shared" si="49"/>
        <v>2.2755905511811023</v>
      </c>
      <c r="T779" t="str">
        <f t="shared" si="50"/>
        <v>Low Risk</v>
      </c>
      <c r="U779" t="str">
        <f t="shared" si="51"/>
        <v>Maintain Stock</v>
      </c>
    </row>
    <row r="780" spans="1:21" x14ac:dyDescent="0.25">
      <c r="A780">
        <v>779</v>
      </c>
      <c r="B780" t="s">
        <v>39</v>
      </c>
      <c r="C780" t="s">
        <v>120</v>
      </c>
      <c r="D780" t="s">
        <v>121</v>
      </c>
      <c r="E780">
        <v>438</v>
      </c>
      <c r="F780">
        <v>247</v>
      </c>
      <c r="G780">
        <v>198</v>
      </c>
      <c r="H780">
        <v>3449.43</v>
      </c>
      <c r="I780">
        <v>1785.2</v>
      </c>
      <c r="J780">
        <v>98</v>
      </c>
      <c r="K780">
        <v>7</v>
      </c>
      <c r="L780" t="s">
        <v>142</v>
      </c>
      <c r="M780">
        <v>120</v>
      </c>
      <c r="N780">
        <v>3</v>
      </c>
      <c r="O780">
        <v>42</v>
      </c>
      <c r="P780" t="s">
        <v>215</v>
      </c>
      <c r="Q780" t="s">
        <v>218</v>
      </c>
      <c r="R780">
        <f t="shared" si="52"/>
        <v>49</v>
      </c>
      <c r="S780">
        <f t="shared" si="49"/>
        <v>0.5639269406392694</v>
      </c>
      <c r="T780" t="str">
        <f t="shared" si="50"/>
        <v>Medium Risk</v>
      </c>
      <c r="U780" t="str">
        <f t="shared" si="51"/>
        <v>Monitor Sales</v>
      </c>
    </row>
    <row r="781" spans="1:21" x14ac:dyDescent="0.25">
      <c r="A781">
        <v>780</v>
      </c>
      <c r="B781" t="s">
        <v>106</v>
      </c>
      <c r="C781" t="s">
        <v>118</v>
      </c>
      <c r="D781" t="s">
        <v>124</v>
      </c>
      <c r="E781">
        <v>422</v>
      </c>
      <c r="F781">
        <v>97</v>
      </c>
      <c r="G781">
        <v>48</v>
      </c>
      <c r="H781">
        <v>4706.75</v>
      </c>
      <c r="I781">
        <v>2534.61</v>
      </c>
      <c r="J781">
        <v>36</v>
      </c>
      <c r="K781">
        <v>1</v>
      </c>
      <c r="L781" t="s">
        <v>126</v>
      </c>
      <c r="M781">
        <v>44</v>
      </c>
      <c r="N781">
        <v>4</v>
      </c>
      <c r="O781">
        <v>31</v>
      </c>
      <c r="P781" t="s">
        <v>216</v>
      </c>
      <c r="Q781" t="s">
        <v>219</v>
      </c>
      <c r="R781">
        <f t="shared" si="52"/>
        <v>49</v>
      </c>
      <c r="S781">
        <f t="shared" si="49"/>
        <v>0.22985781990521326</v>
      </c>
      <c r="T781" t="str">
        <f t="shared" si="50"/>
        <v>High Risk</v>
      </c>
      <c r="U781" t="str">
        <f t="shared" si="51"/>
        <v>Apply Discount / Promotion</v>
      </c>
    </row>
    <row r="782" spans="1:21" x14ac:dyDescent="0.25">
      <c r="A782">
        <v>781</v>
      </c>
      <c r="B782" t="s">
        <v>49</v>
      </c>
      <c r="C782" t="s">
        <v>119</v>
      </c>
      <c r="D782" t="s">
        <v>122</v>
      </c>
      <c r="E782">
        <v>342</v>
      </c>
      <c r="F782">
        <v>128</v>
      </c>
      <c r="G782">
        <v>178</v>
      </c>
      <c r="H782">
        <v>4135.88</v>
      </c>
      <c r="I782">
        <v>3242.75</v>
      </c>
      <c r="J782">
        <v>111</v>
      </c>
      <c r="K782">
        <v>15</v>
      </c>
      <c r="L782" t="s">
        <v>176</v>
      </c>
      <c r="M782">
        <v>182</v>
      </c>
      <c r="N782">
        <v>5</v>
      </c>
      <c r="O782">
        <v>33</v>
      </c>
      <c r="P782" t="s">
        <v>216</v>
      </c>
      <c r="Q782" t="s">
        <v>218</v>
      </c>
      <c r="R782">
        <f t="shared" si="52"/>
        <v>-50</v>
      </c>
      <c r="S782">
        <f t="shared" si="49"/>
        <v>0.3742690058479532</v>
      </c>
      <c r="T782" t="str">
        <f t="shared" si="50"/>
        <v>High Risk</v>
      </c>
      <c r="U782" t="str">
        <f t="shared" si="51"/>
        <v>Apply Discount / Promotion</v>
      </c>
    </row>
    <row r="783" spans="1:21" x14ac:dyDescent="0.25">
      <c r="A783">
        <v>782</v>
      </c>
      <c r="B783" t="s">
        <v>70</v>
      </c>
      <c r="C783" t="s">
        <v>120</v>
      </c>
      <c r="D783" t="s">
        <v>121</v>
      </c>
      <c r="E783">
        <v>188</v>
      </c>
      <c r="F783">
        <v>212</v>
      </c>
      <c r="G783">
        <v>198</v>
      </c>
      <c r="H783">
        <v>314.64</v>
      </c>
      <c r="I783">
        <v>213.03</v>
      </c>
      <c r="J783">
        <v>65</v>
      </c>
      <c r="K783">
        <v>12</v>
      </c>
      <c r="L783" t="s">
        <v>152</v>
      </c>
      <c r="M783">
        <v>132</v>
      </c>
      <c r="N783">
        <v>4</v>
      </c>
      <c r="O783">
        <v>44</v>
      </c>
      <c r="P783" t="s">
        <v>215</v>
      </c>
      <c r="Q783" t="s">
        <v>218</v>
      </c>
      <c r="R783">
        <f t="shared" si="52"/>
        <v>14</v>
      </c>
      <c r="S783">
        <f t="shared" si="49"/>
        <v>1.1276595744680851</v>
      </c>
      <c r="T783" t="str">
        <f t="shared" si="50"/>
        <v>Low Risk</v>
      </c>
      <c r="U783" t="str">
        <f t="shared" si="51"/>
        <v>Maintain Stock</v>
      </c>
    </row>
    <row r="784" spans="1:21" x14ac:dyDescent="0.25">
      <c r="A784">
        <v>783</v>
      </c>
      <c r="B784" t="s">
        <v>115</v>
      </c>
      <c r="C784" t="s">
        <v>116</v>
      </c>
      <c r="D784" t="s">
        <v>123</v>
      </c>
      <c r="E784">
        <v>218</v>
      </c>
      <c r="F784">
        <v>132</v>
      </c>
      <c r="G784">
        <v>123</v>
      </c>
      <c r="H784">
        <v>2076.9899999999998</v>
      </c>
      <c r="I784">
        <v>1274.47</v>
      </c>
      <c r="J784">
        <v>45</v>
      </c>
      <c r="K784">
        <v>6</v>
      </c>
      <c r="L784" t="s">
        <v>137</v>
      </c>
      <c r="M784">
        <v>221</v>
      </c>
      <c r="N784">
        <v>5</v>
      </c>
      <c r="O784">
        <v>2</v>
      </c>
      <c r="P784" t="s">
        <v>216</v>
      </c>
      <c r="Q784" t="s">
        <v>219</v>
      </c>
      <c r="R784">
        <f t="shared" si="52"/>
        <v>9</v>
      </c>
      <c r="S784">
        <f t="shared" si="49"/>
        <v>0.60550458715596334</v>
      </c>
      <c r="T784" t="str">
        <f t="shared" si="50"/>
        <v>Medium Risk</v>
      </c>
      <c r="U784" t="str">
        <f t="shared" si="51"/>
        <v>Monitor Sales</v>
      </c>
    </row>
    <row r="785" spans="1:21" x14ac:dyDescent="0.25">
      <c r="A785">
        <v>784</v>
      </c>
      <c r="B785" t="s">
        <v>111</v>
      </c>
      <c r="C785" t="s">
        <v>119</v>
      </c>
      <c r="D785" t="s">
        <v>121</v>
      </c>
      <c r="E785">
        <v>112</v>
      </c>
      <c r="F785">
        <v>138</v>
      </c>
      <c r="G785">
        <v>135</v>
      </c>
      <c r="H785">
        <v>1409.55</v>
      </c>
      <c r="I785">
        <v>920.83</v>
      </c>
      <c r="J785">
        <v>106</v>
      </c>
      <c r="K785">
        <v>14</v>
      </c>
      <c r="L785" t="s">
        <v>214</v>
      </c>
      <c r="M785">
        <v>120</v>
      </c>
      <c r="N785">
        <v>2</v>
      </c>
      <c r="O785">
        <v>5</v>
      </c>
      <c r="P785" t="s">
        <v>216</v>
      </c>
      <c r="Q785" t="s">
        <v>217</v>
      </c>
      <c r="R785">
        <f t="shared" si="52"/>
        <v>3</v>
      </c>
      <c r="S785">
        <f t="shared" si="49"/>
        <v>1.2321428571428572</v>
      </c>
      <c r="T785" t="str">
        <f t="shared" si="50"/>
        <v>Low Risk</v>
      </c>
      <c r="U785" t="str">
        <f t="shared" si="51"/>
        <v>Maintain Stock</v>
      </c>
    </row>
    <row r="786" spans="1:21" x14ac:dyDescent="0.25">
      <c r="A786">
        <v>785</v>
      </c>
      <c r="B786" t="s">
        <v>85</v>
      </c>
      <c r="C786" t="s">
        <v>120</v>
      </c>
      <c r="D786" t="s">
        <v>122</v>
      </c>
      <c r="E786">
        <v>257</v>
      </c>
      <c r="F786">
        <v>314</v>
      </c>
      <c r="G786">
        <v>288</v>
      </c>
      <c r="H786">
        <v>2123.83</v>
      </c>
      <c r="I786">
        <v>1462.89</v>
      </c>
      <c r="J786">
        <v>67</v>
      </c>
      <c r="K786">
        <v>11</v>
      </c>
      <c r="L786" t="s">
        <v>155</v>
      </c>
      <c r="M786">
        <v>234</v>
      </c>
      <c r="N786">
        <v>2</v>
      </c>
      <c r="O786">
        <v>30</v>
      </c>
      <c r="P786" t="s">
        <v>216</v>
      </c>
      <c r="Q786" t="s">
        <v>217</v>
      </c>
      <c r="R786">
        <f t="shared" si="52"/>
        <v>26</v>
      </c>
      <c r="S786">
        <f t="shared" si="49"/>
        <v>1.2217898832684826</v>
      </c>
      <c r="T786" t="str">
        <f t="shared" si="50"/>
        <v>Low Risk</v>
      </c>
      <c r="U786" t="str">
        <f t="shared" si="51"/>
        <v>Maintain Stock</v>
      </c>
    </row>
    <row r="787" spans="1:21" x14ac:dyDescent="0.25">
      <c r="A787">
        <v>786</v>
      </c>
      <c r="B787" t="s">
        <v>84</v>
      </c>
      <c r="C787" t="s">
        <v>116</v>
      </c>
      <c r="D787" t="s">
        <v>121</v>
      </c>
      <c r="E787">
        <v>417</v>
      </c>
      <c r="F787">
        <v>351</v>
      </c>
      <c r="G787">
        <v>320</v>
      </c>
      <c r="H787">
        <v>2185.89</v>
      </c>
      <c r="I787">
        <v>1322.32</v>
      </c>
      <c r="J787">
        <v>66</v>
      </c>
      <c r="K787">
        <v>6</v>
      </c>
      <c r="L787" t="s">
        <v>139</v>
      </c>
      <c r="M787">
        <v>138</v>
      </c>
      <c r="N787">
        <v>3</v>
      </c>
      <c r="O787">
        <v>48</v>
      </c>
      <c r="P787" t="s">
        <v>216</v>
      </c>
      <c r="Q787" t="s">
        <v>217</v>
      </c>
      <c r="R787">
        <f t="shared" si="52"/>
        <v>31</v>
      </c>
      <c r="S787">
        <f t="shared" si="49"/>
        <v>0.84172661870503596</v>
      </c>
      <c r="T787" t="str">
        <f t="shared" si="50"/>
        <v>Medium Risk</v>
      </c>
      <c r="U787" t="str">
        <f t="shared" si="51"/>
        <v>Monitor Sales</v>
      </c>
    </row>
    <row r="788" spans="1:21" x14ac:dyDescent="0.25">
      <c r="A788">
        <v>787</v>
      </c>
      <c r="B788" t="s">
        <v>55</v>
      </c>
      <c r="C788" t="s">
        <v>120</v>
      </c>
      <c r="D788" t="s">
        <v>124</v>
      </c>
      <c r="E788">
        <v>165</v>
      </c>
      <c r="F788">
        <v>78</v>
      </c>
      <c r="G788">
        <v>103</v>
      </c>
      <c r="H788">
        <v>2377.13</v>
      </c>
      <c r="I788">
        <v>1805.94</v>
      </c>
      <c r="J788">
        <v>106</v>
      </c>
      <c r="K788">
        <v>3</v>
      </c>
      <c r="L788" t="s">
        <v>208</v>
      </c>
      <c r="M788">
        <v>196</v>
      </c>
      <c r="N788">
        <v>2</v>
      </c>
      <c r="O788">
        <v>49</v>
      </c>
      <c r="P788" t="s">
        <v>216</v>
      </c>
      <c r="Q788" t="s">
        <v>219</v>
      </c>
      <c r="R788">
        <f t="shared" si="52"/>
        <v>-25</v>
      </c>
      <c r="S788">
        <f t="shared" si="49"/>
        <v>0.47272727272727272</v>
      </c>
      <c r="T788" t="str">
        <f t="shared" si="50"/>
        <v>High Risk</v>
      </c>
      <c r="U788" t="str">
        <f t="shared" si="51"/>
        <v>Apply Discount / Promotion</v>
      </c>
    </row>
    <row r="789" spans="1:21" x14ac:dyDescent="0.25">
      <c r="A789">
        <v>788</v>
      </c>
      <c r="B789" t="s">
        <v>51</v>
      </c>
      <c r="C789" t="s">
        <v>120</v>
      </c>
      <c r="D789" t="s">
        <v>123</v>
      </c>
      <c r="E789">
        <v>350</v>
      </c>
      <c r="F789">
        <v>365</v>
      </c>
      <c r="G789">
        <v>397</v>
      </c>
      <c r="H789">
        <v>1713.55</v>
      </c>
      <c r="I789">
        <v>1111.3</v>
      </c>
      <c r="J789">
        <v>30</v>
      </c>
      <c r="K789">
        <v>6</v>
      </c>
      <c r="L789" t="s">
        <v>166</v>
      </c>
      <c r="M789">
        <v>37</v>
      </c>
      <c r="N789">
        <v>4</v>
      </c>
      <c r="O789">
        <v>38</v>
      </c>
      <c r="P789" t="s">
        <v>215</v>
      </c>
      <c r="Q789" t="s">
        <v>217</v>
      </c>
      <c r="R789">
        <f t="shared" si="52"/>
        <v>-32</v>
      </c>
      <c r="S789">
        <f t="shared" si="49"/>
        <v>1.0428571428571429</v>
      </c>
      <c r="T789" t="str">
        <f t="shared" si="50"/>
        <v>Low Risk</v>
      </c>
      <c r="U789" t="str">
        <f t="shared" si="51"/>
        <v>Maintain Stock</v>
      </c>
    </row>
    <row r="790" spans="1:21" x14ac:dyDescent="0.25">
      <c r="A790">
        <v>789</v>
      </c>
      <c r="B790" t="s">
        <v>92</v>
      </c>
      <c r="C790" t="s">
        <v>117</v>
      </c>
      <c r="D790" t="s">
        <v>121</v>
      </c>
      <c r="E790">
        <v>307</v>
      </c>
      <c r="F790">
        <v>139</v>
      </c>
      <c r="G790">
        <v>187</v>
      </c>
      <c r="H790">
        <v>1473.66</v>
      </c>
      <c r="I790">
        <v>881.3</v>
      </c>
      <c r="J790">
        <v>100</v>
      </c>
      <c r="K790">
        <v>7</v>
      </c>
      <c r="L790" t="s">
        <v>191</v>
      </c>
      <c r="M790">
        <v>183</v>
      </c>
      <c r="N790">
        <v>4</v>
      </c>
      <c r="O790">
        <v>27</v>
      </c>
      <c r="P790" t="s">
        <v>216</v>
      </c>
      <c r="Q790" t="s">
        <v>219</v>
      </c>
      <c r="R790">
        <f t="shared" si="52"/>
        <v>-48</v>
      </c>
      <c r="S790">
        <f t="shared" si="49"/>
        <v>0.45276872964169379</v>
      </c>
      <c r="T790" t="str">
        <f t="shared" si="50"/>
        <v>High Risk</v>
      </c>
      <c r="U790" t="str">
        <f t="shared" si="51"/>
        <v>Apply Discount / Promotion</v>
      </c>
    </row>
    <row r="791" spans="1:21" x14ac:dyDescent="0.25">
      <c r="A791">
        <v>790</v>
      </c>
      <c r="B791" t="s">
        <v>33</v>
      </c>
      <c r="C791" t="s">
        <v>117</v>
      </c>
      <c r="D791" t="s">
        <v>122</v>
      </c>
      <c r="E791">
        <v>328</v>
      </c>
      <c r="F791">
        <v>18</v>
      </c>
      <c r="G791">
        <v>24</v>
      </c>
      <c r="H791">
        <v>4891.01</v>
      </c>
      <c r="I791">
        <v>3258.89</v>
      </c>
      <c r="J791">
        <v>52</v>
      </c>
      <c r="K791">
        <v>8</v>
      </c>
      <c r="L791" t="s">
        <v>145</v>
      </c>
      <c r="M791">
        <v>56</v>
      </c>
      <c r="N791">
        <v>2</v>
      </c>
      <c r="O791">
        <v>18</v>
      </c>
      <c r="P791" t="s">
        <v>215</v>
      </c>
      <c r="Q791" t="s">
        <v>217</v>
      </c>
      <c r="R791">
        <f t="shared" si="52"/>
        <v>-6</v>
      </c>
      <c r="S791">
        <f t="shared" si="49"/>
        <v>5.4878048780487805E-2</v>
      </c>
      <c r="T791" t="str">
        <f t="shared" si="50"/>
        <v>High Risk</v>
      </c>
      <c r="U791" t="str">
        <f t="shared" si="51"/>
        <v>Apply Discount / Promotion</v>
      </c>
    </row>
    <row r="792" spans="1:21" x14ac:dyDescent="0.25">
      <c r="A792">
        <v>791</v>
      </c>
      <c r="B792" t="s">
        <v>85</v>
      </c>
      <c r="C792" t="s">
        <v>119</v>
      </c>
      <c r="D792" t="s">
        <v>122</v>
      </c>
      <c r="E792">
        <v>118</v>
      </c>
      <c r="F792">
        <v>355</v>
      </c>
      <c r="G792">
        <v>316</v>
      </c>
      <c r="H792">
        <v>2171.9299999999998</v>
      </c>
      <c r="I792">
        <v>1718.19</v>
      </c>
      <c r="J792">
        <v>105</v>
      </c>
      <c r="K792">
        <v>1</v>
      </c>
      <c r="L792" t="s">
        <v>148</v>
      </c>
      <c r="M792">
        <v>234</v>
      </c>
      <c r="N792">
        <v>1</v>
      </c>
      <c r="O792">
        <v>22</v>
      </c>
      <c r="P792" t="s">
        <v>216</v>
      </c>
      <c r="Q792" t="s">
        <v>218</v>
      </c>
      <c r="R792">
        <f t="shared" si="52"/>
        <v>39</v>
      </c>
      <c r="S792">
        <f t="shared" si="49"/>
        <v>3.0084745762711864</v>
      </c>
      <c r="T792" t="str">
        <f t="shared" si="50"/>
        <v>Low Risk</v>
      </c>
      <c r="U792" t="str">
        <f t="shared" si="51"/>
        <v>Maintain Stock</v>
      </c>
    </row>
    <row r="793" spans="1:21" x14ac:dyDescent="0.25">
      <c r="A793">
        <v>792</v>
      </c>
      <c r="B793" t="s">
        <v>86</v>
      </c>
      <c r="C793" t="s">
        <v>120</v>
      </c>
      <c r="D793" t="s">
        <v>124</v>
      </c>
      <c r="E793">
        <v>480</v>
      </c>
      <c r="F793">
        <v>274</v>
      </c>
      <c r="G793">
        <v>253</v>
      </c>
      <c r="H793">
        <v>3958.44</v>
      </c>
      <c r="I793">
        <v>2838.97</v>
      </c>
      <c r="J793">
        <v>51</v>
      </c>
      <c r="K793">
        <v>7</v>
      </c>
      <c r="L793" t="s">
        <v>162</v>
      </c>
      <c r="M793">
        <v>251</v>
      </c>
      <c r="N793">
        <v>1</v>
      </c>
      <c r="O793">
        <v>20</v>
      </c>
      <c r="P793" t="s">
        <v>215</v>
      </c>
      <c r="Q793" t="s">
        <v>217</v>
      </c>
      <c r="R793">
        <f t="shared" si="52"/>
        <v>21</v>
      </c>
      <c r="S793">
        <f t="shared" si="49"/>
        <v>0.5708333333333333</v>
      </c>
      <c r="T793" t="str">
        <f t="shared" si="50"/>
        <v>Medium Risk</v>
      </c>
      <c r="U793" t="str">
        <f t="shared" si="51"/>
        <v>Monitor Sales</v>
      </c>
    </row>
    <row r="794" spans="1:21" x14ac:dyDescent="0.25">
      <c r="A794">
        <v>793</v>
      </c>
      <c r="B794" t="s">
        <v>100</v>
      </c>
      <c r="C794" t="s">
        <v>117</v>
      </c>
      <c r="D794" t="s">
        <v>124</v>
      </c>
      <c r="E794">
        <v>269</v>
      </c>
      <c r="F794">
        <v>123</v>
      </c>
      <c r="G794">
        <v>147</v>
      </c>
      <c r="H794">
        <v>3945.66</v>
      </c>
      <c r="I794">
        <v>2913.65</v>
      </c>
      <c r="J794">
        <v>102</v>
      </c>
      <c r="K794">
        <v>2</v>
      </c>
      <c r="L794" t="s">
        <v>169</v>
      </c>
      <c r="M794">
        <v>239</v>
      </c>
      <c r="N794">
        <v>5</v>
      </c>
      <c r="O794">
        <v>24</v>
      </c>
      <c r="P794" t="s">
        <v>215</v>
      </c>
      <c r="Q794" t="s">
        <v>218</v>
      </c>
      <c r="R794">
        <f t="shared" si="52"/>
        <v>-24</v>
      </c>
      <c r="S794">
        <f t="shared" si="49"/>
        <v>0.45724907063197023</v>
      </c>
      <c r="T794" t="str">
        <f t="shared" si="50"/>
        <v>High Risk</v>
      </c>
      <c r="U794" t="str">
        <f t="shared" si="51"/>
        <v>Apply Discount / Promotion</v>
      </c>
    </row>
    <row r="795" spans="1:21" x14ac:dyDescent="0.25">
      <c r="A795">
        <v>794</v>
      </c>
      <c r="B795" t="s">
        <v>106</v>
      </c>
      <c r="C795" t="s">
        <v>116</v>
      </c>
      <c r="D795" t="s">
        <v>122</v>
      </c>
      <c r="E795">
        <v>497</v>
      </c>
      <c r="F795">
        <v>126</v>
      </c>
      <c r="G795">
        <v>151</v>
      </c>
      <c r="H795">
        <v>2170.6799999999998</v>
      </c>
      <c r="I795">
        <v>1149.28</v>
      </c>
      <c r="J795">
        <v>121</v>
      </c>
      <c r="K795">
        <v>13</v>
      </c>
      <c r="L795" t="s">
        <v>151</v>
      </c>
      <c r="M795">
        <v>155</v>
      </c>
      <c r="N795">
        <v>1</v>
      </c>
      <c r="O795">
        <v>49</v>
      </c>
      <c r="P795" t="s">
        <v>216</v>
      </c>
      <c r="Q795" t="s">
        <v>219</v>
      </c>
      <c r="R795">
        <f t="shared" si="52"/>
        <v>-25</v>
      </c>
      <c r="S795">
        <f t="shared" si="49"/>
        <v>0.25352112676056338</v>
      </c>
      <c r="T795" t="str">
        <f t="shared" si="50"/>
        <v>High Risk</v>
      </c>
      <c r="U795" t="str">
        <f t="shared" si="51"/>
        <v>Apply Discount / Promotion</v>
      </c>
    </row>
    <row r="796" spans="1:21" x14ac:dyDescent="0.25">
      <c r="A796">
        <v>795</v>
      </c>
      <c r="B796" t="s">
        <v>39</v>
      </c>
      <c r="C796" t="s">
        <v>116</v>
      </c>
      <c r="D796" t="s">
        <v>121</v>
      </c>
      <c r="E796">
        <v>113</v>
      </c>
      <c r="F796">
        <v>65</v>
      </c>
      <c r="G796">
        <v>37</v>
      </c>
      <c r="H796">
        <v>1590.68</v>
      </c>
      <c r="I796">
        <v>1242.25</v>
      </c>
      <c r="J796">
        <v>142</v>
      </c>
      <c r="K796">
        <v>6</v>
      </c>
      <c r="L796" t="s">
        <v>208</v>
      </c>
      <c r="M796">
        <v>155</v>
      </c>
      <c r="N796">
        <v>1</v>
      </c>
      <c r="O796">
        <v>50</v>
      </c>
      <c r="P796" t="s">
        <v>215</v>
      </c>
      <c r="Q796" t="s">
        <v>218</v>
      </c>
      <c r="R796">
        <f t="shared" si="52"/>
        <v>28</v>
      </c>
      <c r="S796">
        <f t="shared" si="49"/>
        <v>0.5752212389380531</v>
      </c>
      <c r="T796" t="str">
        <f t="shared" si="50"/>
        <v>Medium Risk</v>
      </c>
      <c r="U796" t="str">
        <f t="shared" si="51"/>
        <v>Monitor Sales</v>
      </c>
    </row>
    <row r="797" spans="1:21" x14ac:dyDescent="0.25">
      <c r="A797">
        <v>796</v>
      </c>
      <c r="B797" t="s">
        <v>65</v>
      </c>
      <c r="C797" t="s">
        <v>118</v>
      </c>
      <c r="D797" t="s">
        <v>124</v>
      </c>
      <c r="E797">
        <v>433</v>
      </c>
      <c r="F797">
        <v>330</v>
      </c>
      <c r="G797">
        <v>312</v>
      </c>
      <c r="H797">
        <v>1145.3599999999999</v>
      </c>
      <c r="I797">
        <v>580.33000000000004</v>
      </c>
      <c r="J797">
        <v>144</v>
      </c>
      <c r="K797">
        <v>4</v>
      </c>
      <c r="L797" t="s">
        <v>181</v>
      </c>
      <c r="M797">
        <v>89</v>
      </c>
      <c r="N797">
        <v>1</v>
      </c>
      <c r="O797">
        <v>16</v>
      </c>
      <c r="P797" t="s">
        <v>216</v>
      </c>
      <c r="Q797" t="s">
        <v>217</v>
      </c>
      <c r="R797">
        <f t="shared" si="52"/>
        <v>18</v>
      </c>
      <c r="S797">
        <f t="shared" si="49"/>
        <v>0.76212471131639725</v>
      </c>
      <c r="T797" t="str">
        <f t="shared" si="50"/>
        <v>Medium Risk</v>
      </c>
      <c r="U797" t="str">
        <f t="shared" si="51"/>
        <v>Monitor Sales</v>
      </c>
    </row>
    <row r="798" spans="1:21" x14ac:dyDescent="0.25">
      <c r="A798">
        <v>797</v>
      </c>
      <c r="B798" t="s">
        <v>22</v>
      </c>
      <c r="C798" t="s">
        <v>118</v>
      </c>
      <c r="D798" t="s">
        <v>122</v>
      </c>
      <c r="E798">
        <v>425</v>
      </c>
      <c r="F798">
        <v>6</v>
      </c>
      <c r="G798">
        <v>46</v>
      </c>
      <c r="H798">
        <v>3773.99</v>
      </c>
      <c r="I798">
        <v>2891.7</v>
      </c>
      <c r="J798">
        <v>129</v>
      </c>
      <c r="K798">
        <v>3</v>
      </c>
      <c r="L798" t="s">
        <v>187</v>
      </c>
      <c r="M798">
        <v>266</v>
      </c>
      <c r="N798">
        <v>4</v>
      </c>
      <c r="O798">
        <v>2</v>
      </c>
      <c r="P798" t="s">
        <v>216</v>
      </c>
      <c r="Q798" t="s">
        <v>218</v>
      </c>
      <c r="R798">
        <f t="shared" si="52"/>
        <v>-40</v>
      </c>
      <c r="S798">
        <f t="shared" si="49"/>
        <v>1.411764705882353E-2</v>
      </c>
      <c r="T798" t="str">
        <f t="shared" si="50"/>
        <v>High Risk</v>
      </c>
      <c r="U798" t="str">
        <f t="shared" si="51"/>
        <v>Apply Discount / Promotion</v>
      </c>
    </row>
    <row r="799" spans="1:21" x14ac:dyDescent="0.25">
      <c r="A799">
        <v>798</v>
      </c>
      <c r="B799" t="s">
        <v>113</v>
      </c>
      <c r="C799" t="s">
        <v>116</v>
      </c>
      <c r="D799" t="s">
        <v>122</v>
      </c>
      <c r="E799">
        <v>152</v>
      </c>
      <c r="F799">
        <v>354</v>
      </c>
      <c r="G799">
        <v>371</v>
      </c>
      <c r="H799">
        <v>1512.06</v>
      </c>
      <c r="I799">
        <v>1164.54</v>
      </c>
      <c r="J799">
        <v>107</v>
      </c>
      <c r="K799">
        <v>7</v>
      </c>
      <c r="L799" t="s">
        <v>131</v>
      </c>
      <c r="M799">
        <v>153</v>
      </c>
      <c r="N799">
        <v>1</v>
      </c>
      <c r="O799">
        <v>39</v>
      </c>
      <c r="P799" t="s">
        <v>215</v>
      </c>
      <c r="Q799" t="s">
        <v>219</v>
      </c>
      <c r="R799">
        <f t="shared" si="52"/>
        <v>-17</v>
      </c>
      <c r="S799">
        <f t="shared" si="49"/>
        <v>2.3289473684210527</v>
      </c>
      <c r="T799" t="str">
        <f t="shared" si="50"/>
        <v>Low Risk</v>
      </c>
      <c r="U799" t="str">
        <f t="shared" si="51"/>
        <v>Maintain Stock</v>
      </c>
    </row>
    <row r="800" spans="1:21" x14ac:dyDescent="0.25">
      <c r="A800">
        <v>799</v>
      </c>
      <c r="B800" t="s">
        <v>114</v>
      </c>
      <c r="C800" t="s">
        <v>117</v>
      </c>
      <c r="D800" t="s">
        <v>121</v>
      </c>
      <c r="E800">
        <v>25</v>
      </c>
      <c r="F800">
        <v>140</v>
      </c>
      <c r="G800">
        <v>125</v>
      </c>
      <c r="H800">
        <v>4146.93</v>
      </c>
      <c r="I800">
        <v>2611.6</v>
      </c>
      <c r="J800">
        <v>34</v>
      </c>
      <c r="K800">
        <v>10</v>
      </c>
      <c r="L800" t="s">
        <v>138</v>
      </c>
      <c r="M800">
        <v>175</v>
      </c>
      <c r="N800">
        <v>4</v>
      </c>
      <c r="O800">
        <v>28</v>
      </c>
      <c r="P800" t="s">
        <v>216</v>
      </c>
      <c r="Q800" t="s">
        <v>219</v>
      </c>
      <c r="R800">
        <f t="shared" si="52"/>
        <v>15</v>
      </c>
      <c r="S800">
        <f t="shared" si="49"/>
        <v>5.6</v>
      </c>
      <c r="T800" t="str">
        <f t="shared" si="50"/>
        <v>Low Risk</v>
      </c>
      <c r="U800" t="str">
        <f t="shared" si="51"/>
        <v>Maintain Stock</v>
      </c>
    </row>
    <row r="801" spans="1:21" x14ac:dyDescent="0.25">
      <c r="A801">
        <v>800</v>
      </c>
      <c r="B801" t="s">
        <v>75</v>
      </c>
      <c r="C801" t="s">
        <v>120</v>
      </c>
      <c r="D801" t="s">
        <v>122</v>
      </c>
      <c r="E801">
        <v>44</v>
      </c>
      <c r="F801">
        <v>253</v>
      </c>
      <c r="G801">
        <v>267</v>
      </c>
      <c r="H801">
        <v>119.8</v>
      </c>
      <c r="I801">
        <v>69.91</v>
      </c>
      <c r="J801">
        <v>85</v>
      </c>
      <c r="K801">
        <v>14</v>
      </c>
      <c r="L801" t="s">
        <v>203</v>
      </c>
      <c r="M801">
        <v>167</v>
      </c>
      <c r="N801">
        <v>5</v>
      </c>
      <c r="O801">
        <v>39</v>
      </c>
      <c r="P801" t="s">
        <v>215</v>
      </c>
      <c r="Q801" t="s">
        <v>219</v>
      </c>
      <c r="R801">
        <f t="shared" si="52"/>
        <v>-14</v>
      </c>
      <c r="S801">
        <f t="shared" si="49"/>
        <v>5.75</v>
      </c>
      <c r="T801" t="str">
        <f t="shared" si="50"/>
        <v>Low Risk</v>
      </c>
      <c r="U801" t="str">
        <f t="shared" si="51"/>
        <v>Maintain Stock</v>
      </c>
    </row>
    <row r="802" spans="1:21" x14ac:dyDescent="0.25">
      <c r="A802">
        <v>801</v>
      </c>
      <c r="B802" t="s">
        <v>113</v>
      </c>
      <c r="C802" t="s">
        <v>120</v>
      </c>
      <c r="D802" t="s">
        <v>124</v>
      </c>
      <c r="E802">
        <v>489</v>
      </c>
      <c r="F802">
        <v>26</v>
      </c>
      <c r="G802">
        <v>25</v>
      </c>
      <c r="H802">
        <v>760.11</v>
      </c>
      <c r="I802">
        <v>501.6</v>
      </c>
      <c r="J802">
        <v>128</v>
      </c>
      <c r="K802">
        <v>12</v>
      </c>
      <c r="L802" t="s">
        <v>163</v>
      </c>
      <c r="M802">
        <v>248</v>
      </c>
      <c r="N802">
        <v>5</v>
      </c>
      <c r="O802">
        <v>16</v>
      </c>
      <c r="P802" t="s">
        <v>215</v>
      </c>
      <c r="Q802" t="s">
        <v>219</v>
      </c>
      <c r="R802">
        <f t="shared" si="52"/>
        <v>1</v>
      </c>
      <c r="S802">
        <f t="shared" si="49"/>
        <v>5.3169734151329244E-2</v>
      </c>
      <c r="T802" t="str">
        <f t="shared" si="50"/>
        <v>High Risk</v>
      </c>
      <c r="U802" t="str">
        <f t="shared" si="51"/>
        <v>Apply Discount / Promotion</v>
      </c>
    </row>
    <row r="803" spans="1:21" x14ac:dyDescent="0.25">
      <c r="A803">
        <v>802</v>
      </c>
      <c r="B803" t="s">
        <v>35</v>
      </c>
      <c r="C803" t="s">
        <v>116</v>
      </c>
      <c r="D803" t="s">
        <v>124</v>
      </c>
      <c r="E803">
        <v>288</v>
      </c>
      <c r="F803">
        <v>141</v>
      </c>
      <c r="G803">
        <v>103</v>
      </c>
      <c r="H803">
        <v>1925.14</v>
      </c>
      <c r="I803">
        <v>1006.24</v>
      </c>
      <c r="J803">
        <v>79</v>
      </c>
      <c r="K803">
        <v>8</v>
      </c>
      <c r="L803" t="s">
        <v>141</v>
      </c>
      <c r="M803">
        <v>308</v>
      </c>
      <c r="N803">
        <v>3</v>
      </c>
      <c r="O803">
        <v>39</v>
      </c>
      <c r="P803" t="s">
        <v>216</v>
      </c>
      <c r="Q803" t="s">
        <v>219</v>
      </c>
      <c r="R803">
        <f t="shared" si="52"/>
        <v>38</v>
      </c>
      <c r="S803">
        <f t="shared" si="49"/>
        <v>0.48958333333333331</v>
      </c>
      <c r="T803" t="str">
        <f t="shared" si="50"/>
        <v>High Risk</v>
      </c>
      <c r="U803" t="str">
        <f t="shared" si="51"/>
        <v>Apply Discount / Promotion</v>
      </c>
    </row>
    <row r="804" spans="1:21" x14ac:dyDescent="0.25">
      <c r="A804">
        <v>803</v>
      </c>
      <c r="B804" t="s">
        <v>90</v>
      </c>
      <c r="C804" t="s">
        <v>116</v>
      </c>
      <c r="D804" t="s">
        <v>122</v>
      </c>
      <c r="E804">
        <v>433</v>
      </c>
      <c r="F804">
        <v>135</v>
      </c>
      <c r="G804">
        <v>184</v>
      </c>
      <c r="H804">
        <v>277.95</v>
      </c>
      <c r="I804">
        <v>161.91</v>
      </c>
      <c r="J804">
        <v>62</v>
      </c>
      <c r="K804">
        <v>9</v>
      </c>
      <c r="L804" t="s">
        <v>148</v>
      </c>
      <c r="M804">
        <v>322</v>
      </c>
      <c r="N804">
        <v>2</v>
      </c>
      <c r="O804">
        <v>40</v>
      </c>
      <c r="P804" t="s">
        <v>215</v>
      </c>
      <c r="Q804" t="s">
        <v>219</v>
      </c>
      <c r="R804">
        <f t="shared" si="52"/>
        <v>-49</v>
      </c>
      <c r="S804">
        <f t="shared" si="49"/>
        <v>0.31177829099307158</v>
      </c>
      <c r="T804" t="str">
        <f t="shared" si="50"/>
        <v>High Risk</v>
      </c>
      <c r="U804" t="str">
        <f t="shared" si="51"/>
        <v>Apply Discount / Promotion</v>
      </c>
    </row>
    <row r="805" spans="1:21" x14ac:dyDescent="0.25">
      <c r="A805">
        <v>804</v>
      </c>
      <c r="B805" t="s">
        <v>113</v>
      </c>
      <c r="C805" t="s">
        <v>119</v>
      </c>
      <c r="D805" t="s">
        <v>123</v>
      </c>
      <c r="E805">
        <v>416</v>
      </c>
      <c r="F805">
        <v>155</v>
      </c>
      <c r="G805">
        <v>126</v>
      </c>
      <c r="H805">
        <v>4401.08</v>
      </c>
      <c r="I805">
        <v>2588.17</v>
      </c>
      <c r="J805">
        <v>84</v>
      </c>
      <c r="K805">
        <v>13</v>
      </c>
      <c r="L805" t="s">
        <v>206</v>
      </c>
      <c r="M805">
        <v>258</v>
      </c>
      <c r="N805">
        <v>1</v>
      </c>
      <c r="O805">
        <v>26</v>
      </c>
      <c r="P805" t="s">
        <v>215</v>
      </c>
      <c r="Q805" t="s">
        <v>217</v>
      </c>
      <c r="R805">
        <f t="shared" si="52"/>
        <v>29</v>
      </c>
      <c r="S805">
        <f t="shared" si="49"/>
        <v>0.37259615384615385</v>
      </c>
      <c r="T805" t="str">
        <f t="shared" si="50"/>
        <v>High Risk</v>
      </c>
      <c r="U805" t="str">
        <f t="shared" si="51"/>
        <v>Apply Discount / Promotion</v>
      </c>
    </row>
    <row r="806" spans="1:21" x14ac:dyDescent="0.25">
      <c r="A806">
        <v>805</v>
      </c>
      <c r="B806" t="s">
        <v>49</v>
      </c>
      <c r="C806" t="s">
        <v>118</v>
      </c>
      <c r="D806" t="s">
        <v>121</v>
      </c>
      <c r="E806">
        <v>312</v>
      </c>
      <c r="F806">
        <v>242</v>
      </c>
      <c r="G806">
        <v>226</v>
      </c>
      <c r="H806">
        <v>4327.04</v>
      </c>
      <c r="I806">
        <v>2755.14</v>
      </c>
      <c r="J806">
        <v>83</v>
      </c>
      <c r="K806">
        <v>14</v>
      </c>
      <c r="L806" t="s">
        <v>145</v>
      </c>
      <c r="M806">
        <v>217</v>
      </c>
      <c r="N806">
        <v>3</v>
      </c>
      <c r="O806">
        <v>17</v>
      </c>
      <c r="P806" t="s">
        <v>215</v>
      </c>
      <c r="Q806" t="s">
        <v>218</v>
      </c>
      <c r="R806">
        <f t="shared" si="52"/>
        <v>16</v>
      </c>
      <c r="S806">
        <f t="shared" si="49"/>
        <v>0.77564102564102566</v>
      </c>
      <c r="T806" t="str">
        <f t="shared" si="50"/>
        <v>Medium Risk</v>
      </c>
      <c r="U806" t="str">
        <f t="shared" si="51"/>
        <v>Monitor Sales</v>
      </c>
    </row>
    <row r="807" spans="1:21" x14ac:dyDescent="0.25">
      <c r="A807">
        <v>806</v>
      </c>
      <c r="B807" t="s">
        <v>54</v>
      </c>
      <c r="C807" t="s">
        <v>120</v>
      </c>
      <c r="D807" t="s">
        <v>122</v>
      </c>
      <c r="E807">
        <v>298</v>
      </c>
      <c r="F807">
        <v>385</v>
      </c>
      <c r="G807">
        <v>352</v>
      </c>
      <c r="H807">
        <v>1395.21</v>
      </c>
      <c r="I807">
        <v>853.33</v>
      </c>
      <c r="J807">
        <v>70</v>
      </c>
      <c r="K807">
        <v>3</v>
      </c>
      <c r="L807" t="s">
        <v>130</v>
      </c>
      <c r="M807">
        <v>365</v>
      </c>
      <c r="N807">
        <v>3</v>
      </c>
      <c r="O807">
        <v>23</v>
      </c>
      <c r="P807" t="s">
        <v>216</v>
      </c>
      <c r="Q807" t="s">
        <v>219</v>
      </c>
      <c r="R807">
        <f t="shared" si="52"/>
        <v>33</v>
      </c>
      <c r="S807">
        <f t="shared" si="49"/>
        <v>1.2919463087248322</v>
      </c>
      <c r="T807" t="str">
        <f t="shared" si="50"/>
        <v>Low Risk</v>
      </c>
      <c r="U807" t="str">
        <f t="shared" si="51"/>
        <v>Maintain Stock</v>
      </c>
    </row>
    <row r="808" spans="1:21" x14ac:dyDescent="0.25">
      <c r="A808">
        <v>807</v>
      </c>
      <c r="B808" t="s">
        <v>99</v>
      </c>
      <c r="C808" t="s">
        <v>117</v>
      </c>
      <c r="D808" t="s">
        <v>123</v>
      </c>
      <c r="E808">
        <v>124</v>
      </c>
      <c r="F808">
        <v>359</v>
      </c>
      <c r="G808">
        <v>368</v>
      </c>
      <c r="H808">
        <v>1248.57</v>
      </c>
      <c r="I808">
        <v>846</v>
      </c>
      <c r="J808">
        <v>120</v>
      </c>
      <c r="K808">
        <v>5</v>
      </c>
      <c r="L808" t="s">
        <v>157</v>
      </c>
      <c r="M808">
        <v>155</v>
      </c>
      <c r="N808">
        <v>2</v>
      </c>
      <c r="O808">
        <v>34</v>
      </c>
      <c r="P808" t="s">
        <v>215</v>
      </c>
      <c r="Q808" t="s">
        <v>217</v>
      </c>
      <c r="R808">
        <f t="shared" si="52"/>
        <v>-9</v>
      </c>
      <c r="S808">
        <f t="shared" si="49"/>
        <v>2.8951612903225805</v>
      </c>
      <c r="T808" t="str">
        <f t="shared" si="50"/>
        <v>Low Risk</v>
      </c>
      <c r="U808" t="str">
        <f t="shared" si="51"/>
        <v>Maintain Stock</v>
      </c>
    </row>
    <row r="809" spans="1:21" x14ac:dyDescent="0.25">
      <c r="A809">
        <v>808</v>
      </c>
      <c r="B809" t="s">
        <v>59</v>
      </c>
      <c r="C809" t="s">
        <v>118</v>
      </c>
      <c r="D809" t="s">
        <v>121</v>
      </c>
      <c r="E809">
        <v>186</v>
      </c>
      <c r="F809">
        <v>270</v>
      </c>
      <c r="G809">
        <v>225</v>
      </c>
      <c r="H809">
        <v>4424.79</v>
      </c>
      <c r="I809">
        <v>2841.72</v>
      </c>
      <c r="J809">
        <v>95</v>
      </c>
      <c r="K809">
        <v>10</v>
      </c>
      <c r="L809" t="s">
        <v>152</v>
      </c>
      <c r="M809">
        <v>216</v>
      </c>
      <c r="N809">
        <v>4</v>
      </c>
      <c r="O809">
        <v>48</v>
      </c>
      <c r="P809" t="s">
        <v>215</v>
      </c>
      <c r="Q809" t="s">
        <v>219</v>
      </c>
      <c r="R809">
        <f t="shared" si="52"/>
        <v>45</v>
      </c>
      <c r="S809">
        <f t="shared" si="49"/>
        <v>1.4516129032258065</v>
      </c>
      <c r="T809" t="str">
        <f t="shared" si="50"/>
        <v>Low Risk</v>
      </c>
      <c r="U809" t="str">
        <f t="shared" si="51"/>
        <v>Maintain Stock</v>
      </c>
    </row>
    <row r="810" spans="1:21" x14ac:dyDescent="0.25">
      <c r="A810">
        <v>809</v>
      </c>
      <c r="B810" t="s">
        <v>39</v>
      </c>
      <c r="C810" t="s">
        <v>116</v>
      </c>
      <c r="D810" t="s">
        <v>122</v>
      </c>
      <c r="E810">
        <v>152</v>
      </c>
      <c r="F810">
        <v>265</v>
      </c>
      <c r="G810">
        <v>296</v>
      </c>
      <c r="H810">
        <v>1564.01</v>
      </c>
      <c r="I810">
        <v>1100.3800000000001</v>
      </c>
      <c r="J810">
        <v>79</v>
      </c>
      <c r="K810">
        <v>5</v>
      </c>
      <c r="L810" t="s">
        <v>194</v>
      </c>
      <c r="M810">
        <v>179</v>
      </c>
      <c r="N810">
        <v>2</v>
      </c>
      <c r="O810">
        <v>8</v>
      </c>
      <c r="P810" t="s">
        <v>215</v>
      </c>
      <c r="Q810" t="s">
        <v>217</v>
      </c>
      <c r="R810">
        <f t="shared" si="52"/>
        <v>-31</v>
      </c>
      <c r="S810">
        <f t="shared" si="49"/>
        <v>1.743421052631579</v>
      </c>
      <c r="T810" t="str">
        <f t="shared" si="50"/>
        <v>Low Risk</v>
      </c>
      <c r="U810" t="str">
        <f t="shared" si="51"/>
        <v>Maintain Stock</v>
      </c>
    </row>
    <row r="811" spans="1:21" x14ac:dyDescent="0.25">
      <c r="A811">
        <v>810</v>
      </c>
      <c r="B811" t="s">
        <v>17</v>
      </c>
      <c r="C811" t="s">
        <v>118</v>
      </c>
      <c r="D811" t="s">
        <v>122</v>
      </c>
      <c r="E811">
        <v>480</v>
      </c>
      <c r="F811">
        <v>10</v>
      </c>
      <c r="G811">
        <v>13</v>
      </c>
      <c r="H811">
        <v>178.41</v>
      </c>
      <c r="I811">
        <v>100.65</v>
      </c>
      <c r="J811">
        <v>50</v>
      </c>
      <c r="K811">
        <v>6</v>
      </c>
      <c r="L811" t="s">
        <v>130</v>
      </c>
      <c r="M811">
        <v>189</v>
      </c>
      <c r="N811">
        <v>2</v>
      </c>
      <c r="O811">
        <v>0</v>
      </c>
      <c r="P811" t="s">
        <v>215</v>
      </c>
      <c r="Q811" t="s">
        <v>218</v>
      </c>
      <c r="R811">
        <f t="shared" si="52"/>
        <v>-3</v>
      </c>
      <c r="S811">
        <f t="shared" si="49"/>
        <v>2.0833333333333332E-2</v>
      </c>
      <c r="T811" t="str">
        <f t="shared" si="50"/>
        <v>High Risk</v>
      </c>
      <c r="U811" t="str">
        <f t="shared" si="51"/>
        <v>Apply Discount / Promotion</v>
      </c>
    </row>
    <row r="812" spans="1:21" x14ac:dyDescent="0.25">
      <c r="A812">
        <v>811</v>
      </c>
      <c r="B812" t="s">
        <v>102</v>
      </c>
      <c r="C812" t="s">
        <v>119</v>
      </c>
      <c r="D812" t="s">
        <v>122</v>
      </c>
      <c r="E812">
        <v>26</v>
      </c>
      <c r="F812">
        <v>157</v>
      </c>
      <c r="G812">
        <v>176</v>
      </c>
      <c r="H812">
        <v>3955.93</v>
      </c>
      <c r="I812">
        <v>2960.55</v>
      </c>
      <c r="J812">
        <v>136</v>
      </c>
      <c r="K812">
        <v>12</v>
      </c>
      <c r="L812" t="s">
        <v>205</v>
      </c>
      <c r="M812">
        <v>328</v>
      </c>
      <c r="N812">
        <v>2</v>
      </c>
      <c r="O812">
        <v>17</v>
      </c>
      <c r="P812" t="s">
        <v>216</v>
      </c>
      <c r="Q812" t="s">
        <v>218</v>
      </c>
      <c r="R812">
        <f t="shared" si="52"/>
        <v>-19</v>
      </c>
      <c r="S812">
        <f t="shared" si="49"/>
        <v>6.0384615384615383</v>
      </c>
      <c r="T812" t="str">
        <f t="shared" si="50"/>
        <v>Low Risk</v>
      </c>
      <c r="U812" t="str">
        <f t="shared" si="51"/>
        <v>Maintain Stock</v>
      </c>
    </row>
    <row r="813" spans="1:21" x14ac:dyDescent="0.25">
      <c r="A813">
        <v>812</v>
      </c>
      <c r="B813" t="s">
        <v>86</v>
      </c>
      <c r="C813" t="s">
        <v>119</v>
      </c>
      <c r="D813" t="s">
        <v>122</v>
      </c>
      <c r="E813">
        <v>50</v>
      </c>
      <c r="F813">
        <v>158</v>
      </c>
      <c r="G813">
        <v>115</v>
      </c>
      <c r="H813">
        <v>1433.7</v>
      </c>
      <c r="I813">
        <v>901.7</v>
      </c>
      <c r="J813">
        <v>41</v>
      </c>
      <c r="K813">
        <v>6</v>
      </c>
      <c r="L813" t="s">
        <v>172</v>
      </c>
      <c r="M813">
        <v>236</v>
      </c>
      <c r="N813">
        <v>3</v>
      </c>
      <c r="O813">
        <v>37</v>
      </c>
      <c r="P813" t="s">
        <v>216</v>
      </c>
      <c r="Q813" t="s">
        <v>219</v>
      </c>
      <c r="R813">
        <f t="shared" si="52"/>
        <v>43</v>
      </c>
      <c r="S813">
        <f t="shared" si="49"/>
        <v>3.16</v>
      </c>
      <c r="T813" t="str">
        <f t="shared" si="50"/>
        <v>Low Risk</v>
      </c>
      <c r="U813" t="str">
        <f t="shared" si="51"/>
        <v>Maintain Stock</v>
      </c>
    </row>
    <row r="814" spans="1:21" x14ac:dyDescent="0.25">
      <c r="A814">
        <v>813</v>
      </c>
      <c r="B814" t="s">
        <v>86</v>
      </c>
      <c r="C814" t="s">
        <v>117</v>
      </c>
      <c r="D814" t="s">
        <v>123</v>
      </c>
      <c r="E814">
        <v>60</v>
      </c>
      <c r="F814">
        <v>13</v>
      </c>
      <c r="G814">
        <v>25</v>
      </c>
      <c r="H814">
        <v>783.68</v>
      </c>
      <c r="I814">
        <v>497.68</v>
      </c>
      <c r="J814">
        <v>124</v>
      </c>
      <c r="K814">
        <v>9</v>
      </c>
      <c r="L814" t="s">
        <v>174</v>
      </c>
      <c r="M814">
        <v>137</v>
      </c>
      <c r="N814">
        <v>3</v>
      </c>
      <c r="O814">
        <v>16</v>
      </c>
      <c r="P814" t="s">
        <v>215</v>
      </c>
      <c r="Q814" t="s">
        <v>218</v>
      </c>
      <c r="R814">
        <f t="shared" si="52"/>
        <v>-12</v>
      </c>
      <c r="S814">
        <f t="shared" si="49"/>
        <v>0.21666666666666667</v>
      </c>
      <c r="T814" t="str">
        <f t="shared" si="50"/>
        <v>High Risk</v>
      </c>
      <c r="U814" t="str">
        <f t="shared" si="51"/>
        <v>Apply Discount / Promotion</v>
      </c>
    </row>
    <row r="815" spans="1:21" x14ac:dyDescent="0.25">
      <c r="A815">
        <v>814</v>
      </c>
      <c r="B815" t="s">
        <v>37</v>
      </c>
      <c r="C815" t="s">
        <v>119</v>
      </c>
      <c r="D815" t="s">
        <v>124</v>
      </c>
      <c r="E815">
        <v>465</v>
      </c>
      <c r="F815">
        <v>367</v>
      </c>
      <c r="G815">
        <v>385</v>
      </c>
      <c r="H815">
        <v>4376.0600000000004</v>
      </c>
      <c r="I815">
        <v>3316.34</v>
      </c>
      <c r="J815">
        <v>125</v>
      </c>
      <c r="K815">
        <v>3</v>
      </c>
      <c r="L815" t="s">
        <v>129</v>
      </c>
      <c r="M815">
        <v>312</v>
      </c>
      <c r="N815">
        <v>4</v>
      </c>
      <c r="O815">
        <v>28</v>
      </c>
      <c r="P815" t="s">
        <v>215</v>
      </c>
      <c r="Q815" t="s">
        <v>219</v>
      </c>
      <c r="R815">
        <f t="shared" si="52"/>
        <v>-18</v>
      </c>
      <c r="S815">
        <f t="shared" si="49"/>
        <v>0.78924731182795704</v>
      </c>
      <c r="T815" t="str">
        <f t="shared" si="50"/>
        <v>Medium Risk</v>
      </c>
      <c r="U815" t="str">
        <f t="shared" si="51"/>
        <v>Monitor Sales</v>
      </c>
    </row>
    <row r="816" spans="1:21" x14ac:dyDescent="0.25">
      <c r="A816">
        <v>815</v>
      </c>
      <c r="B816" t="s">
        <v>75</v>
      </c>
      <c r="C816" t="s">
        <v>117</v>
      </c>
      <c r="D816" t="s">
        <v>123</v>
      </c>
      <c r="E816">
        <v>216</v>
      </c>
      <c r="F816">
        <v>228</v>
      </c>
      <c r="G816">
        <v>270</v>
      </c>
      <c r="H816">
        <v>4887.72</v>
      </c>
      <c r="I816">
        <v>3598.02</v>
      </c>
      <c r="J816">
        <v>38</v>
      </c>
      <c r="K816">
        <v>2</v>
      </c>
      <c r="L816" t="s">
        <v>145</v>
      </c>
      <c r="M816">
        <v>230</v>
      </c>
      <c r="N816">
        <v>2</v>
      </c>
      <c r="O816">
        <v>27</v>
      </c>
      <c r="P816" t="s">
        <v>216</v>
      </c>
      <c r="Q816" t="s">
        <v>218</v>
      </c>
      <c r="R816">
        <f t="shared" si="52"/>
        <v>-42</v>
      </c>
      <c r="S816">
        <f t="shared" si="49"/>
        <v>1.0555555555555556</v>
      </c>
      <c r="T816" t="str">
        <f t="shared" si="50"/>
        <v>Low Risk</v>
      </c>
      <c r="U816" t="str">
        <f t="shared" si="51"/>
        <v>Maintain Stock</v>
      </c>
    </row>
    <row r="817" spans="1:21" x14ac:dyDescent="0.25">
      <c r="A817">
        <v>816</v>
      </c>
      <c r="B817" t="s">
        <v>36</v>
      </c>
      <c r="C817" t="s">
        <v>119</v>
      </c>
      <c r="D817" t="s">
        <v>124</v>
      </c>
      <c r="E817">
        <v>384</v>
      </c>
      <c r="F817">
        <v>195</v>
      </c>
      <c r="G817">
        <v>244</v>
      </c>
      <c r="H817">
        <v>4397.5</v>
      </c>
      <c r="I817">
        <v>2257.06</v>
      </c>
      <c r="J817">
        <v>150</v>
      </c>
      <c r="K817">
        <v>5</v>
      </c>
      <c r="L817" t="s">
        <v>210</v>
      </c>
      <c r="M817">
        <v>216</v>
      </c>
      <c r="N817">
        <v>3</v>
      </c>
      <c r="O817">
        <v>24</v>
      </c>
      <c r="P817" t="s">
        <v>215</v>
      </c>
      <c r="Q817" t="s">
        <v>218</v>
      </c>
      <c r="R817">
        <f t="shared" si="52"/>
        <v>-49</v>
      </c>
      <c r="S817">
        <f t="shared" si="49"/>
        <v>0.5078125</v>
      </c>
      <c r="T817" t="str">
        <f t="shared" si="50"/>
        <v>Medium Risk</v>
      </c>
      <c r="U817" t="str">
        <f t="shared" si="51"/>
        <v>Monitor Sales</v>
      </c>
    </row>
    <row r="818" spans="1:21" x14ac:dyDescent="0.25">
      <c r="A818">
        <v>817</v>
      </c>
      <c r="B818" t="s">
        <v>52</v>
      </c>
      <c r="C818" t="s">
        <v>118</v>
      </c>
      <c r="D818" t="s">
        <v>124</v>
      </c>
      <c r="E818">
        <v>264</v>
      </c>
      <c r="F818">
        <v>24</v>
      </c>
      <c r="G818">
        <v>57</v>
      </c>
      <c r="H818">
        <v>1732.06</v>
      </c>
      <c r="I818">
        <v>1325.18</v>
      </c>
      <c r="J818">
        <v>149</v>
      </c>
      <c r="K818">
        <v>2</v>
      </c>
      <c r="L818" t="s">
        <v>181</v>
      </c>
      <c r="M818">
        <v>281</v>
      </c>
      <c r="N818">
        <v>5</v>
      </c>
      <c r="O818">
        <v>1</v>
      </c>
      <c r="P818" t="s">
        <v>216</v>
      </c>
      <c r="Q818" t="s">
        <v>219</v>
      </c>
      <c r="R818">
        <f t="shared" si="52"/>
        <v>-33</v>
      </c>
      <c r="S818">
        <f t="shared" si="49"/>
        <v>9.0909090909090912E-2</v>
      </c>
      <c r="T818" t="str">
        <f t="shared" si="50"/>
        <v>High Risk</v>
      </c>
      <c r="U818" t="str">
        <f t="shared" si="51"/>
        <v>Apply Discount / Promotion</v>
      </c>
    </row>
    <row r="819" spans="1:21" x14ac:dyDescent="0.25">
      <c r="A819">
        <v>818</v>
      </c>
      <c r="B819" t="s">
        <v>73</v>
      </c>
      <c r="C819" t="s">
        <v>120</v>
      </c>
      <c r="D819" t="s">
        <v>124</v>
      </c>
      <c r="E819">
        <v>150</v>
      </c>
      <c r="F819">
        <v>90</v>
      </c>
      <c r="G819">
        <v>99</v>
      </c>
      <c r="H819">
        <v>2279.14</v>
      </c>
      <c r="I819">
        <v>1463.57</v>
      </c>
      <c r="J819">
        <v>94</v>
      </c>
      <c r="K819">
        <v>3</v>
      </c>
      <c r="L819" t="s">
        <v>205</v>
      </c>
      <c r="M819">
        <v>35</v>
      </c>
      <c r="N819">
        <v>1</v>
      </c>
      <c r="O819">
        <v>19</v>
      </c>
      <c r="P819" t="s">
        <v>215</v>
      </c>
      <c r="Q819" t="s">
        <v>218</v>
      </c>
      <c r="R819">
        <f t="shared" si="52"/>
        <v>-9</v>
      </c>
      <c r="S819">
        <f t="shared" si="49"/>
        <v>0.6</v>
      </c>
      <c r="T819" t="str">
        <f t="shared" si="50"/>
        <v>Medium Risk</v>
      </c>
      <c r="U819" t="str">
        <f t="shared" si="51"/>
        <v>Monitor Sales</v>
      </c>
    </row>
    <row r="820" spans="1:21" x14ac:dyDescent="0.25">
      <c r="A820">
        <v>819</v>
      </c>
      <c r="B820" t="s">
        <v>112</v>
      </c>
      <c r="C820" t="s">
        <v>119</v>
      </c>
      <c r="D820" t="s">
        <v>121</v>
      </c>
      <c r="E820">
        <v>418</v>
      </c>
      <c r="F820">
        <v>157</v>
      </c>
      <c r="G820">
        <v>156</v>
      </c>
      <c r="H820">
        <v>2598.0100000000002</v>
      </c>
      <c r="I820">
        <v>1420.28</v>
      </c>
      <c r="J820">
        <v>43</v>
      </c>
      <c r="K820">
        <v>14</v>
      </c>
      <c r="L820" t="s">
        <v>189</v>
      </c>
      <c r="M820">
        <v>160</v>
      </c>
      <c r="N820">
        <v>3</v>
      </c>
      <c r="O820">
        <v>31</v>
      </c>
      <c r="P820" t="s">
        <v>216</v>
      </c>
      <c r="Q820" t="s">
        <v>219</v>
      </c>
      <c r="R820">
        <f t="shared" si="52"/>
        <v>1</v>
      </c>
      <c r="S820">
        <f t="shared" si="49"/>
        <v>0.37559808612440193</v>
      </c>
      <c r="T820" t="str">
        <f t="shared" si="50"/>
        <v>High Risk</v>
      </c>
      <c r="U820" t="str">
        <f t="shared" si="51"/>
        <v>Apply Discount / Promotion</v>
      </c>
    </row>
    <row r="821" spans="1:21" x14ac:dyDescent="0.25">
      <c r="A821">
        <v>820</v>
      </c>
      <c r="B821" t="s">
        <v>46</v>
      </c>
      <c r="C821" t="s">
        <v>118</v>
      </c>
      <c r="D821" t="s">
        <v>122</v>
      </c>
      <c r="E821">
        <v>321</v>
      </c>
      <c r="F821">
        <v>351</v>
      </c>
      <c r="G821">
        <v>304</v>
      </c>
      <c r="H821">
        <v>3785.04</v>
      </c>
      <c r="I821">
        <v>2523.21</v>
      </c>
      <c r="J821">
        <v>130</v>
      </c>
      <c r="K821">
        <v>11</v>
      </c>
      <c r="L821" t="s">
        <v>177</v>
      </c>
      <c r="M821">
        <v>163</v>
      </c>
      <c r="N821">
        <v>2</v>
      </c>
      <c r="O821">
        <v>26</v>
      </c>
      <c r="P821" t="s">
        <v>215</v>
      </c>
      <c r="Q821" t="s">
        <v>218</v>
      </c>
      <c r="R821">
        <f t="shared" si="52"/>
        <v>47</v>
      </c>
      <c r="S821">
        <f t="shared" si="49"/>
        <v>1.0934579439252337</v>
      </c>
      <c r="T821" t="str">
        <f t="shared" si="50"/>
        <v>Low Risk</v>
      </c>
      <c r="U821" t="str">
        <f t="shared" si="51"/>
        <v>Maintain Stock</v>
      </c>
    </row>
    <row r="822" spans="1:21" x14ac:dyDescent="0.25">
      <c r="A822">
        <v>821</v>
      </c>
      <c r="B822" t="s">
        <v>106</v>
      </c>
      <c r="C822" t="s">
        <v>117</v>
      </c>
      <c r="D822" t="s">
        <v>123</v>
      </c>
      <c r="E822">
        <v>162</v>
      </c>
      <c r="F822">
        <v>95</v>
      </c>
      <c r="G822">
        <v>138</v>
      </c>
      <c r="H822">
        <v>63.94</v>
      </c>
      <c r="I822">
        <v>44.33</v>
      </c>
      <c r="J822">
        <v>34</v>
      </c>
      <c r="K822">
        <v>2</v>
      </c>
      <c r="L822" t="s">
        <v>185</v>
      </c>
      <c r="M822">
        <v>141</v>
      </c>
      <c r="N822">
        <v>4</v>
      </c>
      <c r="O822">
        <v>44</v>
      </c>
      <c r="P822" t="s">
        <v>216</v>
      </c>
      <c r="Q822" t="s">
        <v>217</v>
      </c>
      <c r="R822">
        <f t="shared" si="52"/>
        <v>-43</v>
      </c>
      <c r="S822">
        <f t="shared" si="49"/>
        <v>0.5864197530864198</v>
      </c>
      <c r="T822" t="str">
        <f t="shared" si="50"/>
        <v>Medium Risk</v>
      </c>
      <c r="U822" t="str">
        <f t="shared" si="51"/>
        <v>Monitor Sales</v>
      </c>
    </row>
    <row r="823" spans="1:21" x14ac:dyDescent="0.25">
      <c r="A823">
        <v>822</v>
      </c>
      <c r="B823" t="s">
        <v>52</v>
      </c>
      <c r="C823" t="s">
        <v>118</v>
      </c>
      <c r="D823" t="s">
        <v>121</v>
      </c>
      <c r="E823">
        <v>329</v>
      </c>
      <c r="F823">
        <v>130</v>
      </c>
      <c r="G823">
        <v>113</v>
      </c>
      <c r="H823">
        <v>3164.25</v>
      </c>
      <c r="I823">
        <v>1932.79</v>
      </c>
      <c r="J823">
        <v>131</v>
      </c>
      <c r="K823">
        <v>7</v>
      </c>
      <c r="L823" t="s">
        <v>156</v>
      </c>
      <c r="M823">
        <v>67</v>
      </c>
      <c r="N823">
        <v>4</v>
      </c>
      <c r="O823">
        <v>14</v>
      </c>
      <c r="P823" t="s">
        <v>215</v>
      </c>
      <c r="Q823" t="s">
        <v>218</v>
      </c>
      <c r="R823">
        <f t="shared" si="52"/>
        <v>17</v>
      </c>
      <c r="S823">
        <f t="shared" si="49"/>
        <v>0.39513677811550152</v>
      </c>
      <c r="T823" t="str">
        <f t="shared" si="50"/>
        <v>High Risk</v>
      </c>
      <c r="U823" t="str">
        <f t="shared" si="51"/>
        <v>Apply Discount / Promotion</v>
      </c>
    </row>
    <row r="824" spans="1:21" x14ac:dyDescent="0.25">
      <c r="A824">
        <v>823</v>
      </c>
      <c r="B824" t="s">
        <v>37</v>
      </c>
      <c r="C824" t="s">
        <v>116</v>
      </c>
      <c r="D824" t="s">
        <v>121</v>
      </c>
      <c r="E824">
        <v>466</v>
      </c>
      <c r="F824">
        <v>191</v>
      </c>
      <c r="G824">
        <v>153</v>
      </c>
      <c r="H824">
        <v>2962.86</v>
      </c>
      <c r="I824">
        <v>1637.3</v>
      </c>
      <c r="J824">
        <v>47</v>
      </c>
      <c r="K824">
        <v>1</v>
      </c>
      <c r="L824" t="s">
        <v>176</v>
      </c>
      <c r="M824">
        <v>150</v>
      </c>
      <c r="N824">
        <v>4</v>
      </c>
      <c r="O824">
        <v>17</v>
      </c>
      <c r="P824" t="s">
        <v>215</v>
      </c>
      <c r="Q824" t="s">
        <v>217</v>
      </c>
      <c r="R824">
        <f t="shared" si="52"/>
        <v>38</v>
      </c>
      <c r="S824">
        <f t="shared" si="49"/>
        <v>0.40987124463519314</v>
      </c>
      <c r="T824" t="str">
        <f t="shared" si="50"/>
        <v>High Risk</v>
      </c>
      <c r="U824" t="str">
        <f t="shared" si="51"/>
        <v>Apply Discount / Promotion</v>
      </c>
    </row>
    <row r="825" spans="1:21" x14ac:dyDescent="0.25">
      <c r="A825">
        <v>824</v>
      </c>
      <c r="B825" t="s">
        <v>24</v>
      </c>
      <c r="C825" t="s">
        <v>116</v>
      </c>
      <c r="D825" t="s">
        <v>123</v>
      </c>
      <c r="E825">
        <v>236</v>
      </c>
      <c r="F825">
        <v>104</v>
      </c>
      <c r="G825">
        <v>78</v>
      </c>
      <c r="H825">
        <v>3702.66</v>
      </c>
      <c r="I825">
        <v>2417.0500000000002</v>
      </c>
      <c r="J825">
        <v>131</v>
      </c>
      <c r="K825">
        <v>6</v>
      </c>
      <c r="L825" t="s">
        <v>154</v>
      </c>
      <c r="M825">
        <v>113</v>
      </c>
      <c r="N825">
        <v>1</v>
      </c>
      <c r="O825">
        <v>37</v>
      </c>
      <c r="P825" t="s">
        <v>215</v>
      </c>
      <c r="Q825" t="s">
        <v>217</v>
      </c>
      <c r="R825">
        <f t="shared" si="52"/>
        <v>26</v>
      </c>
      <c r="S825">
        <f t="shared" si="49"/>
        <v>0.44067796610169491</v>
      </c>
      <c r="T825" t="str">
        <f t="shared" si="50"/>
        <v>High Risk</v>
      </c>
      <c r="U825" t="str">
        <f t="shared" si="51"/>
        <v>Apply Discount / Promotion</v>
      </c>
    </row>
    <row r="826" spans="1:21" x14ac:dyDescent="0.25">
      <c r="A826">
        <v>825</v>
      </c>
      <c r="B826" t="s">
        <v>44</v>
      </c>
      <c r="C826" t="s">
        <v>119</v>
      </c>
      <c r="D826" t="s">
        <v>124</v>
      </c>
      <c r="E826">
        <v>293</v>
      </c>
      <c r="F826">
        <v>341</v>
      </c>
      <c r="G826">
        <v>352</v>
      </c>
      <c r="H826">
        <v>3398.67</v>
      </c>
      <c r="I826">
        <v>2192</v>
      </c>
      <c r="J826">
        <v>103</v>
      </c>
      <c r="K826">
        <v>10</v>
      </c>
      <c r="L826" t="s">
        <v>144</v>
      </c>
      <c r="M826">
        <v>215</v>
      </c>
      <c r="N826">
        <v>3</v>
      </c>
      <c r="O826">
        <v>33</v>
      </c>
      <c r="P826" t="s">
        <v>215</v>
      </c>
      <c r="Q826" t="s">
        <v>217</v>
      </c>
      <c r="R826">
        <f t="shared" si="52"/>
        <v>-11</v>
      </c>
      <c r="S826">
        <f t="shared" si="49"/>
        <v>1.1638225255972696</v>
      </c>
      <c r="T826" t="str">
        <f t="shared" si="50"/>
        <v>Low Risk</v>
      </c>
      <c r="U826" t="str">
        <f t="shared" si="51"/>
        <v>Maintain Stock</v>
      </c>
    </row>
    <row r="827" spans="1:21" x14ac:dyDescent="0.25">
      <c r="A827">
        <v>826</v>
      </c>
      <c r="B827" t="s">
        <v>73</v>
      </c>
      <c r="C827" t="s">
        <v>117</v>
      </c>
      <c r="D827" t="s">
        <v>121</v>
      </c>
      <c r="E827">
        <v>405</v>
      </c>
      <c r="F827">
        <v>39</v>
      </c>
      <c r="G827">
        <v>87</v>
      </c>
      <c r="H827">
        <v>2404.6999999999998</v>
      </c>
      <c r="I827">
        <v>1245.75</v>
      </c>
      <c r="J827">
        <v>139</v>
      </c>
      <c r="K827">
        <v>8</v>
      </c>
      <c r="L827" t="s">
        <v>186</v>
      </c>
      <c r="M827">
        <v>101</v>
      </c>
      <c r="N827">
        <v>5</v>
      </c>
      <c r="O827">
        <v>35</v>
      </c>
      <c r="P827" t="s">
        <v>215</v>
      </c>
      <c r="Q827" t="s">
        <v>217</v>
      </c>
      <c r="R827">
        <f t="shared" si="52"/>
        <v>-48</v>
      </c>
      <c r="S827">
        <f t="shared" si="49"/>
        <v>9.6296296296296297E-2</v>
      </c>
      <c r="T827" t="str">
        <f t="shared" si="50"/>
        <v>High Risk</v>
      </c>
      <c r="U827" t="str">
        <f t="shared" si="51"/>
        <v>Apply Discount / Promotion</v>
      </c>
    </row>
    <row r="828" spans="1:21" x14ac:dyDescent="0.25">
      <c r="A828">
        <v>827</v>
      </c>
      <c r="B828" t="s">
        <v>69</v>
      </c>
      <c r="C828" t="s">
        <v>116</v>
      </c>
      <c r="D828" t="s">
        <v>123</v>
      </c>
      <c r="E828">
        <v>61</v>
      </c>
      <c r="F828">
        <v>110</v>
      </c>
      <c r="G828">
        <v>135</v>
      </c>
      <c r="H828">
        <v>1426.77</v>
      </c>
      <c r="I828">
        <v>1095.0899999999999</v>
      </c>
      <c r="J828">
        <v>97</v>
      </c>
      <c r="K828">
        <v>5</v>
      </c>
      <c r="L828" t="s">
        <v>211</v>
      </c>
      <c r="M828">
        <v>175</v>
      </c>
      <c r="N828">
        <v>1</v>
      </c>
      <c r="O828">
        <v>26</v>
      </c>
      <c r="P828" t="s">
        <v>216</v>
      </c>
      <c r="Q828" t="s">
        <v>218</v>
      </c>
      <c r="R828">
        <f t="shared" si="52"/>
        <v>-25</v>
      </c>
      <c r="S828">
        <f t="shared" si="49"/>
        <v>1.8032786885245902</v>
      </c>
      <c r="T828" t="str">
        <f t="shared" si="50"/>
        <v>Low Risk</v>
      </c>
      <c r="U828" t="str">
        <f t="shared" si="51"/>
        <v>Maintain Stock</v>
      </c>
    </row>
    <row r="829" spans="1:21" x14ac:dyDescent="0.25">
      <c r="A829">
        <v>828</v>
      </c>
      <c r="B829" t="s">
        <v>94</v>
      </c>
      <c r="C829" t="s">
        <v>119</v>
      </c>
      <c r="D829" t="s">
        <v>122</v>
      </c>
      <c r="E829">
        <v>470</v>
      </c>
      <c r="F829">
        <v>246</v>
      </c>
      <c r="G829">
        <v>220</v>
      </c>
      <c r="H829">
        <v>3881.92</v>
      </c>
      <c r="I829">
        <v>2462.86</v>
      </c>
      <c r="J829">
        <v>133</v>
      </c>
      <c r="K829">
        <v>8</v>
      </c>
      <c r="L829" t="s">
        <v>213</v>
      </c>
      <c r="M829">
        <v>232</v>
      </c>
      <c r="N829">
        <v>5</v>
      </c>
      <c r="O829">
        <v>12</v>
      </c>
      <c r="P829" t="s">
        <v>216</v>
      </c>
      <c r="Q829" t="s">
        <v>218</v>
      </c>
      <c r="R829">
        <f t="shared" si="52"/>
        <v>26</v>
      </c>
      <c r="S829">
        <f t="shared" si="49"/>
        <v>0.52340425531914891</v>
      </c>
      <c r="T829" t="str">
        <f t="shared" si="50"/>
        <v>Medium Risk</v>
      </c>
      <c r="U829" t="str">
        <f t="shared" si="51"/>
        <v>Monitor Sales</v>
      </c>
    </row>
    <row r="830" spans="1:21" x14ac:dyDescent="0.25">
      <c r="A830">
        <v>829</v>
      </c>
      <c r="B830" t="s">
        <v>86</v>
      </c>
      <c r="C830" t="s">
        <v>120</v>
      </c>
      <c r="D830" t="s">
        <v>121</v>
      </c>
      <c r="E830">
        <v>432</v>
      </c>
      <c r="F830">
        <v>142</v>
      </c>
      <c r="G830">
        <v>105</v>
      </c>
      <c r="H830">
        <v>1389.81</v>
      </c>
      <c r="I830">
        <v>1046.57</v>
      </c>
      <c r="J830">
        <v>75</v>
      </c>
      <c r="K830">
        <v>4</v>
      </c>
      <c r="L830" t="s">
        <v>154</v>
      </c>
      <c r="M830">
        <v>313</v>
      </c>
      <c r="N830">
        <v>2</v>
      </c>
      <c r="O830">
        <v>37</v>
      </c>
      <c r="P830" t="s">
        <v>216</v>
      </c>
      <c r="Q830" t="s">
        <v>218</v>
      </c>
      <c r="R830">
        <f t="shared" si="52"/>
        <v>37</v>
      </c>
      <c r="S830">
        <f t="shared" si="49"/>
        <v>0.32870370370370372</v>
      </c>
      <c r="T830" t="str">
        <f t="shared" si="50"/>
        <v>High Risk</v>
      </c>
      <c r="U830" t="str">
        <f t="shared" si="51"/>
        <v>Apply Discount / Promotion</v>
      </c>
    </row>
    <row r="831" spans="1:21" x14ac:dyDescent="0.25">
      <c r="A831">
        <v>830</v>
      </c>
      <c r="B831" t="s">
        <v>16</v>
      </c>
      <c r="C831" t="s">
        <v>119</v>
      </c>
      <c r="D831" t="s">
        <v>121</v>
      </c>
      <c r="E831">
        <v>218</v>
      </c>
      <c r="F831">
        <v>139</v>
      </c>
      <c r="G831">
        <v>143</v>
      </c>
      <c r="H831">
        <v>1539.48</v>
      </c>
      <c r="I831">
        <v>1084.22</v>
      </c>
      <c r="J831">
        <v>87</v>
      </c>
      <c r="K831">
        <v>5</v>
      </c>
      <c r="L831" t="s">
        <v>191</v>
      </c>
      <c r="M831">
        <v>190</v>
      </c>
      <c r="N831">
        <v>2</v>
      </c>
      <c r="O831">
        <v>13</v>
      </c>
      <c r="P831" t="s">
        <v>215</v>
      </c>
      <c r="Q831" t="s">
        <v>219</v>
      </c>
      <c r="R831">
        <f t="shared" si="52"/>
        <v>-4</v>
      </c>
      <c r="S831">
        <f t="shared" si="49"/>
        <v>0.63761467889908252</v>
      </c>
      <c r="T831" t="str">
        <f t="shared" si="50"/>
        <v>Medium Risk</v>
      </c>
      <c r="U831" t="str">
        <f t="shared" si="51"/>
        <v>Monitor Sales</v>
      </c>
    </row>
    <row r="832" spans="1:21" x14ac:dyDescent="0.25">
      <c r="A832">
        <v>831</v>
      </c>
      <c r="B832" t="s">
        <v>24</v>
      </c>
      <c r="C832" t="s">
        <v>119</v>
      </c>
      <c r="D832" t="s">
        <v>122</v>
      </c>
      <c r="E832">
        <v>471</v>
      </c>
      <c r="F832">
        <v>348</v>
      </c>
      <c r="G832">
        <v>336</v>
      </c>
      <c r="H832">
        <v>1648.51</v>
      </c>
      <c r="I832">
        <v>1039.8900000000001</v>
      </c>
      <c r="J832">
        <v>46</v>
      </c>
      <c r="K832">
        <v>1</v>
      </c>
      <c r="L832" t="s">
        <v>144</v>
      </c>
      <c r="M832">
        <v>80</v>
      </c>
      <c r="N832">
        <v>4</v>
      </c>
      <c r="O832">
        <v>33</v>
      </c>
      <c r="P832" t="s">
        <v>216</v>
      </c>
      <c r="Q832" t="s">
        <v>218</v>
      </c>
      <c r="R832">
        <f t="shared" si="52"/>
        <v>12</v>
      </c>
      <c r="S832">
        <f t="shared" si="49"/>
        <v>0.73885350318471332</v>
      </c>
      <c r="T832" t="str">
        <f t="shared" si="50"/>
        <v>Medium Risk</v>
      </c>
      <c r="U832" t="str">
        <f t="shared" si="51"/>
        <v>Monitor Sales</v>
      </c>
    </row>
    <row r="833" spans="1:21" x14ac:dyDescent="0.25">
      <c r="A833">
        <v>832</v>
      </c>
      <c r="B833" t="s">
        <v>80</v>
      </c>
      <c r="C833" t="s">
        <v>117</v>
      </c>
      <c r="D833" t="s">
        <v>122</v>
      </c>
      <c r="E833">
        <v>247</v>
      </c>
      <c r="F833">
        <v>24</v>
      </c>
      <c r="G833">
        <v>60</v>
      </c>
      <c r="H833">
        <v>1231.2</v>
      </c>
      <c r="I833">
        <v>888.28</v>
      </c>
      <c r="J833">
        <v>120</v>
      </c>
      <c r="K833">
        <v>6</v>
      </c>
      <c r="L833" t="s">
        <v>189</v>
      </c>
      <c r="M833">
        <v>184</v>
      </c>
      <c r="N833">
        <v>1</v>
      </c>
      <c r="O833">
        <v>5</v>
      </c>
      <c r="P833" t="s">
        <v>216</v>
      </c>
      <c r="Q833" t="s">
        <v>219</v>
      </c>
      <c r="R833">
        <f t="shared" si="52"/>
        <v>-36</v>
      </c>
      <c r="S833">
        <f t="shared" si="49"/>
        <v>9.7165991902834009E-2</v>
      </c>
      <c r="T833" t="str">
        <f t="shared" si="50"/>
        <v>High Risk</v>
      </c>
      <c r="U833" t="str">
        <f t="shared" si="51"/>
        <v>Apply Discount / Promotion</v>
      </c>
    </row>
    <row r="834" spans="1:21" x14ac:dyDescent="0.25">
      <c r="A834">
        <v>833</v>
      </c>
      <c r="B834" t="s">
        <v>102</v>
      </c>
      <c r="C834" t="s">
        <v>120</v>
      </c>
      <c r="D834" t="s">
        <v>121</v>
      </c>
      <c r="E834">
        <v>270</v>
      </c>
      <c r="F834">
        <v>372</v>
      </c>
      <c r="G834">
        <v>330</v>
      </c>
      <c r="H834">
        <v>4099.05</v>
      </c>
      <c r="I834">
        <v>2381.14</v>
      </c>
      <c r="J834">
        <v>97</v>
      </c>
      <c r="K834">
        <v>1</v>
      </c>
      <c r="L834" t="s">
        <v>209</v>
      </c>
      <c r="M834">
        <v>280</v>
      </c>
      <c r="N834">
        <v>5</v>
      </c>
      <c r="O834">
        <v>31</v>
      </c>
      <c r="P834" t="s">
        <v>215</v>
      </c>
      <c r="Q834" t="s">
        <v>218</v>
      </c>
      <c r="R834">
        <f t="shared" si="52"/>
        <v>42</v>
      </c>
      <c r="S834">
        <f t="shared" ref="S834:S897" si="53">F834/E834</f>
        <v>1.3777777777777778</v>
      </c>
      <c r="T834" t="str">
        <f t="shared" si="50"/>
        <v>Low Risk</v>
      </c>
      <c r="U834" t="str">
        <f t="shared" si="51"/>
        <v>Maintain Stock</v>
      </c>
    </row>
    <row r="835" spans="1:21" x14ac:dyDescent="0.25">
      <c r="A835">
        <v>834</v>
      </c>
      <c r="B835" t="s">
        <v>96</v>
      </c>
      <c r="C835" t="s">
        <v>118</v>
      </c>
      <c r="D835" t="s">
        <v>124</v>
      </c>
      <c r="E835">
        <v>294</v>
      </c>
      <c r="F835">
        <v>165</v>
      </c>
      <c r="G835">
        <v>124</v>
      </c>
      <c r="H835">
        <v>161.63999999999999</v>
      </c>
      <c r="I835">
        <v>90.93</v>
      </c>
      <c r="J835">
        <v>30</v>
      </c>
      <c r="K835">
        <v>14</v>
      </c>
      <c r="L835" t="s">
        <v>144</v>
      </c>
      <c r="M835">
        <v>338</v>
      </c>
      <c r="N835">
        <v>1</v>
      </c>
      <c r="O835">
        <v>10</v>
      </c>
      <c r="P835" t="s">
        <v>216</v>
      </c>
      <c r="Q835" t="s">
        <v>218</v>
      </c>
      <c r="R835">
        <f t="shared" si="52"/>
        <v>41</v>
      </c>
      <c r="S835">
        <f t="shared" si="53"/>
        <v>0.56122448979591832</v>
      </c>
      <c r="T835" t="str">
        <f t="shared" ref="T835:T898" si="54">IF(S835&lt;0.5,"High Risk",IF(S835&lt;1,"Medium Risk","Low Risk"))</f>
        <v>Medium Risk</v>
      </c>
      <c r="U835" t="str">
        <f t="shared" ref="U835:U898" si="55">IF(T835="High Risk","Apply Discount / Promotion",
IF(T835="Medium Risk","Monitor Sales",
"Maintain Stock"))</f>
        <v>Monitor Sales</v>
      </c>
    </row>
    <row r="836" spans="1:21" x14ac:dyDescent="0.25">
      <c r="A836">
        <v>835</v>
      </c>
      <c r="B836" t="s">
        <v>46</v>
      </c>
      <c r="C836" t="s">
        <v>116</v>
      </c>
      <c r="D836" t="s">
        <v>124</v>
      </c>
      <c r="E836">
        <v>389</v>
      </c>
      <c r="F836">
        <v>0</v>
      </c>
      <c r="G836">
        <v>12</v>
      </c>
      <c r="H836">
        <v>1484.04</v>
      </c>
      <c r="I836">
        <v>1023.38</v>
      </c>
      <c r="J836">
        <v>80</v>
      </c>
      <c r="K836">
        <v>12</v>
      </c>
      <c r="L836" t="s">
        <v>180</v>
      </c>
      <c r="M836">
        <v>357</v>
      </c>
      <c r="N836">
        <v>2</v>
      </c>
      <c r="O836">
        <v>22</v>
      </c>
      <c r="P836" t="s">
        <v>216</v>
      </c>
      <c r="Q836" t="s">
        <v>218</v>
      </c>
      <c r="R836">
        <f t="shared" si="52"/>
        <v>-12</v>
      </c>
      <c r="S836">
        <f t="shared" si="53"/>
        <v>0</v>
      </c>
      <c r="T836" t="str">
        <f t="shared" si="54"/>
        <v>High Risk</v>
      </c>
      <c r="U836" t="str">
        <f t="shared" si="55"/>
        <v>Apply Discount / Promotion</v>
      </c>
    </row>
    <row r="837" spans="1:21" x14ac:dyDescent="0.25">
      <c r="A837">
        <v>836</v>
      </c>
      <c r="B837" t="s">
        <v>20</v>
      </c>
      <c r="C837" t="s">
        <v>116</v>
      </c>
      <c r="D837" t="s">
        <v>123</v>
      </c>
      <c r="E837">
        <v>481</v>
      </c>
      <c r="F837">
        <v>262</v>
      </c>
      <c r="G837">
        <v>268</v>
      </c>
      <c r="H837">
        <v>2046.54</v>
      </c>
      <c r="I837">
        <v>1583.34</v>
      </c>
      <c r="J837">
        <v>30</v>
      </c>
      <c r="K837">
        <v>6</v>
      </c>
      <c r="L837" t="s">
        <v>153</v>
      </c>
      <c r="M837">
        <v>91</v>
      </c>
      <c r="N837">
        <v>5</v>
      </c>
      <c r="O837">
        <v>14</v>
      </c>
      <c r="P837" t="s">
        <v>215</v>
      </c>
      <c r="Q837" t="s">
        <v>218</v>
      </c>
      <c r="R837">
        <f t="shared" si="52"/>
        <v>-6</v>
      </c>
      <c r="S837">
        <f t="shared" si="53"/>
        <v>0.54469854469854473</v>
      </c>
      <c r="T837" t="str">
        <f t="shared" si="54"/>
        <v>Medium Risk</v>
      </c>
      <c r="U837" t="str">
        <f t="shared" si="55"/>
        <v>Monitor Sales</v>
      </c>
    </row>
    <row r="838" spans="1:21" x14ac:dyDescent="0.25">
      <c r="A838">
        <v>837</v>
      </c>
      <c r="B838" t="s">
        <v>34</v>
      </c>
      <c r="C838" t="s">
        <v>120</v>
      </c>
      <c r="D838" t="s">
        <v>123</v>
      </c>
      <c r="E838">
        <v>270</v>
      </c>
      <c r="F838">
        <v>87</v>
      </c>
      <c r="G838">
        <v>53</v>
      </c>
      <c r="H838">
        <v>784</v>
      </c>
      <c r="I838">
        <v>532.09</v>
      </c>
      <c r="J838">
        <v>75</v>
      </c>
      <c r="K838">
        <v>11</v>
      </c>
      <c r="L838" t="s">
        <v>151</v>
      </c>
      <c r="M838">
        <v>307</v>
      </c>
      <c r="N838">
        <v>2</v>
      </c>
      <c r="O838">
        <v>3</v>
      </c>
      <c r="P838" t="s">
        <v>216</v>
      </c>
      <c r="Q838" t="s">
        <v>219</v>
      </c>
      <c r="R838">
        <f t="shared" si="52"/>
        <v>34</v>
      </c>
      <c r="S838">
        <f t="shared" si="53"/>
        <v>0.32222222222222224</v>
      </c>
      <c r="T838" t="str">
        <f t="shared" si="54"/>
        <v>High Risk</v>
      </c>
      <c r="U838" t="str">
        <f t="shared" si="55"/>
        <v>Apply Discount / Promotion</v>
      </c>
    </row>
    <row r="839" spans="1:21" x14ac:dyDescent="0.25">
      <c r="A839">
        <v>838</v>
      </c>
      <c r="B839" t="s">
        <v>40</v>
      </c>
      <c r="C839" t="s">
        <v>120</v>
      </c>
      <c r="D839" t="s">
        <v>123</v>
      </c>
      <c r="E839">
        <v>450</v>
      </c>
      <c r="F839">
        <v>168</v>
      </c>
      <c r="G839">
        <v>162</v>
      </c>
      <c r="H839">
        <v>514.69000000000005</v>
      </c>
      <c r="I839">
        <v>401.28</v>
      </c>
      <c r="J839">
        <v>58</v>
      </c>
      <c r="K839">
        <v>15</v>
      </c>
      <c r="L839" t="s">
        <v>196</v>
      </c>
      <c r="M839">
        <v>248</v>
      </c>
      <c r="N839">
        <v>1</v>
      </c>
      <c r="O839">
        <v>0</v>
      </c>
      <c r="P839" t="s">
        <v>215</v>
      </c>
      <c r="Q839" t="s">
        <v>217</v>
      </c>
      <c r="R839">
        <f t="shared" si="52"/>
        <v>6</v>
      </c>
      <c r="S839">
        <f t="shared" si="53"/>
        <v>0.37333333333333335</v>
      </c>
      <c r="T839" t="str">
        <f t="shared" si="54"/>
        <v>High Risk</v>
      </c>
      <c r="U839" t="str">
        <f t="shared" si="55"/>
        <v>Apply Discount / Promotion</v>
      </c>
    </row>
    <row r="840" spans="1:21" x14ac:dyDescent="0.25">
      <c r="A840">
        <v>839</v>
      </c>
      <c r="B840" t="s">
        <v>88</v>
      </c>
      <c r="C840" t="s">
        <v>119</v>
      </c>
      <c r="D840" t="s">
        <v>122</v>
      </c>
      <c r="E840">
        <v>210</v>
      </c>
      <c r="F840">
        <v>312</v>
      </c>
      <c r="G840">
        <v>274</v>
      </c>
      <c r="H840">
        <v>4638.93</v>
      </c>
      <c r="I840">
        <v>3169.28</v>
      </c>
      <c r="J840">
        <v>71</v>
      </c>
      <c r="K840">
        <v>14</v>
      </c>
      <c r="L840" t="s">
        <v>209</v>
      </c>
      <c r="M840">
        <v>104</v>
      </c>
      <c r="N840">
        <v>5</v>
      </c>
      <c r="O840">
        <v>28</v>
      </c>
      <c r="P840" t="s">
        <v>215</v>
      </c>
      <c r="Q840" t="s">
        <v>217</v>
      </c>
      <c r="R840">
        <f t="shared" si="52"/>
        <v>38</v>
      </c>
      <c r="S840">
        <f t="shared" si="53"/>
        <v>1.4857142857142858</v>
      </c>
      <c r="T840" t="str">
        <f t="shared" si="54"/>
        <v>Low Risk</v>
      </c>
      <c r="U840" t="str">
        <f t="shared" si="55"/>
        <v>Maintain Stock</v>
      </c>
    </row>
    <row r="841" spans="1:21" x14ac:dyDescent="0.25">
      <c r="A841">
        <v>840</v>
      </c>
      <c r="B841" t="s">
        <v>67</v>
      </c>
      <c r="C841" t="s">
        <v>116</v>
      </c>
      <c r="D841" t="s">
        <v>123</v>
      </c>
      <c r="E841">
        <v>88</v>
      </c>
      <c r="F841">
        <v>53</v>
      </c>
      <c r="G841">
        <v>77</v>
      </c>
      <c r="H841">
        <v>4586.7700000000004</v>
      </c>
      <c r="I841">
        <v>2323.9299999999998</v>
      </c>
      <c r="J841">
        <v>50</v>
      </c>
      <c r="K841">
        <v>9</v>
      </c>
      <c r="L841" t="s">
        <v>137</v>
      </c>
      <c r="M841">
        <v>318</v>
      </c>
      <c r="N841">
        <v>2</v>
      </c>
      <c r="O841">
        <v>40</v>
      </c>
      <c r="P841" t="s">
        <v>216</v>
      </c>
      <c r="Q841" t="s">
        <v>218</v>
      </c>
      <c r="R841">
        <f t="shared" si="52"/>
        <v>-24</v>
      </c>
      <c r="S841">
        <f t="shared" si="53"/>
        <v>0.60227272727272729</v>
      </c>
      <c r="T841" t="str">
        <f t="shared" si="54"/>
        <v>Medium Risk</v>
      </c>
      <c r="U841" t="str">
        <f t="shared" si="55"/>
        <v>Monitor Sales</v>
      </c>
    </row>
    <row r="842" spans="1:21" x14ac:dyDescent="0.25">
      <c r="A842">
        <v>841</v>
      </c>
      <c r="B842" t="s">
        <v>89</v>
      </c>
      <c r="C842" t="s">
        <v>117</v>
      </c>
      <c r="D842" t="s">
        <v>122</v>
      </c>
      <c r="E842">
        <v>151</v>
      </c>
      <c r="F842">
        <v>141</v>
      </c>
      <c r="G842">
        <v>171</v>
      </c>
      <c r="H842">
        <v>1354.39</v>
      </c>
      <c r="I842">
        <v>926.66</v>
      </c>
      <c r="J842">
        <v>148</v>
      </c>
      <c r="K842">
        <v>5</v>
      </c>
      <c r="L842" t="s">
        <v>135</v>
      </c>
      <c r="M842">
        <v>131</v>
      </c>
      <c r="N842">
        <v>4</v>
      </c>
      <c r="O842">
        <v>23</v>
      </c>
      <c r="P842" t="s">
        <v>215</v>
      </c>
      <c r="Q842" t="s">
        <v>217</v>
      </c>
      <c r="R842">
        <f t="shared" si="52"/>
        <v>-30</v>
      </c>
      <c r="S842">
        <f t="shared" si="53"/>
        <v>0.93377483443708609</v>
      </c>
      <c r="T842" t="str">
        <f t="shared" si="54"/>
        <v>Medium Risk</v>
      </c>
      <c r="U842" t="str">
        <f t="shared" si="55"/>
        <v>Monitor Sales</v>
      </c>
    </row>
    <row r="843" spans="1:21" x14ac:dyDescent="0.25">
      <c r="A843">
        <v>842</v>
      </c>
      <c r="B843" t="s">
        <v>31</v>
      </c>
      <c r="C843" t="s">
        <v>118</v>
      </c>
      <c r="D843" t="s">
        <v>122</v>
      </c>
      <c r="E843">
        <v>230</v>
      </c>
      <c r="F843">
        <v>142</v>
      </c>
      <c r="G843">
        <v>180</v>
      </c>
      <c r="H843">
        <v>3627.16</v>
      </c>
      <c r="I843">
        <v>2853.45</v>
      </c>
      <c r="J843">
        <v>38</v>
      </c>
      <c r="K843">
        <v>4</v>
      </c>
      <c r="L843" t="s">
        <v>165</v>
      </c>
      <c r="M843">
        <v>35</v>
      </c>
      <c r="N843">
        <v>3</v>
      </c>
      <c r="O843">
        <v>43</v>
      </c>
      <c r="P843" t="s">
        <v>215</v>
      </c>
      <c r="Q843" t="s">
        <v>219</v>
      </c>
      <c r="R843">
        <f t="shared" ref="R843:R906" si="56">F843-G843</f>
        <v>-38</v>
      </c>
      <c r="S843">
        <f t="shared" si="53"/>
        <v>0.61739130434782608</v>
      </c>
      <c r="T843" t="str">
        <f t="shared" si="54"/>
        <v>Medium Risk</v>
      </c>
      <c r="U843" t="str">
        <f t="shared" si="55"/>
        <v>Monitor Sales</v>
      </c>
    </row>
    <row r="844" spans="1:21" x14ac:dyDescent="0.25">
      <c r="A844">
        <v>843</v>
      </c>
      <c r="B844" t="s">
        <v>72</v>
      </c>
      <c r="C844" t="s">
        <v>116</v>
      </c>
      <c r="D844" t="s">
        <v>121</v>
      </c>
      <c r="E844">
        <v>243</v>
      </c>
      <c r="F844">
        <v>192</v>
      </c>
      <c r="G844">
        <v>170</v>
      </c>
      <c r="H844">
        <v>4061.71</v>
      </c>
      <c r="I844">
        <v>2244.1</v>
      </c>
      <c r="J844">
        <v>34</v>
      </c>
      <c r="K844">
        <v>3</v>
      </c>
      <c r="L844" t="s">
        <v>184</v>
      </c>
      <c r="M844">
        <v>268</v>
      </c>
      <c r="N844">
        <v>5</v>
      </c>
      <c r="O844">
        <v>35</v>
      </c>
      <c r="P844" t="s">
        <v>215</v>
      </c>
      <c r="Q844" t="s">
        <v>217</v>
      </c>
      <c r="R844">
        <f t="shared" si="56"/>
        <v>22</v>
      </c>
      <c r="S844">
        <f t="shared" si="53"/>
        <v>0.79012345679012341</v>
      </c>
      <c r="T844" t="str">
        <f t="shared" si="54"/>
        <v>Medium Risk</v>
      </c>
      <c r="U844" t="str">
        <f t="shared" si="55"/>
        <v>Monitor Sales</v>
      </c>
    </row>
    <row r="845" spans="1:21" x14ac:dyDescent="0.25">
      <c r="A845">
        <v>844</v>
      </c>
      <c r="B845" t="s">
        <v>28</v>
      </c>
      <c r="C845" t="s">
        <v>119</v>
      </c>
      <c r="D845" t="s">
        <v>123</v>
      </c>
      <c r="E845">
        <v>482</v>
      </c>
      <c r="F845">
        <v>109</v>
      </c>
      <c r="G845">
        <v>146</v>
      </c>
      <c r="H845">
        <v>653.02</v>
      </c>
      <c r="I845">
        <v>452.36</v>
      </c>
      <c r="J845">
        <v>93</v>
      </c>
      <c r="K845">
        <v>2</v>
      </c>
      <c r="L845" t="s">
        <v>143</v>
      </c>
      <c r="M845">
        <v>98</v>
      </c>
      <c r="N845">
        <v>1</v>
      </c>
      <c r="O845">
        <v>14</v>
      </c>
      <c r="P845" t="s">
        <v>216</v>
      </c>
      <c r="Q845" t="s">
        <v>217</v>
      </c>
      <c r="R845">
        <f t="shared" si="56"/>
        <v>-37</v>
      </c>
      <c r="S845">
        <f t="shared" si="53"/>
        <v>0.22614107883817428</v>
      </c>
      <c r="T845" t="str">
        <f t="shared" si="54"/>
        <v>High Risk</v>
      </c>
      <c r="U845" t="str">
        <f t="shared" si="55"/>
        <v>Apply Discount / Promotion</v>
      </c>
    </row>
    <row r="846" spans="1:21" x14ac:dyDescent="0.25">
      <c r="A846">
        <v>845</v>
      </c>
      <c r="B846" t="s">
        <v>92</v>
      </c>
      <c r="C846" t="s">
        <v>118</v>
      </c>
      <c r="D846" t="s">
        <v>124</v>
      </c>
      <c r="E846">
        <v>427</v>
      </c>
      <c r="F846">
        <v>101</v>
      </c>
      <c r="G846">
        <v>141</v>
      </c>
      <c r="H846">
        <v>1759.44</v>
      </c>
      <c r="I846">
        <v>888.8</v>
      </c>
      <c r="J846">
        <v>53</v>
      </c>
      <c r="K846">
        <v>9</v>
      </c>
      <c r="L846" t="s">
        <v>199</v>
      </c>
      <c r="M846">
        <v>339</v>
      </c>
      <c r="N846">
        <v>3</v>
      </c>
      <c r="O846">
        <v>19</v>
      </c>
      <c r="P846" t="s">
        <v>216</v>
      </c>
      <c r="Q846" t="s">
        <v>218</v>
      </c>
      <c r="R846">
        <f t="shared" si="56"/>
        <v>-40</v>
      </c>
      <c r="S846">
        <f t="shared" si="53"/>
        <v>0.23653395784543327</v>
      </c>
      <c r="T846" t="str">
        <f t="shared" si="54"/>
        <v>High Risk</v>
      </c>
      <c r="U846" t="str">
        <f t="shared" si="55"/>
        <v>Apply Discount / Promotion</v>
      </c>
    </row>
    <row r="847" spans="1:21" x14ac:dyDescent="0.25">
      <c r="A847">
        <v>846</v>
      </c>
      <c r="B847" t="s">
        <v>18</v>
      </c>
      <c r="C847" t="s">
        <v>118</v>
      </c>
      <c r="D847" t="s">
        <v>121</v>
      </c>
      <c r="E847">
        <v>478</v>
      </c>
      <c r="F847">
        <v>10</v>
      </c>
      <c r="G847">
        <v>47</v>
      </c>
      <c r="H847">
        <v>4861.8500000000004</v>
      </c>
      <c r="I847">
        <v>3642.15</v>
      </c>
      <c r="J847">
        <v>73</v>
      </c>
      <c r="K847">
        <v>8</v>
      </c>
      <c r="L847" t="s">
        <v>152</v>
      </c>
      <c r="M847">
        <v>80</v>
      </c>
      <c r="N847">
        <v>2</v>
      </c>
      <c r="O847">
        <v>11</v>
      </c>
      <c r="P847" t="s">
        <v>216</v>
      </c>
      <c r="Q847" t="s">
        <v>217</v>
      </c>
      <c r="R847">
        <f t="shared" si="56"/>
        <v>-37</v>
      </c>
      <c r="S847">
        <f t="shared" si="53"/>
        <v>2.0920502092050208E-2</v>
      </c>
      <c r="T847" t="str">
        <f t="shared" si="54"/>
        <v>High Risk</v>
      </c>
      <c r="U847" t="str">
        <f t="shared" si="55"/>
        <v>Apply Discount / Promotion</v>
      </c>
    </row>
    <row r="848" spans="1:21" x14ac:dyDescent="0.25">
      <c r="A848">
        <v>847</v>
      </c>
      <c r="B848" t="s">
        <v>42</v>
      </c>
      <c r="C848" t="s">
        <v>120</v>
      </c>
      <c r="D848" t="s">
        <v>124</v>
      </c>
      <c r="E848">
        <v>191</v>
      </c>
      <c r="F848">
        <v>257</v>
      </c>
      <c r="G848">
        <v>216</v>
      </c>
      <c r="H848">
        <v>4835.95</v>
      </c>
      <c r="I848">
        <v>3812.62</v>
      </c>
      <c r="J848">
        <v>146</v>
      </c>
      <c r="K848">
        <v>2</v>
      </c>
      <c r="L848" t="s">
        <v>147</v>
      </c>
      <c r="M848">
        <v>197</v>
      </c>
      <c r="N848">
        <v>1</v>
      </c>
      <c r="O848">
        <v>43</v>
      </c>
      <c r="P848" t="s">
        <v>215</v>
      </c>
      <c r="Q848" t="s">
        <v>219</v>
      </c>
      <c r="R848">
        <f t="shared" si="56"/>
        <v>41</v>
      </c>
      <c r="S848">
        <f t="shared" si="53"/>
        <v>1.3455497382198953</v>
      </c>
      <c r="T848" t="str">
        <f t="shared" si="54"/>
        <v>Low Risk</v>
      </c>
      <c r="U848" t="str">
        <f t="shared" si="55"/>
        <v>Maintain Stock</v>
      </c>
    </row>
    <row r="849" spans="1:21" x14ac:dyDescent="0.25">
      <c r="A849">
        <v>848</v>
      </c>
      <c r="B849" t="s">
        <v>73</v>
      </c>
      <c r="C849" t="s">
        <v>117</v>
      </c>
      <c r="D849" t="s">
        <v>123</v>
      </c>
      <c r="E849">
        <v>270</v>
      </c>
      <c r="F849">
        <v>251</v>
      </c>
      <c r="G849">
        <v>219</v>
      </c>
      <c r="H849">
        <v>1678.67</v>
      </c>
      <c r="I849">
        <v>1054.52</v>
      </c>
      <c r="J849">
        <v>41</v>
      </c>
      <c r="K849">
        <v>6</v>
      </c>
      <c r="L849" t="s">
        <v>165</v>
      </c>
      <c r="M849">
        <v>50</v>
      </c>
      <c r="N849">
        <v>4</v>
      </c>
      <c r="O849">
        <v>17</v>
      </c>
      <c r="P849" t="s">
        <v>216</v>
      </c>
      <c r="Q849" t="s">
        <v>218</v>
      </c>
      <c r="R849">
        <f t="shared" si="56"/>
        <v>32</v>
      </c>
      <c r="S849">
        <f t="shared" si="53"/>
        <v>0.92962962962962958</v>
      </c>
      <c r="T849" t="str">
        <f t="shared" si="54"/>
        <v>Medium Risk</v>
      </c>
      <c r="U849" t="str">
        <f t="shared" si="55"/>
        <v>Monitor Sales</v>
      </c>
    </row>
    <row r="850" spans="1:21" x14ac:dyDescent="0.25">
      <c r="A850">
        <v>849</v>
      </c>
      <c r="B850" t="s">
        <v>111</v>
      </c>
      <c r="C850" t="s">
        <v>116</v>
      </c>
      <c r="D850" t="s">
        <v>121</v>
      </c>
      <c r="E850">
        <v>36</v>
      </c>
      <c r="F850">
        <v>146</v>
      </c>
      <c r="G850">
        <v>162</v>
      </c>
      <c r="H850">
        <v>123.85</v>
      </c>
      <c r="I850">
        <v>87.43</v>
      </c>
      <c r="J850">
        <v>31</v>
      </c>
      <c r="K850">
        <v>13</v>
      </c>
      <c r="L850" t="s">
        <v>203</v>
      </c>
      <c r="M850">
        <v>120</v>
      </c>
      <c r="N850">
        <v>5</v>
      </c>
      <c r="O850">
        <v>29</v>
      </c>
      <c r="P850" t="s">
        <v>215</v>
      </c>
      <c r="Q850" t="s">
        <v>218</v>
      </c>
      <c r="R850">
        <f t="shared" si="56"/>
        <v>-16</v>
      </c>
      <c r="S850">
        <f t="shared" si="53"/>
        <v>4.0555555555555554</v>
      </c>
      <c r="T850" t="str">
        <f t="shared" si="54"/>
        <v>Low Risk</v>
      </c>
      <c r="U850" t="str">
        <f t="shared" si="55"/>
        <v>Maintain Stock</v>
      </c>
    </row>
    <row r="851" spans="1:21" x14ac:dyDescent="0.25">
      <c r="A851">
        <v>850</v>
      </c>
      <c r="B851" t="s">
        <v>47</v>
      </c>
      <c r="C851" t="s">
        <v>117</v>
      </c>
      <c r="D851" t="s">
        <v>122</v>
      </c>
      <c r="E851">
        <v>295</v>
      </c>
      <c r="F851">
        <v>185</v>
      </c>
      <c r="G851">
        <v>211</v>
      </c>
      <c r="H851">
        <v>2145.9499999999998</v>
      </c>
      <c r="I851">
        <v>1654.24</v>
      </c>
      <c r="J851">
        <v>105</v>
      </c>
      <c r="K851">
        <v>7</v>
      </c>
      <c r="L851" t="s">
        <v>143</v>
      </c>
      <c r="M851">
        <v>128</v>
      </c>
      <c r="N851">
        <v>4</v>
      </c>
      <c r="O851">
        <v>19</v>
      </c>
      <c r="P851" t="s">
        <v>215</v>
      </c>
      <c r="Q851" t="s">
        <v>218</v>
      </c>
      <c r="R851">
        <f t="shared" si="56"/>
        <v>-26</v>
      </c>
      <c r="S851">
        <f t="shared" si="53"/>
        <v>0.6271186440677966</v>
      </c>
      <c r="T851" t="str">
        <f t="shared" si="54"/>
        <v>Medium Risk</v>
      </c>
      <c r="U851" t="str">
        <f t="shared" si="55"/>
        <v>Monitor Sales</v>
      </c>
    </row>
    <row r="852" spans="1:21" x14ac:dyDescent="0.25">
      <c r="A852">
        <v>851</v>
      </c>
      <c r="B852" t="s">
        <v>49</v>
      </c>
      <c r="C852" t="s">
        <v>119</v>
      </c>
      <c r="D852" t="s">
        <v>122</v>
      </c>
      <c r="E852">
        <v>293</v>
      </c>
      <c r="F852">
        <v>2</v>
      </c>
      <c r="G852">
        <v>19</v>
      </c>
      <c r="H852">
        <v>3337.3</v>
      </c>
      <c r="I852">
        <v>2257.0700000000002</v>
      </c>
      <c r="J852">
        <v>111</v>
      </c>
      <c r="K852">
        <v>12</v>
      </c>
      <c r="L852" t="s">
        <v>196</v>
      </c>
      <c r="M852">
        <v>322</v>
      </c>
      <c r="N852">
        <v>4</v>
      </c>
      <c r="O852">
        <v>13</v>
      </c>
      <c r="P852" t="s">
        <v>216</v>
      </c>
      <c r="Q852" t="s">
        <v>217</v>
      </c>
      <c r="R852">
        <f t="shared" si="56"/>
        <v>-17</v>
      </c>
      <c r="S852">
        <f t="shared" si="53"/>
        <v>6.8259385665529011E-3</v>
      </c>
      <c r="T852" t="str">
        <f t="shared" si="54"/>
        <v>High Risk</v>
      </c>
      <c r="U852" t="str">
        <f t="shared" si="55"/>
        <v>Apply Discount / Promotion</v>
      </c>
    </row>
    <row r="853" spans="1:21" x14ac:dyDescent="0.25">
      <c r="A853">
        <v>852</v>
      </c>
      <c r="B853" t="s">
        <v>19</v>
      </c>
      <c r="C853" t="s">
        <v>118</v>
      </c>
      <c r="D853" t="s">
        <v>122</v>
      </c>
      <c r="E853">
        <v>308</v>
      </c>
      <c r="F853">
        <v>340</v>
      </c>
      <c r="G853">
        <v>334</v>
      </c>
      <c r="H853">
        <v>2912.9</v>
      </c>
      <c r="I853">
        <v>1744.28</v>
      </c>
      <c r="J853">
        <v>72</v>
      </c>
      <c r="K853">
        <v>8</v>
      </c>
      <c r="L853" t="s">
        <v>139</v>
      </c>
      <c r="M853">
        <v>205</v>
      </c>
      <c r="N853">
        <v>4</v>
      </c>
      <c r="O853">
        <v>9</v>
      </c>
      <c r="P853" t="s">
        <v>215</v>
      </c>
      <c r="Q853" t="s">
        <v>217</v>
      </c>
      <c r="R853">
        <f t="shared" si="56"/>
        <v>6</v>
      </c>
      <c r="S853">
        <f t="shared" si="53"/>
        <v>1.1038961038961039</v>
      </c>
      <c r="T853" t="str">
        <f t="shared" si="54"/>
        <v>Low Risk</v>
      </c>
      <c r="U853" t="str">
        <f t="shared" si="55"/>
        <v>Maintain Stock</v>
      </c>
    </row>
    <row r="854" spans="1:21" x14ac:dyDescent="0.25">
      <c r="A854">
        <v>853</v>
      </c>
      <c r="B854" t="s">
        <v>78</v>
      </c>
      <c r="C854" t="s">
        <v>118</v>
      </c>
      <c r="D854" t="s">
        <v>124</v>
      </c>
      <c r="E854">
        <v>412</v>
      </c>
      <c r="F854">
        <v>354</v>
      </c>
      <c r="G854">
        <v>312</v>
      </c>
      <c r="H854">
        <v>1216.93</v>
      </c>
      <c r="I854">
        <v>894.9</v>
      </c>
      <c r="J854">
        <v>93</v>
      </c>
      <c r="K854">
        <v>3</v>
      </c>
      <c r="L854" t="s">
        <v>210</v>
      </c>
      <c r="M854">
        <v>203</v>
      </c>
      <c r="N854">
        <v>4</v>
      </c>
      <c r="O854">
        <v>22</v>
      </c>
      <c r="P854" t="s">
        <v>215</v>
      </c>
      <c r="Q854" t="s">
        <v>219</v>
      </c>
      <c r="R854">
        <f t="shared" si="56"/>
        <v>42</v>
      </c>
      <c r="S854">
        <f t="shared" si="53"/>
        <v>0.85922330097087374</v>
      </c>
      <c r="T854" t="str">
        <f t="shared" si="54"/>
        <v>Medium Risk</v>
      </c>
      <c r="U854" t="str">
        <f t="shared" si="55"/>
        <v>Monitor Sales</v>
      </c>
    </row>
    <row r="855" spans="1:21" x14ac:dyDescent="0.25">
      <c r="A855">
        <v>854</v>
      </c>
      <c r="B855" t="s">
        <v>105</v>
      </c>
      <c r="C855" t="s">
        <v>117</v>
      </c>
      <c r="D855" t="s">
        <v>122</v>
      </c>
      <c r="E855">
        <v>250</v>
      </c>
      <c r="F855">
        <v>249</v>
      </c>
      <c r="G855">
        <v>258</v>
      </c>
      <c r="H855">
        <v>419.27</v>
      </c>
      <c r="I855">
        <v>285.20999999999998</v>
      </c>
      <c r="J855">
        <v>118</v>
      </c>
      <c r="K855">
        <v>13</v>
      </c>
      <c r="L855" t="s">
        <v>169</v>
      </c>
      <c r="M855">
        <v>294</v>
      </c>
      <c r="N855">
        <v>4</v>
      </c>
      <c r="O855">
        <v>43</v>
      </c>
      <c r="P855" t="s">
        <v>215</v>
      </c>
      <c r="Q855" t="s">
        <v>217</v>
      </c>
      <c r="R855">
        <f t="shared" si="56"/>
        <v>-9</v>
      </c>
      <c r="S855">
        <f t="shared" si="53"/>
        <v>0.996</v>
      </c>
      <c r="T855" t="str">
        <f t="shared" si="54"/>
        <v>Medium Risk</v>
      </c>
      <c r="U855" t="str">
        <f t="shared" si="55"/>
        <v>Monitor Sales</v>
      </c>
    </row>
    <row r="856" spans="1:21" x14ac:dyDescent="0.25">
      <c r="A856">
        <v>855</v>
      </c>
      <c r="B856" t="s">
        <v>78</v>
      </c>
      <c r="C856" t="s">
        <v>119</v>
      </c>
      <c r="D856" t="s">
        <v>122</v>
      </c>
      <c r="E856">
        <v>21</v>
      </c>
      <c r="F856">
        <v>149</v>
      </c>
      <c r="G856">
        <v>125</v>
      </c>
      <c r="H856">
        <v>2984.01</v>
      </c>
      <c r="I856">
        <v>1680.3</v>
      </c>
      <c r="J856">
        <v>134</v>
      </c>
      <c r="K856">
        <v>12</v>
      </c>
      <c r="L856" t="s">
        <v>178</v>
      </c>
      <c r="M856">
        <v>244</v>
      </c>
      <c r="N856">
        <v>4</v>
      </c>
      <c r="O856">
        <v>10</v>
      </c>
      <c r="P856" t="s">
        <v>215</v>
      </c>
      <c r="Q856" t="s">
        <v>218</v>
      </c>
      <c r="R856">
        <f t="shared" si="56"/>
        <v>24</v>
      </c>
      <c r="S856">
        <f t="shared" si="53"/>
        <v>7.0952380952380949</v>
      </c>
      <c r="T856" t="str">
        <f t="shared" si="54"/>
        <v>Low Risk</v>
      </c>
      <c r="U856" t="str">
        <f t="shared" si="55"/>
        <v>Maintain Stock</v>
      </c>
    </row>
    <row r="857" spans="1:21" x14ac:dyDescent="0.25">
      <c r="A857">
        <v>856</v>
      </c>
      <c r="B857" t="s">
        <v>45</v>
      </c>
      <c r="C857" t="s">
        <v>116</v>
      </c>
      <c r="D857" t="s">
        <v>123</v>
      </c>
      <c r="E857">
        <v>196</v>
      </c>
      <c r="F857">
        <v>276</v>
      </c>
      <c r="G857">
        <v>226</v>
      </c>
      <c r="H857">
        <v>3557.97</v>
      </c>
      <c r="I857">
        <v>1840.24</v>
      </c>
      <c r="J857">
        <v>108</v>
      </c>
      <c r="K857">
        <v>1</v>
      </c>
      <c r="L857" t="s">
        <v>194</v>
      </c>
      <c r="M857">
        <v>56</v>
      </c>
      <c r="N857">
        <v>4</v>
      </c>
      <c r="O857">
        <v>23</v>
      </c>
      <c r="P857" t="s">
        <v>216</v>
      </c>
      <c r="Q857" t="s">
        <v>219</v>
      </c>
      <c r="R857">
        <f t="shared" si="56"/>
        <v>50</v>
      </c>
      <c r="S857">
        <f t="shared" si="53"/>
        <v>1.4081632653061225</v>
      </c>
      <c r="T857" t="str">
        <f t="shared" si="54"/>
        <v>Low Risk</v>
      </c>
      <c r="U857" t="str">
        <f t="shared" si="55"/>
        <v>Maintain Stock</v>
      </c>
    </row>
    <row r="858" spans="1:21" x14ac:dyDescent="0.25">
      <c r="A858">
        <v>857</v>
      </c>
      <c r="B858" t="s">
        <v>18</v>
      </c>
      <c r="C858" t="s">
        <v>119</v>
      </c>
      <c r="D858" t="s">
        <v>123</v>
      </c>
      <c r="E858">
        <v>455</v>
      </c>
      <c r="F858">
        <v>153</v>
      </c>
      <c r="G858">
        <v>145</v>
      </c>
      <c r="H858">
        <v>4733.41</v>
      </c>
      <c r="I858">
        <v>3420.06</v>
      </c>
      <c r="J858">
        <v>48</v>
      </c>
      <c r="K858">
        <v>1</v>
      </c>
      <c r="L858" t="s">
        <v>208</v>
      </c>
      <c r="M858">
        <v>66</v>
      </c>
      <c r="N858">
        <v>2</v>
      </c>
      <c r="O858">
        <v>15</v>
      </c>
      <c r="P858" t="s">
        <v>215</v>
      </c>
      <c r="Q858" t="s">
        <v>219</v>
      </c>
      <c r="R858">
        <f t="shared" si="56"/>
        <v>8</v>
      </c>
      <c r="S858">
        <f t="shared" si="53"/>
        <v>0.33626373626373629</v>
      </c>
      <c r="T858" t="str">
        <f t="shared" si="54"/>
        <v>High Risk</v>
      </c>
      <c r="U858" t="str">
        <f t="shared" si="55"/>
        <v>Apply Discount / Promotion</v>
      </c>
    </row>
    <row r="859" spans="1:21" x14ac:dyDescent="0.25">
      <c r="A859">
        <v>858</v>
      </c>
      <c r="B859" t="s">
        <v>75</v>
      </c>
      <c r="C859" t="s">
        <v>116</v>
      </c>
      <c r="D859" t="s">
        <v>122</v>
      </c>
      <c r="E859">
        <v>114</v>
      </c>
      <c r="F859">
        <v>113</v>
      </c>
      <c r="G859">
        <v>131</v>
      </c>
      <c r="H859">
        <v>864.45</v>
      </c>
      <c r="I859">
        <v>564.47</v>
      </c>
      <c r="J859">
        <v>109</v>
      </c>
      <c r="K859">
        <v>13</v>
      </c>
      <c r="L859" t="s">
        <v>136</v>
      </c>
      <c r="M859">
        <v>180</v>
      </c>
      <c r="N859">
        <v>4</v>
      </c>
      <c r="O859">
        <v>42</v>
      </c>
      <c r="P859" t="s">
        <v>215</v>
      </c>
      <c r="Q859" t="s">
        <v>218</v>
      </c>
      <c r="R859">
        <f t="shared" si="56"/>
        <v>-18</v>
      </c>
      <c r="S859">
        <f t="shared" si="53"/>
        <v>0.99122807017543857</v>
      </c>
      <c r="T859" t="str">
        <f t="shared" si="54"/>
        <v>Medium Risk</v>
      </c>
      <c r="U859" t="str">
        <f t="shared" si="55"/>
        <v>Monitor Sales</v>
      </c>
    </row>
    <row r="860" spans="1:21" x14ac:dyDescent="0.25">
      <c r="A860">
        <v>859</v>
      </c>
      <c r="B860" t="s">
        <v>65</v>
      </c>
      <c r="C860" t="s">
        <v>117</v>
      </c>
      <c r="D860" t="s">
        <v>123</v>
      </c>
      <c r="E860">
        <v>214</v>
      </c>
      <c r="F860">
        <v>191</v>
      </c>
      <c r="G860">
        <v>178</v>
      </c>
      <c r="H860">
        <v>520.08000000000004</v>
      </c>
      <c r="I860">
        <v>329.79</v>
      </c>
      <c r="J860">
        <v>94</v>
      </c>
      <c r="K860">
        <v>2</v>
      </c>
      <c r="L860" t="s">
        <v>152</v>
      </c>
      <c r="M860">
        <v>220</v>
      </c>
      <c r="N860">
        <v>1</v>
      </c>
      <c r="O860">
        <v>5</v>
      </c>
      <c r="P860" t="s">
        <v>215</v>
      </c>
      <c r="Q860" t="s">
        <v>217</v>
      </c>
      <c r="R860">
        <f t="shared" si="56"/>
        <v>13</v>
      </c>
      <c r="S860">
        <f t="shared" si="53"/>
        <v>0.89252336448598135</v>
      </c>
      <c r="T860" t="str">
        <f t="shared" si="54"/>
        <v>Medium Risk</v>
      </c>
      <c r="U860" t="str">
        <f t="shared" si="55"/>
        <v>Monitor Sales</v>
      </c>
    </row>
    <row r="861" spans="1:21" x14ac:dyDescent="0.25">
      <c r="A861">
        <v>860</v>
      </c>
      <c r="B861" t="s">
        <v>52</v>
      </c>
      <c r="C861" t="s">
        <v>116</v>
      </c>
      <c r="D861" t="s">
        <v>123</v>
      </c>
      <c r="E861">
        <v>298</v>
      </c>
      <c r="F861">
        <v>322</v>
      </c>
      <c r="G861">
        <v>300</v>
      </c>
      <c r="H861">
        <v>2374.64</v>
      </c>
      <c r="I861">
        <v>1522.98</v>
      </c>
      <c r="J861">
        <v>133</v>
      </c>
      <c r="K861">
        <v>7</v>
      </c>
      <c r="L861" t="s">
        <v>174</v>
      </c>
      <c r="M861">
        <v>60</v>
      </c>
      <c r="N861">
        <v>5</v>
      </c>
      <c r="O861">
        <v>33</v>
      </c>
      <c r="P861" t="s">
        <v>215</v>
      </c>
      <c r="Q861" t="s">
        <v>219</v>
      </c>
      <c r="R861">
        <f t="shared" si="56"/>
        <v>22</v>
      </c>
      <c r="S861">
        <f t="shared" si="53"/>
        <v>1.080536912751678</v>
      </c>
      <c r="T861" t="str">
        <f t="shared" si="54"/>
        <v>Low Risk</v>
      </c>
      <c r="U861" t="str">
        <f t="shared" si="55"/>
        <v>Maintain Stock</v>
      </c>
    </row>
    <row r="862" spans="1:21" x14ac:dyDescent="0.25">
      <c r="A862">
        <v>861</v>
      </c>
      <c r="B862" t="s">
        <v>85</v>
      </c>
      <c r="C862" t="s">
        <v>116</v>
      </c>
      <c r="D862" t="s">
        <v>121</v>
      </c>
      <c r="E862">
        <v>165</v>
      </c>
      <c r="F862">
        <v>148</v>
      </c>
      <c r="G862">
        <v>152</v>
      </c>
      <c r="H862">
        <v>4562.53</v>
      </c>
      <c r="I862">
        <v>2707.71</v>
      </c>
      <c r="J862">
        <v>133</v>
      </c>
      <c r="K862">
        <v>4</v>
      </c>
      <c r="L862" t="s">
        <v>125</v>
      </c>
      <c r="M862">
        <v>106</v>
      </c>
      <c r="N862">
        <v>2</v>
      </c>
      <c r="O862">
        <v>27</v>
      </c>
      <c r="P862" t="s">
        <v>215</v>
      </c>
      <c r="Q862" t="s">
        <v>218</v>
      </c>
      <c r="R862">
        <f t="shared" si="56"/>
        <v>-4</v>
      </c>
      <c r="S862">
        <f t="shared" si="53"/>
        <v>0.89696969696969697</v>
      </c>
      <c r="T862" t="str">
        <f t="shared" si="54"/>
        <v>Medium Risk</v>
      </c>
      <c r="U862" t="str">
        <f t="shared" si="55"/>
        <v>Monitor Sales</v>
      </c>
    </row>
    <row r="863" spans="1:21" x14ac:dyDescent="0.25">
      <c r="A863">
        <v>862</v>
      </c>
      <c r="B863" t="s">
        <v>112</v>
      </c>
      <c r="C863" t="s">
        <v>117</v>
      </c>
      <c r="D863" t="s">
        <v>123</v>
      </c>
      <c r="E863">
        <v>52</v>
      </c>
      <c r="F863">
        <v>417</v>
      </c>
      <c r="G863">
        <v>374</v>
      </c>
      <c r="H863">
        <v>399.12</v>
      </c>
      <c r="I863">
        <v>200.12</v>
      </c>
      <c r="J863">
        <v>115</v>
      </c>
      <c r="K863">
        <v>2</v>
      </c>
      <c r="L863" t="s">
        <v>204</v>
      </c>
      <c r="M863">
        <v>212</v>
      </c>
      <c r="N863">
        <v>1</v>
      </c>
      <c r="O863">
        <v>49</v>
      </c>
      <c r="P863" t="s">
        <v>216</v>
      </c>
      <c r="Q863" t="s">
        <v>218</v>
      </c>
      <c r="R863">
        <f t="shared" si="56"/>
        <v>43</v>
      </c>
      <c r="S863">
        <f t="shared" si="53"/>
        <v>8.0192307692307701</v>
      </c>
      <c r="T863" t="str">
        <f t="shared" si="54"/>
        <v>Low Risk</v>
      </c>
      <c r="U863" t="str">
        <f t="shared" si="55"/>
        <v>Maintain Stock</v>
      </c>
    </row>
    <row r="864" spans="1:21" x14ac:dyDescent="0.25">
      <c r="A864">
        <v>863</v>
      </c>
      <c r="B864" t="s">
        <v>61</v>
      </c>
      <c r="C864" t="s">
        <v>116</v>
      </c>
      <c r="D864" t="s">
        <v>123</v>
      </c>
      <c r="E864">
        <v>87</v>
      </c>
      <c r="F864">
        <v>370</v>
      </c>
      <c r="G864">
        <v>338</v>
      </c>
      <c r="H864">
        <v>1163.43</v>
      </c>
      <c r="I864">
        <v>691.92</v>
      </c>
      <c r="J864">
        <v>147</v>
      </c>
      <c r="K864">
        <v>11</v>
      </c>
      <c r="L864" t="s">
        <v>211</v>
      </c>
      <c r="M864">
        <v>112</v>
      </c>
      <c r="N864">
        <v>2</v>
      </c>
      <c r="O864">
        <v>43</v>
      </c>
      <c r="P864" t="s">
        <v>215</v>
      </c>
      <c r="Q864" t="s">
        <v>218</v>
      </c>
      <c r="R864">
        <f t="shared" si="56"/>
        <v>32</v>
      </c>
      <c r="S864">
        <f t="shared" si="53"/>
        <v>4.2528735632183912</v>
      </c>
      <c r="T864" t="str">
        <f t="shared" si="54"/>
        <v>Low Risk</v>
      </c>
      <c r="U864" t="str">
        <f t="shared" si="55"/>
        <v>Maintain Stock</v>
      </c>
    </row>
    <row r="865" spans="1:21" x14ac:dyDescent="0.25">
      <c r="A865">
        <v>864</v>
      </c>
      <c r="B865" t="s">
        <v>45</v>
      </c>
      <c r="C865" t="s">
        <v>119</v>
      </c>
      <c r="D865" t="s">
        <v>124</v>
      </c>
      <c r="E865">
        <v>347</v>
      </c>
      <c r="F865">
        <v>152</v>
      </c>
      <c r="G865">
        <v>148</v>
      </c>
      <c r="H865">
        <v>3121.73</v>
      </c>
      <c r="I865">
        <v>2005.18</v>
      </c>
      <c r="J865">
        <v>51</v>
      </c>
      <c r="K865">
        <v>4</v>
      </c>
      <c r="L865" t="s">
        <v>149</v>
      </c>
      <c r="M865">
        <v>104</v>
      </c>
      <c r="N865">
        <v>1</v>
      </c>
      <c r="O865">
        <v>3</v>
      </c>
      <c r="P865" t="s">
        <v>216</v>
      </c>
      <c r="Q865" t="s">
        <v>219</v>
      </c>
      <c r="R865">
        <f t="shared" si="56"/>
        <v>4</v>
      </c>
      <c r="S865">
        <f t="shared" si="53"/>
        <v>0.43804034582132567</v>
      </c>
      <c r="T865" t="str">
        <f t="shared" si="54"/>
        <v>High Risk</v>
      </c>
      <c r="U865" t="str">
        <f t="shared" si="55"/>
        <v>Apply Discount / Promotion</v>
      </c>
    </row>
    <row r="866" spans="1:21" x14ac:dyDescent="0.25">
      <c r="A866">
        <v>865</v>
      </c>
      <c r="B866" t="s">
        <v>61</v>
      </c>
      <c r="C866" t="s">
        <v>120</v>
      </c>
      <c r="D866" t="s">
        <v>123</v>
      </c>
      <c r="E866">
        <v>312</v>
      </c>
      <c r="F866">
        <v>131</v>
      </c>
      <c r="G866">
        <v>90</v>
      </c>
      <c r="H866">
        <v>2568.0100000000002</v>
      </c>
      <c r="I866">
        <v>1303.76</v>
      </c>
      <c r="J866">
        <v>31</v>
      </c>
      <c r="K866">
        <v>11</v>
      </c>
      <c r="L866" t="s">
        <v>126</v>
      </c>
      <c r="M866">
        <v>66</v>
      </c>
      <c r="N866">
        <v>2</v>
      </c>
      <c r="O866">
        <v>10</v>
      </c>
      <c r="P866" t="s">
        <v>216</v>
      </c>
      <c r="Q866" t="s">
        <v>219</v>
      </c>
      <c r="R866">
        <f t="shared" si="56"/>
        <v>41</v>
      </c>
      <c r="S866">
        <f t="shared" si="53"/>
        <v>0.41987179487179488</v>
      </c>
      <c r="T866" t="str">
        <f t="shared" si="54"/>
        <v>High Risk</v>
      </c>
      <c r="U866" t="str">
        <f t="shared" si="55"/>
        <v>Apply Discount / Promotion</v>
      </c>
    </row>
    <row r="867" spans="1:21" x14ac:dyDescent="0.25">
      <c r="A867">
        <v>866</v>
      </c>
      <c r="B867" t="s">
        <v>96</v>
      </c>
      <c r="C867" t="s">
        <v>119</v>
      </c>
      <c r="D867" t="s">
        <v>121</v>
      </c>
      <c r="E867">
        <v>338</v>
      </c>
      <c r="F867">
        <v>298</v>
      </c>
      <c r="G867">
        <v>317</v>
      </c>
      <c r="H867">
        <v>4133.87</v>
      </c>
      <c r="I867">
        <v>2145.86</v>
      </c>
      <c r="J867">
        <v>50</v>
      </c>
      <c r="K867">
        <v>15</v>
      </c>
      <c r="L867" t="s">
        <v>196</v>
      </c>
      <c r="M867">
        <v>93</v>
      </c>
      <c r="N867">
        <v>2</v>
      </c>
      <c r="O867">
        <v>27</v>
      </c>
      <c r="P867" t="s">
        <v>215</v>
      </c>
      <c r="Q867" t="s">
        <v>218</v>
      </c>
      <c r="R867">
        <f t="shared" si="56"/>
        <v>-19</v>
      </c>
      <c r="S867">
        <f t="shared" si="53"/>
        <v>0.88165680473372776</v>
      </c>
      <c r="T867" t="str">
        <f t="shared" si="54"/>
        <v>Medium Risk</v>
      </c>
      <c r="U867" t="str">
        <f t="shared" si="55"/>
        <v>Monitor Sales</v>
      </c>
    </row>
    <row r="868" spans="1:21" x14ac:dyDescent="0.25">
      <c r="A868">
        <v>867</v>
      </c>
      <c r="B868" t="s">
        <v>66</v>
      </c>
      <c r="C868" t="s">
        <v>117</v>
      </c>
      <c r="D868" t="s">
        <v>122</v>
      </c>
      <c r="E868">
        <v>372</v>
      </c>
      <c r="F868">
        <v>378</v>
      </c>
      <c r="G868">
        <v>378</v>
      </c>
      <c r="H868">
        <v>2462.77</v>
      </c>
      <c r="I868">
        <v>1838.82</v>
      </c>
      <c r="J868">
        <v>126</v>
      </c>
      <c r="K868">
        <v>1</v>
      </c>
      <c r="L868" t="s">
        <v>195</v>
      </c>
      <c r="M868">
        <v>144</v>
      </c>
      <c r="N868">
        <v>3</v>
      </c>
      <c r="O868">
        <v>2</v>
      </c>
      <c r="P868" t="s">
        <v>215</v>
      </c>
      <c r="Q868" t="s">
        <v>219</v>
      </c>
      <c r="R868">
        <f t="shared" si="56"/>
        <v>0</v>
      </c>
      <c r="S868">
        <f t="shared" si="53"/>
        <v>1.0161290322580645</v>
      </c>
      <c r="T868" t="str">
        <f t="shared" si="54"/>
        <v>Low Risk</v>
      </c>
      <c r="U868" t="str">
        <f t="shared" si="55"/>
        <v>Maintain Stock</v>
      </c>
    </row>
    <row r="869" spans="1:21" x14ac:dyDescent="0.25">
      <c r="A869">
        <v>868</v>
      </c>
      <c r="B869" t="s">
        <v>56</v>
      </c>
      <c r="C869" t="s">
        <v>118</v>
      </c>
      <c r="D869" t="s">
        <v>123</v>
      </c>
      <c r="E869">
        <v>283</v>
      </c>
      <c r="F869">
        <v>118</v>
      </c>
      <c r="G869">
        <v>74</v>
      </c>
      <c r="H869">
        <v>2894.61</v>
      </c>
      <c r="I869">
        <v>2309.9699999999998</v>
      </c>
      <c r="J869">
        <v>112</v>
      </c>
      <c r="K869">
        <v>9</v>
      </c>
      <c r="L869" t="s">
        <v>133</v>
      </c>
      <c r="M869">
        <v>333</v>
      </c>
      <c r="N869">
        <v>3</v>
      </c>
      <c r="O869">
        <v>0</v>
      </c>
      <c r="P869" t="s">
        <v>215</v>
      </c>
      <c r="Q869" t="s">
        <v>217</v>
      </c>
      <c r="R869">
        <f t="shared" si="56"/>
        <v>44</v>
      </c>
      <c r="S869">
        <f t="shared" si="53"/>
        <v>0.41696113074204949</v>
      </c>
      <c r="T869" t="str">
        <f t="shared" si="54"/>
        <v>High Risk</v>
      </c>
      <c r="U869" t="str">
        <f t="shared" si="55"/>
        <v>Apply Discount / Promotion</v>
      </c>
    </row>
    <row r="870" spans="1:21" x14ac:dyDescent="0.25">
      <c r="A870">
        <v>869</v>
      </c>
      <c r="B870" t="s">
        <v>72</v>
      </c>
      <c r="C870" t="s">
        <v>116</v>
      </c>
      <c r="D870" t="s">
        <v>124</v>
      </c>
      <c r="E870">
        <v>95</v>
      </c>
      <c r="F870">
        <v>354</v>
      </c>
      <c r="G870">
        <v>356</v>
      </c>
      <c r="H870">
        <v>4497.62</v>
      </c>
      <c r="I870">
        <v>3343.43</v>
      </c>
      <c r="J870">
        <v>62</v>
      </c>
      <c r="K870">
        <v>14</v>
      </c>
      <c r="L870" t="s">
        <v>142</v>
      </c>
      <c r="M870">
        <v>330</v>
      </c>
      <c r="N870">
        <v>1</v>
      </c>
      <c r="O870">
        <v>47</v>
      </c>
      <c r="P870" t="s">
        <v>215</v>
      </c>
      <c r="Q870" t="s">
        <v>219</v>
      </c>
      <c r="R870">
        <f t="shared" si="56"/>
        <v>-2</v>
      </c>
      <c r="S870">
        <f t="shared" si="53"/>
        <v>3.7263157894736842</v>
      </c>
      <c r="T870" t="str">
        <f t="shared" si="54"/>
        <v>Low Risk</v>
      </c>
      <c r="U870" t="str">
        <f t="shared" si="55"/>
        <v>Maintain Stock</v>
      </c>
    </row>
    <row r="871" spans="1:21" x14ac:dyDescent="0.25">
      <c r="A871">
        <v>870</v>
      </c>
      <c r="B871" t="s">
        <v>101</v>
      </c>
      <c r="C871" t="s">
        <v>119</v>
      </c>
      <c r="D871" t="s">
        <v>122</v>
      </c>
      <c r="E871">
        <v>199</v>
      </c>
      <c r="F871">
        <v>292</v>
      </c>
      <c r="G871">
        <v>315</v>
      </c>
      <c r="H871">
        <v>4436.3599999999997</v>
      </c>
      <c r="I871">
        <v>3141.9</v>
      </c>
      <c r="J871">
        <v>115</v>
      </c>
      <c r="K871">
        <v>13</v>
      </c>
      <c r="L871" t="s">
        <v>178</v>
      </c>
      <c r="M871">
        <v>291</v>
      </c>
      <c r="N871">
        <v>4</v>
      </c>
      <c r="O871">
        <v>24</v>
      </c>
      <c r="P871" t="s">
        <v>216</v>
      </c>
      <c r="Q871" t="s">
        <v>219</v>
      </c>
      <c r="R871">
        <f t="shared" si="56"/>
        <v>-23</v>
      </c>
      <c r="S871">
        <f t="shared" si="53"/>
        <v>1.4673366834170853</v>
      </c>
      <c r="T871" t="str">
        <f t="shared" si="54"/>
        <v>Low Risk</v>
      </c>
      <c r="U871" t="str">
        <f t="shared" si="55"/>
        <v>Maintain Stock</v>
      </c>
    </row>
    <row r="872" spans="1:21" x14ac:dyDescent="0.25">
      <c r="A872">
        <v>871</v>
      </c>
      <c r="B872" t="s">
        <v>107</v>
      </c>
      <c r="C872" t="s">
        <v>119</v>
      </c>
      <c r="D872" t="s">
        <v>123</v>
      </c>
      <c r="E872">
        <v>105</v>
      </c>
      <c r="F872">
        <v>297</v>
      </c>
      <c r="G872">
        <v>286</v>
      </c>
      <c r="H872">
        <v>1501.27</v>
      </c>
      <c r="I872">
        <v>1009.48</v>
      </c>
      <c r="J872">
        <v>68</v>
      </c>
      <c r="K872">
        <v>9</v>
      </c>
      <c r="L872" t="s">
        <v>166</v>
      </c>
      <c r="M872">
        <v>85</v>
      </c>
      <c r="N872">
        <v>2</v>
      </c>
      <c r="O872">
        <v>31</v>
      </c>
      <c r="P872" t="s">
        <v>215</v>
      </c>
      <c r="Q872" t="s">
        <v>217</v>
      </c>
      <c r="R872">
        <f t="shared" si="56"/>
        <v>11</v>
      </c>
      <c r="S872">
        <f t="shared" si="53"/>
        <v>2.8285714285714287</v>
      </c>
      <c r="T872" t="str">
        <f t="shared" si="54"/>
        <v>Low Risk</v>
      </c>
      <c r="U872" t="str">
        <f t="shared" si="55"/>
        <v>Maintain Stock</v>
      </c>
    </row>
    <row r="873" spans="1:21" x14ac:dyDescent="0.25">
      <c r="A873">
        <v>872</v>
      </c>
      <c r="B873" t="s">
        <v>53</v>
      </c>
      <c r="C873" t="s">
        <v>119</v>
      </c>
      <c r="D873" t="s">
        <v>121</v>
      </c>
      <c r="E873">
        <v>149</v>
      </c>
      <c r="F873">
        <v>296</v>
      </c>
      <c r="G873">
        <v>276</v>
      </c>
      <c r="H873">
        <v>1577.99</v>
      </c>
      <c r="I873">
        <v>1135.7</v>
      </c>
      <c r="J873">
        <v>140</v>
      </c>
      <c r="K873">
        <v>1</v>
      </c>
      <c r="L873" t="s">
        <v>213</v>
      </c>
      <c r="M873">
        <v>150</v>
      </c>
      <c r="N873">
        <v>4</v>
      </c>
      <c r="O873">
        <v>17</v>
      </c>
      <c r="P873" t="s">
        <v>215</v>
      </c>
      <c r="Q873" t="s">
        <v>219</v>
      </c>
      <c r="R873">
        <f t="shared" si="56"/>
        <v>20</v>
      </c>
      <c r="S873">
        <f t="shared" si="53"/>
        <v>1.9865771812080537</v>
      </c>
      <c r="T873" t="str">
        <f t="shared" si="54"/>
        <v>Low Risk</v>
      </c>
      <c r="U873" t="str">
        <f t="shared" si="55"/>
        <v>Maintain Stock</v>
      </c>
    </row>
    <row r="874" spans="1:21" x14ac:dyDescent="0.25">
      <c r="A874">
        <v>873</v>
      </c>
      <c r="B874" t="s">
        <v>104</v>
      </c>
      <c r="C874" t="s">
        <v>120</v>
      </c>
      <c r="D874" t="s">
        <v>123</v>
      </c>
      <c r="E874">
        <v>256</v>
      </c>
      <c r="F874">
        <v>347</v>
      </c>
      <c r="G874">
        <v>356</v>
      </c>
      <c r="H874">
        <v>4067.74</v>
      </c>
      <c r="I874">
        <v>2817.57</v>
      </c>
      <c r="J874">
        <v>148</v>
      </c>
      <c r="K874">
        <v>12</v>
      </c>
      <c r="L874" t="s">
        <v>175</v>
      </c>
      <c r="M874">
        <v>301</v>
      </c>
      <c r="N874">
        <v>4</v>
      </c>
      <c r="O874">
        <v>48</v>
      </c>
      <c r="P874" t="s">
        <v>216</v>
      </c>
      <c r="Q874" t="s">
        <v>218</v>
      </c>
      <c r="R874">
        <f t="shared" si="56"/>
        <v>-9</v>
      </c>
      <c r="S874">
        <f t="shared" si="53"/>
        <v>1.35546875</v>
      </c>
      <c r="T874" t="str">
        <f t="shared" si="54"/>
        <v>Low Risk</v>
      </c>
      <c r="U874" t="str">
        <f t="shared" si="55"/>
        <v>Maintain Stock</v>
      </c>
    </row>
    <row r="875" spans="1:21" x14ac:dyDescent="0.25">
      <c r="A875">
        <v>874</v>
      </c>
      <c r="B875" t="s">
        <v>91</v>
      </c>
      <c r="C875" t="s">
        <v>119</v>
      </c>
      <c r="D875" t="s">
        <v>121</v>
      </c>
      <c r="E875">
        <v>452</v>
      </c>
      <c r="F875">
        <v>7</v>
      </c>
      <c r="G875">
        <v>10</v>
      </c>
      <c r="H875">
        <v>508.95</v>
      </c>
      <c r="I875">
        <v>357.25</v>
      </c>
      <c r="J875">
        <v>129</v>
      </c>
      <c r="K875">
        <v>9</v>
      </c>
      <c r="L875" t="s">
        <v>153</v>
      </c>
      <c r="M875">
        <v>306</v>
      </c>
      <c r="N875">
        <v>5</v>
      </c>
      <c r="O875">
        <v>9</v>
      </c>
      <c r="P875" t="s">
        <v>215</v>
      </c>
      <c r="Q875" t="s">
        <v>219</v>
      </c>
      <c r="R875">
        <f t="shared" si="56"/>
        <v>-3</v>
      </c>
      <c r="S875">
        <f t="shared" si="53"/>
        <v>1.5486725663716814E-2</v>
      </c>
      <c r="T875" t="str">
        <f t="shared" si="54"/>
        <v>High Risk</v>
      </c>
      <c r="U875" t="str">
        <f t="shared" si="55"/>
        <v>Apply Discount / Promotion</v>
      </c>
    </row>
    <row r="876" spans="1:21" x14ac:dyDescent="0.25">
      <c r="A876">
        <v>875</v>
      </c>
      <c r="B876" t="s">
        <v>77</v>
      </c>
      <c r="C876" t="s">
        <v>118</v>
      </c>
      <c r="D876" t="s">
        <v>122</v>
      </c>
      <c r="E876">
        <v>265</v>
      </c>
      <c r="F876">
        <v>245</v>
      </c>
      <c r="G876">
        <v>283</v>
      </c>
      <c r="H876">
        <v>2929.63</v>
      </c>
      <c r="I876">
        <v>2006.22</v>
      </c>
      <c r="J876">
        <v>137</v>
      </c>
      <c r="K876">
        <v>14</v>
      </c>
      <c r="L876" t="s">
        <v>145</v>
      </c>
      <c r="M876">
        <v>184</v>
      </c>
      <c r="N876">
        <v>4</v>
      </c>
      <c r="O876">
        <v>0</v>
      </c>
      <c r="P876" t="s">
        <v>215</v>
      </c>
      <c r="Q876" t="s">
        <v>218</v>
      </c>
      <c r="R876">
        <f t="shared" si="56"/>
        <v>-38</v>
      </c>
      <c r="S876">
        <f t="shared" si="53"/>
        <v>0.92452830188679247</v>
      </c>
      <c r="T876" t="str">
        <f t="shared" si="54"/>
        <v>Medium Risk</v>
      </c>
      <c r="U876" t="str">
        <f t="shared" si="55"/>
        <v>Monitor Sales</v>
      </c>
    </row>
    <row r="877" spans="1:21" x14ac:dyDescent="0.25">
      <c r="A877">
        <v>876</v>
      </c>
      <c r="B877" t="s">
        <v>61</v>
      </c>
      <c r="C877" t="s">
        <v>116</v>
      </c>
      <c r="D877" t="s">
        <v>121</v>
      </c>
      <c r="E877">
        <v>193</v>
      </c>
      <c r="F877">
        <v>22</v>
      </c>
      <c r="G877">
        <v>12</v>
      </c>
      <c r="H877">
        <v>268</v>
      </c>
      <c r="I877">
        <v>168.47</v>
      </c>
      <c r="J877">
        <v>103</v>
      </c>
      <c r="K877">
        <v>3</v>
      </c>
      <c r="L877" t="s">
        <v>142</v>
      </c>
      <c r="M877">
        <v>266</v>
      </c>
      <c r="N877">
        <v>3</v>
      </c>
      <c r="O877">
        <v>13</v>
      </c>
      <c r="P877" t="s">
        <v>216</v>
      </c>
      <c r="Q877" t="s">
        <v>217</v>
      </c>
      <c r="R877">
        <f t="shared" si="56"/>
        <v>10</v>
      </c>
      <c r="S877">
        <f t="shared" si="53"/>
        <v>0.11398963730569948</v>
      </c>
      <c r="T877" t="str">
        <f t="shared" si="54"/>
        <v>High Risk</v>
      </c>
      <c r="U877" t="str">
        <f t="shared" si="55"/>
        <v>Apply Discount / Promotion</v>
      </c>
    </row>
    <row r="878" spans="1:21" x14ac:dyDescent="0.25">
      <c r="A878">
        <v>877</v>
      </c>
      <c r="B878" t="s">
        <v>85</v>
      </c>
      <c r="C878" t="s">
        <v>117</v>
      </c>
      <c r="D878" t="s">
        <v>123</v>
      </c>
      <c r="E878">
        <v>294</v>
      </c>
      <c r="F878">
        <v>177</v>
      </c>
      <c r="G878">
        <v>138</v>
      </c>
      <c r="H878">
        <v>903.72</v>
      </c>
      <c r="I878">
        <v>472.49</v>
      </c>
      <c r="J878">
        <v>113</v>
      </c>
      <c r="K878">
        <v>11</v>
      </c>
      <c r="L878" t="s">
        <v>125</v>
      </c>
      <c r="M878">
        <v>143</v>
      </c>
      <c r="N878">
        <v>3</v>
      </c>
      <c r="O878">
        <v>11</v>
      </c>
      <c r="P878" t="s">
        <v>216</v>
      </c>
      <c r="Q878" t="s">
        <v>219</v>
      </c>
      <c r="R878">
        <f t="shared" si="56"/>
        <v>39</v>
      </c>
      <c r="S878">
        <f t="shared" si="53"/>
        <v>0.60204081632653061</v>
      </c>
      <c r="T878" t="str">
        <f t="shared" si="54"/>
        <v>Medium Risk</v>
      </c>
      <c r="U878" t="str">
        <f t="shared" si="55"/>
        <v>Monitor Sales</v>
      </c>
    </row>
    <row r="879" spans="1:21" x14ac:dyDescent="0.25">
      <c r="A879">
        <v>878</v>
      </c>
      <c r="B879" t="s">
        <v>107</v>
      </c>
      <c r="C879" t="s">
        <v>118</v>
      </c>
      <c r="D879" t="s">
        <v>123</v>
      </c>
      <c r="E879">
        <v>453</v>
      </c>
      <c r="F879">
        <v>75</v>
      </c>
      <c r="G879">
        <v>55</v>
      </c>
      <c r="H879">
        <v>4932.41</v>
      </c>
      <c r="I879">
        <v>3297.23</v>
      </c>
      <c r="J879">
        <v>96</v>
      </c>
      <c r="K879">
        <v>11</v>
      </c>
      <c r="L879" t="s">
        <v>147</v>
      </c>
      <c r="M879">
        <v>173</v>
      </c>
      <c r="N879">
        <v>1</v>
      </c>
      <c r="O879">
        <v>45</v>
      </c>
      <c r="P879" t="s">
        <v>215</v>
      </c>
      <c r="Q879" t="s">
        <v>217</v>
      </c>
      <c r="R879">
        <f t="shared" si="56"/>
        <v>20</v>
      </c>
      <c r="S879">
        <f t="shared" si="53"/>
        <v>0.16556291390728478</v>
      </c>
      <c r="T879" t="str">
        <f t="shared" si="54"/>
        <v>High Risk</v>
      </c>
      <c r="U879" t="str">
        <f t="shared" si="55"/>
        <v>Apply Discount / Promotion</v>
      </c>
    </row>
    <row r="880" spans="1:21" x14ac:dyDescent="0.25">
      <c r="A880">
        <v>879</v>
      </c>
      <c r="B880" t="s">
        <v>69</v>
      </c>
      <c r="C880" t="s">
        <v>119</v>
      </c>
      <c r="D880" t="s">
        <v>123</v>
      </c>
      <c r="E880">
        <v>62</v>
      </c>
      <c r="F880">
        <v>347</v>
      </c>
      <c r="G880">
        <v>298</v>
      </c>
      <c r="H880">
        <v>200.2</v>
      </c>
      <c r="I880">
        <v>126.87</v>
      </c>
      <c r="J880">
        <v>44</v>
      </c>
      <c r="K880">
        <v>15</v>
      </c>
      <c r="L880" t="s">
        <v>189</v>
      </c>
      <c r="M880">
        <v>315</v>
      </c>
      <c r="N880">
        <v>2</v>
      </c>
      <c r="O880">
        <v>6</v>
      </c>
      <c r="P880" t="s">
        <v>216</v>
      </c>
      <c r="Q880" t="s">
        <v>217</v>
      </c>
      <c r="R880">
        <f t="shared" si="56"/>
        <v>49</v>
      </c>
      <c r="S880">
        <f t="shared" si="53"/>
        <v>5.596774193548387</v>
      </c>
      <c r="T880" t="str">
        <f t="shared" si="54"/>
        <v>Low Risk</v>
      </c>
      <c r="U880" t="str">
        <f t="shared" si="55"/>
        <v>Maintain Stock</v>
      </c>
    </row>
    <row r="881" spans="1:21" x14ac:dyDescent="0.25">
      <c r="A881">
        <v>880</v>
      </c>
      <c r="B881" t="s">
        <v>36</v>
      </c>
      <c r="C881" t="s">
        <v>118</v>
      </c>
      <c r="D881" t="s">
        <v>121</v>
      </c>
      <c r="E881">
        <v>355</v>
      </c>
      <c r="F881">
        <v>377</v>
      </c>
      <c r="G881">
        <v>395</v>
      </c>
      <c r="H881">
        <v>4611.28</v>
      </c>
      <c r="I881">
        <v>3247.91</v>
      </c>
      <c r="J881">
        <v>141</v>
      </c>
      <c r="K881">
        <v>2</v>
      </c>
      <c r="L881" t="s">
        <v>163</v>
      </c>
      <c r="M881">
        <v>165</v>
      </c>
      <c r="N881">
        <v>2</v>
      </c>
      <c r="O881">
        <v>9</v>
      </c>
      <c r="P881" t="s">
        <v>215</v>
      </c>
      <c r="Q881" t="s">
        <v>219</v>
      </c>
      <c r="R881">
        <f t="shared" si="56"/>
        <v>-18</v>
      </c>
      <c r="S881">
        <f t="shared" si="53"/>
        <v>1.0619718309859154</v>
      </c>
      <c r="T881" t="str">
        <f t="shared" si="54"/>
        <v>Low Risk</v>
      </c>
      <c r="U881" t="str">
        <f t="shared" si="55"/>
        <v>Maintain Stock</v>
      </c>
    </row>
    <row r="882" spans="1:21" x14ac:dyDescent="0.25">
      <c r="A882">
        <v>881</v>
      </c>
      <c r="B882" t="s">
        <v>57</v>
      </c>
      <c r="C882" t="s">
        <v>118</v>
      </c>
      <c r="D882" t="s">
        <v>121</v>
      </c>
      <c r="E882">
        <v>272</v>
      </c>
      <c r="F882">
        <v>21</v>
      </c>
      <c r="G882">
        <v>46</v>
      </c>
      <c r="H882">
        <v>4929.1400000000003</v>
      </c>
      <c r="I882">
        <v>3117.44</v>
      </c>
      <c r="J882">
        <v>49</v>
      </c>
      <c r="K882">
        <v>11</v>
      </c>
      <c r="L882" t="s">
        <v>174</v>
      </c>
      <c r="M882">
        <v>148</v>
      </c>
      <c r="N882">
        <v>1</v>
      </c>
      <c r="O882">
        <v>24</v>
      </c>
      <c r="P882" t="s">
        <v>215</v>
      </c>
      <c r="Q882" t="s">
        <v>218</v>
      </c>
      <c r="R882">
        <f t="shared" si="56"/>
        <v>-25</v>
      </c>
      <c r="S882">
        <f t="shared" si="53"/>
        <v>7.720588235294118E-2</v>
      </c>
      <c r="T882" t="str">
        <f t="shared" si="54"/>
        <v>High Risk</v>
      </c>
      <c r="U882" t="str">
        <f t="shared" si="55"/>
        <v>Apply Discount / Promotion</v>
      </c>
    </row>
    <row r="883" spans="1:21" x14ac:dyDescent="0.25">
      <c r="A883">
        <v>882</v>
      </c>
      <c r="B883" t="s">
        <v>79</v>
      </c>
      <c r="C883" t="s">
        <v>116</v>
      </c>
      <c r="D883" t="s">
        <v>123</v>
      </c>
      <c r="E883">
        <v>365</v>
      </c>
      <c r="F883">
        <v>154</v>
      </c>
      <c r="G883">
        <v>176</v>
      </c>
      <c r="H883">
        <v>4874.3900000000003</v>
      </c>
      <c r="I883">
        <v>3438</v>
      </c>
      <c r="J883">
        <v>112</v>
      </c>
      <c r="K883">
        <v>14</v>
      </c>
      <c r="L883" t="s">
        <v>205</v>
      </c>
      <c r="M883">
        <v>193</v>
      </c>
      <c r="N883">
        <v>1</v>
      </c>
      <c r="O883">
        <v>10</v>
      </c>
      <c r="P883" t="s">
        <v>215</v>
      </c>
      <c r="Q883" t="s">
        <v>217</v>
      </c>
      <c r="R883">
        <f t="shared" si="56"/>
        <v>-22</v>
      </c>
      <c r="S883">
        <f t="shared" si="53"/>
        <v>0.42191780821917807</v>
      </c>
      <c r="T883" t="str">
        <f t="shared" si="54"/>
        <v>High Risk</v>
      </c>
      <c r="U883" t="str">
        <f t="shared" si="55"/>
        <v>Apply Discount / Promotion</v>
      </c>
    </row>
    <row r="884" spans="1:21" x14ac:dyDescent="0.25">
      <c r="A884">
        <v>883</v>
      </c>
      <c r="B884" t="s">
        <v>25</v>
      </c>
      <c r="C884" t="s">
        <v>119</v>
      </c>
      <c r="D884" t="s">
        <v>123</v>
      </c>
      <c r="E884">
        <v>190</v>
      </c>
      <c r="F884">
        <v>258</v>
      </c>
      <c r="G884">
        <v>239</v>
      </c>
      <c r="H884">
        <v>2995.32</v>
      </c>
      <c r="I884">
        <v>1506.44</v>
      </c>
      <c r="J884">
        <v>85</v>
      </c>
      <c r="K884">
        <v>7</v>
      </c>
      <c r="L884" t="s">
        <v>171</v>
      </c>
      <c r="M884">
        <v>147</v>
      </c>
      <c r="N884">
        <v>5</v>
      </c>
      <c r="O884">
        <v>37</v>
      </c>
      <c r="P884" t="s">
        <v>215</v>
      </c>
      <c r="Q884" t="s">
        <v>219</v>
      </c>
      <c r="R884">
        <f t="shared" si="56"/>
        <v>19</v>
      </c>
      <c r="S884">
        <f t="shared" si="53"/>
        <v>1.3578947368421053</v>
      </c>
      <c r="T884" t="str">
        <f t="shared" si="54"/>
        <v>Low Risk</v>
      </c>
      <c r="U884" t="str">
        <f t="shared" si="55"/>
        <v>Maintain Stock</v>
      </c>
    </row>
    <row r="885" spans="1:21" x14ac:dyDescent="0.25">
      <c r="A885">
        <v>884</v>
      </c>
      <c r="B885" t="s">
        <v>39</v>
      </c>
      <c r="C885" t="s">
        <v>117</v>
      </c>
      <c r="D885" t="s">
        <v>124</v>
      </c>
      <c r="E885">
        <v>97</v>
      </c>
      <c r="F885">
        <v>73</v>
      </c>
      <c r="G885">
        <v>77</v>
      </c>
      <c r="H885">
        <v>3308.43</v>
      </c>
      <c r="I885">
        <v>2062.44</v>
      </c>
      <c r="J885">
        <v>141</v>
      </c>
      <c r="K885">
        <v>9</v>
      </c>
      <c r="L885" t="s">
        <v>192</v>
      </c>
      <c r="M885">
        <v>332</v>
      </c>
      <c r="N885">
        <v>1</v>
      </c>
      <c r="O885">
        <v>7</v>
      </c>
      <c r="P885" t="s">
        <v>216</v>
      </c>
      <c r="Q885" t="s">
        <v>218</v>
      </c>
      <c r="R885">
        <f t="shared" si="56"/>
        <v>-4</v>
      </c>
      <c r="S885">
        <f t="shared" si="53"/>
        <v>0.75257731958762886</v>
      </c>
      <c r="T885" t="str">
        <f t="shared" si="54"/>
        <v>Medium Risk</v>
      </c>
      <c r="U885" t="str">
        <f t="shared" si="55"/>
        <v>Monitor Sales</v>
      </c>
    </row>
    <row r="886" spans="1:21" x14ac:dyDescent="0.25">
      <c r="A886">
        <v>885</v>
      </c>
      <c r="B886" t="s">
        <v>74</v>
      </c>
      <c r="C886" t="s">
        <v>120</v>
      </c>
      <c r="D886" t="s">
        <v>122</v>
      </c>
      <c r="E886">
        <v>63</v>
      </c>
      <c r="F886">
        <v>350</v>
      </c>
      <c r="G886">
        <v>316</v>
      </c>
      <c r="H886">
        <v>4313.87</v>
      </c>
      <c r="I886">
        <v>2233.25</v>
      </c>
      <c r="J886">
        <v>121</v>
      </c>
      <c r="K886">
        <v>13</v>
      </c>
      <c r="L886" t="s">
        <v>129</v>
      </c>
      <c r="M886">
        <v>258</v>
      </c>
      <c r="N886">
        <v>2</v>
      </c>
      <c r="O886">
        <v>20</v>
      </c>
      <c r="P886" t="s">
        <v>215</v>
      </c>
      <c r="Q886" t="s">
        <v>217</v>
      </c>
      <c r="R886">
        <f t="shared" si="56"/>
        <v>34</v>
      </c>
      <c r="S886">
        <f t="shared" si="53"/>
        <v>5.5555555555555554</v>
      </c>
      <c r="T886" t="str">
        <f t="shared" si="54"/>
        <v>Low Risk</v>
      </c>
      <c r="U886" t="str">
        <f t="shared" si="55"/>
        <v>Maintain Stock</v>
      </c>
    </row>
    <row r="887" spans="1:21" x14ac:dyDescent="0.25">
      <c r="A887">
        <v>886</v>
      </c>
      <c r="B887" t="s">
        <v>43</v>
      </c>
      <c r="C887" t="s">
        <v>120</v>
      </c>
      <c r="D887" t="s">
        <v>121</v>
      </c>
      <c r="E887">
        <v>139</v>
      </c>
      <c r="F887">
        <v>316</v>
      </c>
      <c r="G887">
        <v>339</v>
      </c>
      <c r="H887">
        <v>2512.2600000000002</v>
      </c>
      <c r="I887">
        <v>1567.03</v>
      </c>
      <c r="J887">
        <v>37</v>
      </c>
      <c r="K887">
        <v>4</v>
      </c>
      <c r="L887" t="s">
        <v>140</v>
      </c>
      <c r="M887">
        <v>299</v>
      </c>
      <c r="N887">
        <v>3</v>
      </c>
      <c r="O887">
        <v>44</v>
      </c>
      <c r="P887" t="s">
        <v>215</v>
      </c>
      <c r="Q887" t="s">
        <v>219</v>
      </c>
      <c r="R887">
        <f t="shared" si="56"/>
        <v>-23</v>
      </c>
      <c r="S887">
        <f t="shared" si="53"/>
        <v>2.2733812949640289</v>
      </c>
      <c r="T887" t="str">
        <f t="shared" si="54"/>
        <v>Low Risk</v>
      </c>
      <c r="U887" t="str">
        <f t="shared" si="55"/>
        <v>Maintain Stock</v>
      </c>
    </row>
    <row r="888" spans="1:21" x14ac:dyDescent="0.25">
      <c r="A888">
        <v>887</v>
      </c>
      <c r="B888" t="s">
        <v>115</v>
      </c>
      <c r="C888" t="s">
        <v>118</v>
      </c>
      <c r="D888" t="s">
        <v>122</v>
      </c>
      <c r="E888">
        <v>342</v>
      </c>
      <c r="F888">
        <v>346</v>
      </c>
      <c r="G888">
        <v>366</v>
      </c>
      <c r="H888">
        <v>3529.69</v>
      </c>
      <c r="I888">
        <v>2212.9</v>
      </c>
      <c r="J888">
        <v>150</v>
      </c>
      <c r="K888">
        <v>14</v>
      </c>
      <c r="L888" t="s">
        <v>145</v>
      </c>
      <c r="M888">
        <v>244</v>
      </c>
      <c r="N888">
        <v>1</v>
      </c>
      <c r="O888">
        <v>11</v>
      </c>
      <c r="P888" t="s">
        <v>216</v>
      </c>
      <c r="Q888" t="s">
        <v>218</v>
      </c>
      <c r="R888">
        <f t="shared" si="56"/>
        <v>-20</v>
      </c>
      <c r="S888">
        <f t="shared" si="53"/>
        <v>1.0116959064327486</v>
      </c>
      <c r="T888" t="str">
        <f t="shared" si="54"/>
        <v>Low Risk</v>
      </c>
      <c r="U888" t="str">
        <f t="shared" si="55"/>
        <v>Maintain Stock</v>
      </c>
    </row>
    <row r="889" spans="1:21" x14ac:dyDescent="0.25">
      <c r="A889">
        <v>888</v>
      </c>
      <c r="B889" t="s">
        <v>29</v>
      </c>
      <c r="C889" t="s">
        <v>118</v>
      </c>
      <c r="D889" t="s">
        <v>123</v>
      </c>
      <c r="E889">
        <v>377</v>
      </c>
      <c r="F889">
        <v>254</v>
      </c>
      <c r="G889">
        <v>244</v>
      </c>
      <c r="H889">
        <v>3926.69</v>
      </c>
      <c r="I889">
        <v>2821.57</v>
      </c>
      <c r="J889">
        <v>59</v>
      </c>
      <c r="K889">
        <v>7</v>
      </c>
      <c r="L889" t="s">
        <v>133</v>
      </c>
      <c r="M889">
        <v>115</v>
      </c>
      <c r="N889">
        <v>1</v>
      </c>
      <c r="O889">
        <v>30</v>
      </c>
      <c r="P889" t="s">
        <v>215</v>
      </c>
      <c r="Q889" t="s">
        <v>219</v>
      </c>
      <c r="R889">
        <f t="shared" si="56"/>
        <v>10</v>
      </c>
      <c r="S889">
        <f t="shared" si="53"/>
        <v>0.67374005305039786</v>
      </c>
      <c r="T889" t="str">
        <f t="shared" si="54"/>
        <v>Medium Risk</v>
      </c>
      <c r="U889" t="str">
        <f t="shared" si="55"/>
        <v>Monitor Sales</v>
      </c>
    </row>
    <row r="890" spans="1:21" x14ac:dyDescent="0.25">
      <c r="A890">
        <v>889</v>
      </c>
      <c r="B890" t="s">
        <v>75</v>
      </c>
      <c r="C890" t="s">
        <v>120</v>
      </c>
      <c r="D890" t="s">
        <v>123</v>
      </c>
      <c r="E890">
        <v>375</v>
      </c>
      <c r="F890">
        <v>162</v>
      </c>
      <c r="G890">
        <v>130</v>
      </c>
      <c r="H890">
        <v>126.68</v>
      </c>
      <c r="I890">
        <v>64.59</v>
      </c>
      <c r="J890">
        <v>106</v>
      </c>
      <c r="K890">
        <v>12</v>
      </c>
      <c r="L890" t="s">
        <v>172</v>
      </c>
      <c r="M890">
        <v>62</v>
      </c>
      <c r="N890">
        <v>3</v>
      </c>
      <c r="O890">
        <v>0</v>
      </c>
      <c r="P890" t="s">
        <v>215</v>
      </c>
      <c r="Q890" t="s">
        <v>218</v>
      </c>
      <c r="R890">
        <f t="shared" si="56"/>
        <v>32</v>
      </c>
      <c r="S890">
        <f t="shared" si="53"/>
        <v>0.432</v>
      </c>
      <c r="T890" t="str">
        <f t="shared" si="54"/>
        <v>High Risk</v>
      </c>
      <c r="U890" t="str">
        <f t="shared" si="55"/>
        <v>Apply Discount / Promotion</v>
      </c>
    </row>
    <row r="891" spans="1:21" x14ac:dyDescent="0.25">
      <c r="A891">
        <v>890</v>
      </c>
      <c r="B891" t="s">
        <v>75</v>
      </c>
      <c r="C891" t="s">
        <v>119</v>
      </c>
      <c r="D891" t="s">
        <v>123</v>
      </c>
      <c r="E891">
        <v>365</v>
      </c>
      <c r="F891">
        <v>292</v>
      </c>
      <c r="G891">
        <v>268</v>
      </c>
      <c r="H891">
        <v>3935.22</v>
      </c>
      <c r="I891">
        <v>2898.14</v>
      </c>
      <c r="J891">
        <v>40</v>
      </c>
      <c r="K891">
        <v>5</v>
      </c>
      <c r="L891" t="s">
        <v>210</v>
      </c>
      <c r="M891">
        <v>58</v>
      </c>
      <c r="N891">
        <v>2</v>
      </c>
      <c r="O891">
        <v>31</v>
      </c>
      <c r="P891" t="s">
        <v>215</v>
      </c>
      <c r="Q891" t="s">
        <v>217</v>
      </c>
      <c r="R891">
        <f t="shared" si="56"/>
        <v>24</v>
      </c>
      <c r="S891">
        <f t="shared" si="53"/>
        <v>0.8</v>
      </c>
      <c r="T891" t="str">
        <f t="shared" si="54"/>
        <v>Medium Risk</v>
      </c>
      <c r="U891" t="str">
        <f t="shared" si="55"/>
        <v>Monitor Sales</v>
      </c>
    </row>
    <row r="892" spans="1:21" x14ac:dyDescent="0.25">
      <c r="A892">
        <v>891</v>
      </c>
      <c r="B892" t="s">
        <v>108</v>
      </c>
      <c r="C892" t="s">
        <v>120</v>
      </c>
      <c r="D892" t="s">
        <v>124</v>
      </c>
      <c r="E892">
        <v>489</v>
      </c>
      <c r="F892">
        <v>349</v>
      </c>
      <c r="G892">
        <v>387</v>
      </c>
      <c r="H892">
        <v>1424.55</v>
      </c>
      <c r="I892">
        <v>1099.24</v>
      </c>
      <c r="J892">
        <v>89</v>
      </c>
      <c r="K892">
        <v>12</v>
      </c>
      <c r="L892" t="s">
        <v>168</v>
      </c>
      <c r="M892">
        <v>262</v>
      </c>
      <c r="N892">
        <v>1</v>
      </c>
      <c r="O892">
        <v>42</v>
      </c>
      <c r="P892" t="s">
        <v>215</v>
      </c>
      <c r="Q892" t="s">
        <v>218</v>
      </c>
      <c r="R892">
        <f t="shared" si="56"/>
        <v>-38</v>
      </c>
      <c r="S892">
        <f t="shared" si="53"/>
        <v>0.71370143149284249</v>
      </c>
      <c r="T892" t="str">
        <f t="shared" si="54"/>
        <v>Medium Risk</v>
      </c>
      <c r="U892" t="str">
        <f t="shared" si="55"/>
        <v>Monitor Sales</v>
      </c>
    </row>
    <row r="893" spans="1:21" x14ac:dyDescent="0.25">
      <c r="A893">
        <v>892</v>
      </c>
      <c r="B893" t="s">
        <v>19</v>
      </c>
      <c r="C893" t="s">
        <v>120</v>
      </c>
      <c r="D893" t="s">
        <v>124</v>
      </c>
      <c r="E893">
        <v>301</v>
      </c>
      <c r="F893">
        <v>149</v>
      </c>
      <c r="G893">
        <v>149</v>
      </c>
      <c r="H893">
        <v>4351.2299999999996</v>
      </c>
      <c r="I893">
        <v>2271.84</v>
      </c>
      <c r="J893">
        <v>148</v>
      </c>
      <c r="K893">
        <v>5</v>
      </c>
      <c r="L893" t="s">
        <v>158</v>
      </c>
      <c r="M893">
        <v>131</v>
      </c>
      <c r="N893">
        <v>3</v>
      </c>
      <c r="O893">
        <v>4</v>
      </c>
      <c r="P893" t="s">
        <v>216</v>
      </c>
      <c r="Q893" t="s">
        <v>218</v>
      </c>
      <c r="R893">
        <f t="shared" si="56"/>
        <v>0</v>
      </c>
      <c r="S893">
        <f t="shared" si="53"/>
        <v>0.49501661129568109</v>
      </c>
      <c r="T893" t="str">
        <f t="shared" si="54"/>
        <v>High Risk</v>
      </c>
      <c r="U893" t="str">
        <f t="shared" si="55"/>
        <v>Apply Discount / Promotion</v>
      </c>
    </row>
    <row r="894" spans="1:21" x14ac:dyDescent="0.25">
      <c r="A894">
        <v>893</v>
      </c>
      <c r="B894" t="s">
        <v>52</v>
      </c>
      <c r="C894" t="s">
        <v>116</v>
      </c>
      <c r="D894" t="s">
        <v>122</v>
      </c>
      <c r="E894">
        <v>490</v>
      </c>
      <c r="F894">
        <v>88</v>
      </c>
      <c r="G894">
        <v>119</v>
      </c>
      <c r="H894">
        <v>4255.34</v>
      </c>
      <c r="I894">
        <v>2610.86</v>
      </c>
      <c r="J894">
        <v>44</v>
      </c>
      <c r="K894">
        <v>10</v>
      </c>
      <c r="L894" t="s">
        <v>156</v>
      </c>
      <c r="M894">
        <v>178</v>
      </c>
      <c r="N894">
        <v>4</v>
      </c>
      <c r="O894">
        <v>29</v>
      </c>
      <c r="P894" t="s">
        <v>215</v>
      </c>
      <c r="Q894" t="s">
        <v>217</v>
      </c>
      <c r="R894">
        <f t="shared" si="56"/>
        <v>-31</v>
      </c>
      <c r="S894">
        <f t="shared" si="53"/>
        <v>0.17959183673469387</v>
      </c>
      <c r="T894" t="str">
        <f t="shared" si="54"/>
        <v>High Risk</v>
      </c>
      <c r="U894" t="str">
        <f t="shared" si="55"/>
        <v>Apply Discount / Promotion</v>
      </c>
    </row>
    <row r="895" spans="1:21" x14ac:dyDescent="0.25">
      <c r="A895">
        <v>894</v>
      </c>
      <c r="B895" t="s">
        <v>60</v>
      </c>
      <c r="C895" t="s">
        <v>117</v>
      </c>
      <c r="D895" t="s">
        <v>124</v>
      </c>
      <c r="E895">
        <v>319</v>
      </c>
      <c r="F895">
        <v>174</v>
      </c>
      <c r="G895">
        <v>167</v>
      </c>
      <c r="H895">
        <v>4263.4399999999996</v>
      </c>
      <c r="I895">
        <v>2226.6999999999998</v>
      </c>
      <c r="J895">
        <v>115</v>
      </c>
      <c r="K895">
        <v>6</v>
      </c>
      <c r="L895" t="s">
        <v>170</v>
      </c>
      <c r="M895">
        <v>67</v>
      </c>
      <c r="N895">
        <v>1</v>
      </c>
      <c r="O895">
        <v>10</v>
      </c>
      <c r="P895" t="s">
        <v>216</v>
      </c>
      <c r="Q895" t="s">
        <v>218</v>
      </c>
      <c r="R895">
        <f t="shared" si="56"/>
        <v>7</v>
      </c>
      <c r="S895">
        <f t="shared" si="53"/>
        <v>0.54545454545454541</v>
      </c>
      <c r="T895" t="str">
        <f t="shared" si="54"/>
        <v>Medium Risk</v>
      </c>
      <c r="U895" t="str">
        <f t="shared" si="55"/>
        <v>Monitor Sales</v>
      </c>
    </row>
    <row r="896" spans="1:21" x14ac:dyDescent="0.25">
      <c r="A896">
        <v>895</v>
      </c>
      <c r="B896" t="s">
        <v>61</v>
      </c>
      <c r="C896" t="s">
        <v>118</v>
      </c>
      <c r="D896" t="s">
        <v>124</v>
      </c>
      <c r="E896">
        <v>314</v>
      </c>
      <c r="F896">
        <v>235</v>
      </c>
      <c r="G896">
        <v>277</v>
      </c>
      <c r="H896">
        <v>2886.02</v>
      </c>
      <c r="I896">
        <v>2059.5300000000002</v>
      </c>
      <c r="J896">
        <v>114</v>
      </c>
      <c r="K896">
        <v>13</v>
      </c>
      <c r="L896" t="s">
        <v>128</v>
      </c>
      <c r="M896">
        <v>87</v>
      </c>
      <c r="N896">
        <v>2</v>
      </c>
      <c r="O896">
        <v>35</v>
      </c>
      <c r="P896" t="s">
        <v>216</v>
      </c>
      <c r="Q896" t="s">
        <v>219</v>
      </c>
      <c r="R896">
        <f t="shared" si="56"/>
        <v>-42</v>
      </c>
      <c r="S896">
        <f t="shared" si="53"/>
        <v>0.74840764331210186</v>
      </c>
      <c r="T896" t="str">
        <f t="shared" si="54"/>
        <v>Medium Risk</v>
      </c>
      <c r="U896" t="str">
        <f t="shared" si="55"/>
        <v>Monitor Sales</v>
      </c>
    </row>
    <row r="897" spans="1:21" x14ac:dyDescent="0.25">
      <c r="A897">
        <v>896</v>
      </c>
      <c r="B897" t="s">
        <v>63</v>
      </c>
      <c r="C897" t="s">
        <v>117</v>
      </c>
      <c r="D897" t="s">
        <v>121</v>
      </c>
      <c r="E897">
        <v>412</v>
      </c>
      <c r="F897">
        <v>197</v>
      </c>
      <c r="G897">
        <v>163</v>
      </c>
      <c r="H897">
        <v>2615.7800000000002</v>
      </c>
      <c r="I897">
        <v>1569.33</v>
      </c>
      <c r="J897">
        <v>129</v>
      </c>
      <c r="K897">
        <v>4</v>
      </c>
      <c r="L897" t="s">
        <v>175</v>
      </c>
      <c r="M897">
        <v>68</v>
      </c>
      <c r="N897">
        <v>2</v>
      </c>
      <c r="O897">
        <v>8</v>
      </c>
      <c r="P897" t="s">
        <v>216</v>
      </c>
      <c r="Q897" t="s">
        <v>218</v>
      </c>
      <c r="R897">
        <f t="shared" si="56"/>
        <v>34</v>
      </c>
      <c r="S897">
        <f t="shared" si="53"/>
        <v>0.47815533980582525</v>
      </c>
      <c r="T897" t="str">
        <f t="shared" si="54"/>
        <v>High Risk</v>
      </c>
      <c r="U897" t="str">
        <f t="shared" si="55"/>
        <v>Apply Discount / Promotion</v>
      </c>
    </row>
    <row r="898" spans="1:21" x14ac:dyDescent="0.25">
      <c r="A898">
        <v>897</v>
      </c>
      <c r="B898" t="s">
        <v>74</v>
      </c>
      <c r="C898" t="s">
        <v>117</v>
      </c>
      <c r="D898" t="s">
        <v>124</v>
      </c>
      <c r="E898">
        <v>314</v>
      </c>
      <c r="F898">
        <v>247</v>
      </c>
      <c r="G898">
        <v>218</v>
      </c>
      <c r="H898">
        <v>3716.09</v>
      </c>
      <c r="I898">
        <v>1941.12</v>
      </c>
      <c r="J898">
        <v>119</v>
      </c>
      <c r="K898">
        <v>1</v>
      </c>
      <c r="L898" t="s">
        <v>182</v>
      </c>
      <c r="M898">
        <v>336</v>
      </c>
      <c r="N898">
        <v>1</v>
      </c>
      <c r="O898">
        <v>14</v>
      </c>
      <c r="P898" t="s">
        <v>215</v>
      </c>
      <c r="Q898" t="s">
        <v>218</v>
      </c>
      <c r="R898">
        <f t="shared" si="56"/>
        <v>29</v>
      </c>
      <c r="S898">
        <f t="shared" ref="S898:S961" si="57">F898/E898</f>
        <v>0.7866242038216561</v>
      </c>
      <c r="T898" t="str">
        <f t="shared" si="54"/>
        <v>Medium Risk</v>
      </c>
      <c r="U898" t="str">
        <f t="shared" si="55"/>
        <v>Monitor Sales</v>
      </c>
    </row>
    <row r="899" spans="1:21" x14ac:dyDescent="0.25">
      <c r="A899">
        <v>898</v>
      </c>
      <c r="B899" t="s">
        <v>43</v>
      </c>
      <c r="C899" t="s">
        <v>117</v>
      </c>
      <c r="D899" t="s">
        <v>121</v>
      </c>
      <c r="E899">
        <v>234</v>
      </c>
      <c r="F899">
        <v>421</v>
      </c>
      <c r="G899">
        <v>398</v>
      </c>
      <c r="H899">
        <v>4497.62</v>
      </c>
      <c r="I899">
        <v>3065.13</v>
      </c>
      <c r="J899">
        <v>88</v>
      </c>
      <c r="K899">
        <v>8</v>
      </c>
      <c r="L899" t="s">
        <v>133</v>
      </c>
      <c r="M899">
        <v>357</v>
      </c>
      <c r="N899">
        <v>3</v>
      </c>
      <c r="O899">
        <v>18</v>
      </c>
      <c r="P899" t="s">
        <v>215</v>
      </c>
      <c r="Q899" t="s">
        <v>218</v>
      </c>
      <c r="R899">
        <f t="shared" si="56"/>
        <v>23</v>
      </c>
      <c r="S899">
        <f t="shared" si="57"/>
        <v>1.7991452991452992</v>
      </c>
      <c r="T899" t="str">
        <f t="shared" ref="T899:T962" si="58">IF(S899&lt;0.5,"High Risk",IF(S899&lt;1,"Medium Risk","Low Risk"))</f>
        <v>Low Risk</v>
      </c>
      <c r="U899" t="str">
        <f t="shared" ref="U899:U962" si="59">IF(T899="High Risk","Apply Discount / Promotion",
IF(T899="Medium Risk","Monitor Sales",
"Maintain Stock"))</f>
        <v>Maintain Stock</v>
      </c>
    </row>
    <row r="900" spans="1:21" x14ac:dyDescent="0.25">
      <c r="A900">
        <v>899</v>
      </c>
      <c r="B900" t="s">
        <v>83</v>
      </c>
      <c r="C900" t="s">
        <v>120</v>
      </c>
      <c r="D900" t="s">
        <v>124</v>
      </c>
      <c r="E900">
        <v>161</v>
      </c>
      <c r="F900">
        <v>52</v>
      </c>
      <c r="G900">
        <v>79</v>
      </c>
      <c r="H900">
        <v>3444.41</v>
      </c>
      <c r="I900">
        <v>2390.2199999999998</v>
      </c>
      <c r="J900">
        <v>60</v>
      </c>
      <c r="K900">
        <v>9</v>
      </c>
      <c r="L900" t="s">
        <v>212</v>
      </c>
      <c r="M900">
        <v>200</v>
      </c>
      <c r="N900">
        <v>1</v>
      </c>
      <c r="O900">
        <v>16</v>
      </c>
      <c r="P900" t="s">
        <v>216</v>
      </c>
      <c r="Q900" t="s">
        <v>218</v>
      </c>
      <c r="R900">
        <f t="shared" si="56"/>
        <v>-27</v>
      </c>
      <c r="S900">
        <f t="shared" si="57"/>
        <v>0.32298136645962733</v>
      </c>
      <c r="T900" t="str">
        <f t="shared" si="58"/>
        <v>High Risk</v>
      </c>
      <c r="U900" t="str">
        <f t="shared" si="59"/>
        <v>Apply Discount / Promotion</v>
      </c>
    </row>
    <row r="901" spans="1:21" x14ac:dyDescent="0.25">
      <c r="A901">
        <v>900</v>
      </c>
      <c r="B901" t="s">
        <v>61</v>
      </c>
      <c r="C901" t="s">
        <v>117</v>
      </c>
      <c r="D901" t="s">
        <v>124</v>
      </c>
      <c r="E901">
        <v>310</v>
      </c>
      <c r="F901">
        <v>171</v>
      </c>
      <c r="G901">
        <v>215</v>
      </c>
      <c r="H901">
        <v>1364.22</v>
      </c>
      <c r="I901">
        <v>926.74</v>
      </c>
      <c r="J901">
        <v>51</v>
      </c>
      <c r="K901">
        <v>1</v>
      </c>
      <c r="L901" t="s">
        <v>146</v>
      </c>
      <c r="M901">
        <v>246</v>
      </c>
      <c r="N901">
        <v>1</v>
      </c>
      <c r="O901">
        <v>25</v>
      </c>
      <c r="P901" t="s">
        <v>215</v>
      </c>
      <c r="Q901" t="s">
        <v>217</v>
      </c>
      <c r="R901">
        <f t="shared" si="56"/>
        <v>-44</v>
      </c>
      <c r="S901">
        <f t="shared" si="57"/>
        <v>0.55161290322580647</v>
      </c>
      <c r="T901" t="str">
        <f t="shared" si="58"/>
        <v>Medium Risk</v>
      </c>
      <c r="U901" t="str">
        <f t="shared" si="59"/>
        <v>Monitor Sales</v>
      </c>
    </row>
    <row r="902" spans="1:21" x14ac:dyDescent="0.25">
      <c r="A902">
        <v>901</v>
      </c>
      <c r="B902" t="s">
        <v>83</v>
      </c>
      <c r="C902" t="s">
        <v>119</v>
      </c>
      <c r="D902" t="s">
        <v>123</v>
      </c>
      <c r="E902">
        <v>249</v>
      </c>
      <c r="F902">
        <v>214</v>
      </c>
      <c r="G902">
        <v>203</v>
      </c>
      <c r="H902">
        <v>1160.82</v>
      </c>
      <c r="I902">
        <v>864.38</v>
      </c>
      <c r="J902">
        <v>113</v>
      </c>
      <c r="K902">
        <v>6</v>
      </c>
      <c r="L902" t="s">
        <v>143</v>
      </c>
      <c r="M902">
        <v>347</v>
      </c>
      <c r="N902">
        <v>3</v>
      </c>
      <c r="O902">
        <v>1</v>
      </c>
      <c r="P902" t="s">
        <v>216</v>
      </c>
      <c r="Q902" t="s">
        <v>217</v>
      </c>
      <c r="R902">
        <f t="shared" si="56"/>
        <v>11</v>
      </c>
      <c r="S902">
        <f t="shared" si="57"/>
        <v>0.85943775100401609</v>
      </c>
      <c r="T902" t="str">
        <f t="shared" si="58"/>
        <v>Medium Risk</v>
      </c>
      <c r="U902" t="str">
        <f t="shared" si="59"/>
        <v>Monitor Sales</v>
      </c>
    </row>
    <row r="903" spans="1:21" x14ac:dyDescent="0.25">
      <c r="A903">
        <v>902</v>
      </c>
      <c r="B903" t="s">
        <v>96</v>
      </c>
      <c r="C903" t="s">
        <v>118</v>
      </c>
      <c r="D903" t="s">
        <v>123</v>
      </c>
      <c r="E903">
        <v>162</v>
      </c>
      <c r="F903">
        <v>152</v>
      </c>
      <c r="G903">
        <v>142</v>
      </c>
      <c r="H903">
        <v>4519.3999999999996</v>
      </c>
      <c r="I903">
        <v>3081.81</v>
      </c>
      <c r="J903">
        <v>66</v>
      </c>
      <c r="K903">
        <v>9</v>
      </c>
      <c r="L903" t="s">
        <v>187</v>
      </c>
      <c r="M903">
        <v>239</v>
      </c>
      <c r="N903">
        <v>5</v>
      </c>
      <c r="O903">
        <v>12</v>
      </c>
      <c r="P903" t="s">
        <v>216</v>
      </c>
      <c r="Q903" t="s">
        <v>217</v>
      </c>
      <c r="R903">
        <f t="shared" si="56"/>
        <v>10</v>
      </c>
      <c r="S903">
        <f t="shared" si="57"/>
        <v>0.93827160493827155</v>
      </c>
      <c r="T903" t="str">
        <f t="shared" si="58"/>
        <v>Medium Risk</v>
      </c>
      <c r="U903" t="str">
        <f t="shared" si="59"/>
        <v>Monitor Sales</v>
      </c>
    </row>
    <row r="904" spans="1:21" x14ac:dyDescent="0.25">
      <c r="A904">
        <v>903</v>
      </c>
      <c r="B904" t="s">
        <v>47</v>
      </c>
      <c r="C904" t="s">
        <v>119</v>
      </c>
      <c r="D904" t="s">
        <v>124</v>
      </c>
      <c r="E904">
        <v>235</v>
      </c>
      <c r="F904">
        <v>377</v>
      </c>
      <c r="G904">
        <v>385</v>
      </c>
      <c r="H904">
        <v>51.12</v>
      </c>
      <c r="I904">
        <v>28.87</v>
      </c>
      <c r="J904">
        <v>119</v>
      </c>
      <c r="K904">
        <v>12</v>
      </c>
      <c r="L904" t="s">
        <v>189</v>
      </c>
      <c r="M904">
        <v>161</v>
      </c>
      <c r="N904">
        <v>5</v>
      </c>
      <c r="O904">
        <v>14</v>
      </c>
      <c r="P904" t="s">
        <v>215</v>
      </c>
      <c r="Q904" t="s">
        <v>217</v>
      </c>
      <c r="R904">
        <f t="shared" si="56"/>
        <v>-8</v>
      </c>
      <c r="S904">
        <f t="shared" si="57"/>
        <v>1.6042553191489362</v>
      </c>
      <c r="T904" t="str">
        <f t="shared" si="58"/>
        <v>Low Risk</v>
      </c>
      <c r="U904" t="str">
        <f t="shared" si="59"/>
        <v>Maintain Stock</v>
      </c>
    </row>
    <row r="905" spans="1:21" x14ac:dyDescent="0.25">
      <c r="A905">
        <v>904</v>
      </c>
      <c r="B905" t="s">
        <v>84</v>
      </c>
      <c r="C905" t="s">
        <v>120</v>
      </c>
      <c r="D905" t="s">
        <v>123</v>
      </c>
      <c r="E905">
        <v>211</v>
      </c>
      <c r="F905">
        <v>38</v>
      </c>
      <c r="G905">
        <v>81</v>
      </c>
      <c r="H905">
        <v>912.4</v>
      </c>
      <c r="I905">
        <v>579.46</v>
      </c>
      <c r="J905">
        <v>104</v>
      </c>
      <c r="K905">
        <v>4</v>
      </c>
      <c r="L905" t="s">
        <v>163</v>
      </c>
      <c r="M905">
        <v>32</v>
      </c>
      <c r="N905">
        <v>3</v>
      </c>
      <c r="O905">
        <v>32</v>
      </c>
      <c r="P905" t="s">
        <v>216</v>
      </c>
      <c r="Q905" t="s">
        <v>217</v>
      </c>
      <c r="R905">
        <f t="shared" si="56"/>
        <v>-43</v>
      </c>
      <c r="S905">
        <f t="shared" si="57"/>
        <v>0.18009478672985782</v>
      </c>
      <c r="T905" t="str">
        <f t="shared" si="58"/>
        <v>High Risk</v>
      </c>
      <c r="U905" t="str">
        <f t="shared" si="59"/>
        <v>Apply Discount / Promotion</v>
      </c>
    </row>
    <row r="906" spans="1:21" x14ac:dyDescent="0.25">
      <c r="A906">
        <v>905</v>
      </c>
      <c r="B906" t="s">
        <v>41</v>
      </c>
      <c r="C906" t="s">
        <v>119</v>
      </c>
      <c r="D906" t="s">
        <v>123</v>
      </c>
      <c r="E906">
        <v>207</v>
      </c>
      <c r="F906">
        <v>10</v>
      </c>
      <c r="G906">
        <v>14</v>
      </c>
      <c r="H906">
        <v>4417.76</v>
      </c>
      <c r="I906">
        <v>3080.53</v>
      </c>
      <c r="J906">
        <v>90</v>
      </c>
      <c r="K906">
        <v>14</v>
      </c>
      <c r="L906" t="s">
        <v>203</v>
      </c>
      <c r="M906">
        <v>251</v>
      </c>
      <c r="N906">
        <v>2</v>
      </c>
      <c r="O906">
        <v>3</v>
      </c>
      <c r="P906" t="s">
        <v>216</v>
      </c>
      <c r="Q906" t="s">
        <v>218</v>
      </c>
      <c r="R906">
        <f t="shared" si="56"/>
        <v>-4</v>
      </c>
      <c r="S906">
        <f t="shared" si="57"/>
        <v>4.8309178743961352E-2</v>
      </c>
      <c r="T906" t="str">
        <f t="shared" si="58"/>
        <v>High Risk</v>
      </c>
      <c r="U906" t="str">
        <f t="shared" si="59"/>
        <v>Apply Discount / Promotion</v>
      </c>
    </row>
    <row r="907" spans="1:21" x14ac:dyDescent="0.25">
      <c r="A907">
        <v>906</v>
      </c>
      <c r="B907" t="s">
        <v>97</v>
      </c>
      <c r="C907" t="s">
        <v>117</v>
      </c>
      <c r="D907" t="s">
        <v>123</v>
      </c>
      <c r="E907">
        <v>216</v>
      </c>
      <c r="F907">
        <v>88</v>
      </c>
      <c r="G907">
        <v>41</v>
      </c>
      <c r="H907">
        <v>1894.81</v>
      </c>
      <c r="I907">
        <v>1076.27</v>
      </c>
      <c r="J907">
        <v>106</v>
      </c>
      <c r="K907">
        <v>4</v>
      </c>
      <c r="L907" t="s">
        <v>165</v>
      </c>
      <c r="M907">
        <v>173</v>
      </c>
      <c r="N907">
        <v>1</v>
      </c>
      <c r="O907">
        <v>30</v>
      </c>
      <c r="P907" t="s">
        <v>216</v>
      </c>
      <c r="Q907" t="s">
        <v>217</v>
      </c>
      <c r="R907">
        <f t="shared" ref="R907:R970" si="60">F907-G907</f>
        <v>47</v>
      </c>
      <c r="S907">
        <f t="shared" si="57"/>
        <v>0.40740740740740738</v>
      </c>
      <c r="T907" t="str">
        <f t="shared" si="58"/>
        <v>High Risk</v>
      </c>
      <c r="U907" t="str">
        <f t="shared" si="59"/>
        <v>Apply Discount / Promotion</v>
      </c>
    </row>
    <row r="908" spans="1:21" x14ac:dyDescent="0.25">
      <c r="A908">
        <v>907</v>
      </c>
      <c r="B908" t="s">
        <v>48</v>
      </c>
      <c r="C908" t="s">
        <v>116</v>
      </c>
      <c r="D908" t="s">
        <v>122</v>
      </c>
      <c r="E908">
        <v>418</v>
      </c>
      <c r="F908">
        <v>112</v>
      </c>
      <c r="G908">
        <v>104</v>
      </c>
      <c r="H908">
        <v>1064.52</v>
      </c>
      <c r="I908">
        <v>728.99</v>
      </c>
      <c r="J908">
        <v>124</v>
      </c>
      <c r="K908">
        <v>3</v>
      </c>
      <c r="L908" t="s">
        <v>158</v>
      </c>
      <c r="M908">
        <v>142</v>
      </c>
      <c r="N908">
        <v>2</v>
      </c>
      <c r="O908">
        <v>3</v>
      </c>
      <c r="P908" t="s">
        <v>216</v>
      </c>
      <c r="Q908" t="s">
        <v>219</v>
      </c>
      <c r="R908">
        <f t="shared" si="60"/>
        <v>8</v>
      </c>
      <c r="S908">
        <f t="shared" si="57"/>
        <v>0.26794258373205743</v>
      </c>
      <c r="T908" t="str">
        <f t="shared" si="58"/>
        <v>High Risk</v>
      </c>
      <c r="U908" t="str">
        <f t="shared" si="59"/>
        <v>Apply Discount / Promotion</v>
      </c>
    </row>
    <row r="909" spans="1:21" x14ac:dyDescent="0.25">
      <c r="A909">
        <v>908</v>
      </c>
      <c r="B909" t="s">
        <v>60</v>
      </c>
      <c r="C909" t="s">
        <v>116</v>
      </c>
      <c r="D909" t="s">
        <v>123</v>
      </c>
      <c r="E909">
        <v>421</v>
      </c>
      <c r="F909">
        <v>83</v>
      </c>
      <c r="G909">
        <v>66</v>
      </c>
      <c r="H909">
        <v>3397.63</v>
      </c>
      <c r="I909">
        <v>1746.66</v>
      </c>
      <c r="J909">
        <v>80</v>
      </c>
      <c r="K909">
        <v>5</v>
      </c>
      <c r="L909" t="s">
        <v>210</v>
      </c>
      <c r="M909">
        <v>55</v>
      </c>
      <c r="N909">
        <v>5</v>
      </c>
      <c r="O909">
        <v>34</v>
      </c>
      <c r="P909" t="s">
        <v>215</v>
      </c>
      <c r="Q909" t="s">
        <v>218</v>
      </c>
      <c r="R909">
        <f t="shared" si="60"/>
        <v>17</v>
      </c>
      <c r="S909">
        <f t="shared" si="57"/>
        <v>0.19714964370546317</v>
      </c>
      <c r="T909" t="str">
        <f t="shared" si="58"/>
        <v>High Risk</v>
      </c>
      <c r="U909" t="str">
        <f t="shared" si="59"/>
        <v>Apply Discount / Promotion</v>
      </c>
    </row>
    <row r="910" spans="1:21" x14ac:dyDescent="0.25">
      <c r="A910">
        <v>909</v>
      </c>
      <c r="B910" t="s">
        <v>71</v>
      </c>
      <c r="C910" t="s">
        <v>118</v>
      </c>
      <c r="D910" t="s">
        <v>123</v>
      </c>
      <c r="E910">
        <v>341</v>
      </c>
      <c r="F910">
        <v>366</v>
      </c>
      <c r="G910">
        <v>392</v>
      </c>
      <c r="H910">
        <v>1383.53</v>
      </c>
      <c r="I910">
        <v>952.66</v>
      </c>
      <c r="J910">
        <v>105</v>
      </c>
      <c r="K910">
        <v>2</v>
      </c>
      <c r="L910" t="s">
        <v>145</v>
      </c>
      <c r="M910">
        <v>348</v>
      </c>
      <c r="N910">
        <v>5</v>
      </c>
      <c r="O910">
        <v>32</v>
      </c>
      <c r="P910" t="s">
        <v>215</v>
      </c>
      <c r="Q910" t="s">
        <v>218</v>
      </c>
      <c r="R910">
        <f t="shared" si="60"/>
        <v>-26</v>
      </c>
      <c r="S910">
        <f t="shared" si="57"/>
        <v>1.0733137829912023</v>
      </c>
      <c r="T910" t="str">
        <f t="shared" si="58"/>
        <v>Low Risk</v>
      </c>
      <c r="U910" t="str">
        <f t="shared" si="59"/>
        <v>Maintain Stock</v>
      </c>
    </row>
    <row r="911" spans="1:21" x14ac:dyDescent="0.25">
      <c r="A911">
        <v>910</v>
      </c>
      <c r="B911" t="s">
        <v>101</v>
      </c>
      <c r="C911" t="s">
        <v>120</v>
      </c>
      <c r="D911" t="s">
        <v>123</v>
      </c>
      <c r="E911">
        <v>91</v>
      </c>
      <c r="F911">
        <v>83</v>
      </c>
      <c r="G911">
        <v>60</v>
      </c>
      <c r="H911">
        <v>2346.14</v>
      </c>
      <c r="I911">
        <v>1245.96</v>
      </c>
      <c r="J911">
        <v>113</v>
      </c>
      <c r="K911">
        <v>13</v>
      </c>
      <c r="L911" t="s">
        <v>148</v>
      </c>
      <c r="M911">
        <v>203</v>
      </c>
      <c r="N911">
        <v>5</v>
      </c>
      <c r="O911">
        <v>24</v>
      </c>
      <c r="P911" t="s">
        <v>215</v>
      </c>
      <c r="Q911" t="s">
        <v>219</v>
      </c>
      <c r="R911">
        <f t="shared" si="60"/>
        <v>23</v>
      </c>
      <c r="S911">
        <f t="shared" si="57"/>
        <v>0.91208791208791207</v>
      </c>
      <c r="T911" t="str">
        <f t="shared" si="58"/>
        <v>Medium Risk</v>
      </c>
      <c r="U911" t="str">
        <f t="shared" si="59"/>
        <v>Monitor Sales</v>
      </c>
    </row>
    <row r="912" spans="1:21" x14ac:dyDescent="0.25">
      <c r="A912">
        <v>911</v>
      </c>
      <c r="B912" t="s">
        <v>25</v>
      </c>
      <c r="C912" t="s">
        <v>119</v>
      </c>
      <c r="D912" t="s">
        <v>121</v>
      </c>
      <c r="E912">
        <v>454</v>
      </c>
      <c r="F912">
        <v>372</v>
      </c>
      <c r="G912">
        <v>363</v>
      </c>
      <c r="H912">
        <v>1461.79</v>
      </c>
      <c r="I912">
        <v>1105.96</v>
      </c>
      <c r="J912">
        <v>35</v>
      </c>
      <c r="K912">
        <v>4</v>
      </c>
      <c r="L912" t="s">
        <v>194</v>
      </c>
      <c r="M912">
        <v>169</v>
      </c>
      <c r="N912">
        <v>1</v>
      </c>
      <c r="O912">
        <v>35</v>
      </c>
      <c r="P912" t="s">
        <v>215</v>
      </c>
      <c r="Q912" t="s">
        <v>217</v>
      </c>
      <c r="R912">
        <f t="shared" si="60"/>
        <v>9</v>
      </c>
      <c r="S912">
        <f t="shared" si="57"/>
        <v>0.81938325991189431</v>
      </c>
      <c r="T912" t="str">
        <f t="shared" si="58"/>
        <v>Medium Risk</v>
      </c>
      <c r="U912" t="str">
        <f t="shared" si="59"/>
        <v>Monitor Sales</v>
      </c>
    </row>
    <row r="913" spans="1:21" x14ac:dyDescent="0.25">
      <c r="A913">
        <v>912</v>
      </c>
      <c r="B913" t="s">
        <v>82</v>
      </c>
      <c r="C913" t="s">
        <v>116</v>
      </c>
      <c r="D913" t="s">
        <v>124</v>
      </c>
      <c r="E913">
        <v>478</v>
      </c>
      <c r="F913">
        <v>280</v>
      </c>
      <c r="G913">
        <v>280</v>
      </c>
      <c r="H913">
        <v>311.17</v>
      </c>
      <c r="I913">
        <v>207.63</v>
      </c>
      <c r="J913">
        <v>124</v>
      </c>
      <c r="K913">
        <v>6</v>
      </c>
      <c r="L913" t="s">
        <v>166</v>
      </c>
      <c r="M913">
        <v>202</v>
      </c>
      <c r="N913">
        <v>2</v>
      </c>
      <c r="O913">
        <v>1</v>
      </c>
      <c r="P913" t="s">
        <v>216</v>
      </c>
      <c r="Q913" t="s">
        <v>218</v>
      </c>
      <c r="R913">
        <f t="shared" si="60"/>
        <v>0</v>
      </c>
      <c r="S913">
        <f t="shared" si="57"/>
        <v>0.58577405857740583</v>
      </c>
      <c r="T913" t="str">
        <f t="shared" si="58"/>
        <v>Medium Risk</v>
      </c>
      <c r="U913" t="str">
        <f t="shared" si="59"/>
        <v>Monitor Sales</v>
      </c>
    </row>
    <row r="914" spans="1:21" x14ac:dyDescent="0.25">
      <c r="A914">
        <v>913</v>
      </c>
      <c r="B914" t="s">
        <v>115</v>
      </c>
      <c r="C914" t="s">
        <v>120</v>
      </c>
      <c r="D914" t="s">
        <v>121</v>
      </c>
      <c r="E914">
        <v>225</v>
      </c>
      <c r="F914">
        <v>261</v>
      </c>
      <c r="G914">
        <v>253</v>
      </c>
      <c r="H914">
        <v>2253.65</v>
      </c>
      <c r="I914">
        <v>1621.91</v>
      </c>
      <c r="J914">
        <v>55</v>
      </c>
      <c r="K914">
        <v>14</v>
      </c>
      <c r="L914" t="s">
        <v>185</v>
      </c>
      <c r="M914">
        <v>180</v>
      </c>
      <c r="N914">
        <v>1</v>
      </c>
      <c r="O914">
        <v>31</v>
      </c>
      <c r="P914" t="s">
        <v>216</v>
      </c>
      <c r="Q914" t="s">
        <v>217</v>
      </c>
      <c r="R914">
        <f t="shared" si="60"/>
        <v>8</v>
      </c>
      <c r="S914">
        <f t="shared" si="57"/>
        <v>1.1599999999999999</v>
      </c>
      <c r="T914" t="str">
        <f t="shared" si="58"/>
        <v>Low Risk</v>
      </c>
      <c r="U914" t="str">
        <f t="shared" si="59"/>
        <v>Maintain Stock</v>
      </c>
    </row>
    <row r="915" spans="1:21" x14ac:dyDescent="0.25">
      <c r="A915">
        <v>914</v>
      </c>
      <c r="B915" t="s">
        <v>65</v>
      </c>
      <c r="C915" t="s">
        <v>116</v>
      </c>
      <c r="D915" t="s">
        <v>123</v>
      </c>
      <c r="E915">
        <v>222</v>
      </c>
      <c r="F915">
        <v>44</v>
      </c>
      <c r="G915">
        <v>90</v>
      </c>
      <c r="H915">
        <v>2034.46</v>
      </c>
      <c r="I915">
        <v>1551.32</v>
      </c>
      <c r="J915">
        <v>132</v>
      </c>
      <c r="K915">
        <v>13</v>
      </c>
      <c r="L915" t="s">
        <v>179</v>
      </c>
      <c r="M915">
        <v>145</v>
      </c>
      <c r="N915">
        <v>5</v>
      </c>
      <c r="O915">
        <v>38</v>
      </c>
      <c r="P915" t="s">
        <v>215</v>
      </c>
      <c r="Q915" t="s">
        <v>219</v>
      </c>
      <c r="R915">
        <f t="shared" si="60"/>
        <v>-46</v>
      </c>
      <c r="S915">
        <f t="shared" si="57"/>
        <v>0.1981981981981982</v>
      </c>
      <c r="T915" t="str">
        <f t="shared" si="58"/>
        <v>High Risk</v>
      </c>
      <c r="U915" t="str">
        <f t="shared" si="59"/>
        <v>Apply Discount / Promotion</v>
      </c>
    </row>
    <row r="916" spans="1:21" x14ac:dyDescent="0.25">
      <c r="A916">
        <v>915</v>
      </c>
      <c r="B916" t="s">
        <v>71</v>
      </c>
      <c r="C916" t="s">
        <v>118</v>
      </c>
      <c r="D916" t="s">
        <v>121</v>
      </c>
      <c r="E916">
        <v>205</v>
      </c>
      <c r="F916">
        <v>134</v>
      </c>
      <c r="G916">
        <v>180</v>
      </c>
      <c r="H916">
        <v>4007.76</v>
      </c>
      <c r="I916">
        <v>2198.44</v>
      </c>
      <c r="J916">
        <v>88</v>
      </c>
      <c r="K916">
        <v>15</v>
      </c>
      <c r="L916" t="s">
        <v>133</v>
      </c>
      <c r="M916">
        <v>93</v>
      </c>
      <c r="N916">
        <v>1</v>
      </c>
      <c r="O916">
        <v>37</v>
      </c>
      <c r="P916" t="s">
        <v>215</v>
      </c>
      <c r="Q916" t="s">
        <v>217</v>
      </c>
      <c r="R916">
        <f t="shared" si="60"/>
        <v>-46</v>
      </c>
      <c r="S916">
        <f t="shared" si="57"/>
        <v>0.65365853658536588</v>
      </c>
      <c r="T916" t="str">
        <f t="shared" si="58"/>
        <v>Medium Risk</v>
      </c>
      <c r="U916" t="str">
        <f t="shared" si="59"/>
        <v>Monitor Sales</v>
      </c>
    </row>
    <row r="917" spans="1:21" x14ac:dyDescent="0.25">
      <c r="A917">
        <v>916</v>
      </c>
      <c r="B917" t="s">
        <v>86</v>
      </c>
      <c r="C917" t="s">
        <v>119</v>
      </c>
      <c r="D917" t="s">
        <v>122</v>
      </c>
      <c r="E917">
        <v>437</v>
      </c>
      <c r="F917">
        <v>78</v>
      </c>
      <c r="G917">
        <v>84</v>
      </c>
      <c r="H917">
        <v>576.25</v>
      </c>
      <c r="I917">
        <v>347.52</v>
      </c>
      <c r="J917">
        <v>36</v>
      </c>
      <c r="K917">
        <v>8</v>
      </c>
      <c r="L917" t="s">
        <v>125</v>
      </c>
      <c r="M917">
        <v>157</v>
      </c>
      <c r="N917">
        <v>4</v>
      </c>
      <c r="O917">
        <v>36</v>
      </c>
      <c r="P917" t="s">
        <v>215</v>
      </c>
      <c r="Q917" t="s">
        <v>218</v>
      </c>
      <c r="R917">
        <f t="shared" si="60"/>
        <v>-6</v>
      </c>
      <c r="S917">
        <f t="shared" si="57"/>
        <v>0.17848970251716248</v>
      </c>
      <c r="T917" t="str">
        <f t="shared" si="58"/>
        <v>High Risk</v>
      </c>
      <c r="U917" t="str">
        <f t="shared" si="59"/>
        <v>Apply Discount / Promotion</v>
      </c>
    </row>
    <row r="918" spans="1:21" x14ac:dyDescent="0.25">
      <c r="A918">
        <v>917</v>
      </c>
      <c r="B918" t="s">
        <v>30</v>
      </c>
      <c r="C918" t="s">
        <v>117</v>
      </c>
      <c r="D918" t="s">
        <v>121</v>
      </c>
      <c r="E918">
        <v>245</v>
      </c>
      <c r="F918">
        <v>215</v>
      </c>
      <c r="G918">
        <v>167</v>
      </c>
      <c r="H918">
        <v>3402.26</v>
      </c>
      <c r="I918">
        <v>2514.6</v>
      </c>
      <c r="J918">
        <v>99</v>
      </c>
      <c r="K918">
        <v>8</v>
      </c>
      <c r="L918" t="s">
        <v>203</v>
      </c>
      <c r="M918">
        <v>352</v>
      </c>
      <c r="N918">
        <v>1</v>
      </c>
      <c r="O918">
        <v>31</v>
      </c>
      <c r="P918" t="s">
        <v>216</v>
      </c>
      <c r="Q918" t="s">
        <v>217</v>
      </c>
      <c r="R918">
        <f t="shared" si="60"/>
        <v>48</v>
      </c>
      <c r="S918">
        <f t="shared" si="57"/>
        <v>0.87755102040816324</v>
      </c>
      <c r="T918" t="str">
        <f t="shared" si="58"/>
        <v>Medium Risk</v>
      </c>
      <c r="U918" t="str">
        <f t="shared" si="59"/>
        <v>Monitor Sales</v>
      </c>
    </row>
    <row r="919" spans="1:21" x14ac:dyDescent="0.25">
      <c r="A919">
        <v>918</v>
      </c>
      <c r="B919" t="s">
        <v>79</v>
      </c>
      <c r="C919" t="s">
        <v>117</v>
      </c>
      <c r="D919" t="s">
        <v>124</v>
      </c>
      <c r="E919">
        <v>360</v>
      </c>
      <c r="F919">
        <v>178</v>
      </c>
      <c r="G919">
        <v>141</v>
      </c>
      <c r="H919">
        <v>4429.96</v>
      </c>
      <c r="I919">
        <v>3376.53</v>
      </c>
      <c r="J919">
        <v>50</v>
      </c>
      <c r="K919">
        <v>15</v>
      </c>
      <c r="L919" t="s">
        <v>161</v>
      </c>
      <c r="M919">
        <v>245</v>
      </c>
      <c r="N919">
        <v>1</v>
      </c>
      <c r="O919">
        <v>23</v>
      </c>
      <c r="P919" t="s">
        <v>216</v>
      </c>
      <c r="Q919" t="s">
        <v>218</v>
      </c>
      <c r="R919">
        <f t="shared" si="60"/>
        <v>37</v>
      </c>
      <c r="S919">
        <f t="shared" si="57"/>
        <v>0.49444444444444446</v>
      </c>
      <c r="T919" t="str">
        <f t="shared" si="58"/>
        <v>High Risk</v>
      </c>
      <c r="U919" t="str">
        <f t="shared" si="59"/>
        <v>Apply Discount / Promotion</v>
      </c>
    </row>
    <row r="920" spans="1:21" x14ac:dyDescent="0.25">
      <c r="A920">
        <v>919</v>
      </c>
      <c r="B920" t="s">
        <v>107</v>
      </c>
      <c r="C920" t="s">
        <v>119</v>
      </c>
      <c r="D920" t="s">
        <v>123</v>
      </c>
      <c r="E920">
        <v>395</v>
      </c>
      <c r="F920">
        <v>311</v>
      </c>
      <c r="G920">
        <v>294</v>
      </c>
      <c r="H920">
        <v>562.86</v>
      </c>
      <c r="I920">
        <v>301.52999999999997</v>
      </c>
      <c r="J920">
        <v>61</v>
      </c>
      <c r="K920">
        <v>7</v>
      </c>
      <c r="L920" t="s">
        <v>155</v>
      </c>
      <c r="M920">
        <v>156</v>
      </c>
      <c r="N920">
        <v>3</v>
      </c>
      <c r="O920">
        <v>43</v>
      </c>
      <c r="P920" t="s">
        <v>216</v>
      </c>
      <c r="Q920" t="s">
        <v>218</v>
      </c>
      <c r="R920">
        <f t="shared" si="60"/>
        <v>17</v>
      </c>
      <c r="S920">
        <f t="shared" si="57"/>
        <v>0.78734177215189871</v>
      </c>
      <c r="T920" t="str">
        <f t="shared" si="58"/>
        <v>Medium Risk</v>
      </c>
      <c r="U920" t="str">
        <f t="shared" si="59"/>
        <v>Monitor Sales</v>
      </c>
    </row>
    <row r="921" spans="1:21" x14ac:dyDescent="0.25">
      <c r="A921">
        <v>920</v>
      </c>
      <c r="B921" t="s">
        <v>68</v>
      </c>
      <c r="C921" t="s">
        <v>118</v>
      </c>
      <c r="D921" t="s">
        <v>121</v>
      </c>
      <c r="E921">
        <v>89</v>
      </c>
      <c r="F921">
        <v>84</v>
      </c>
      <c r="G921">
        <v>115</v>
      </c>
      <c r="H921">
        <v>1514.08</v>
      </c>
      <c r="I921">
        <v>992.41</v>
      </c>
      <c r="J921">
        <v>128</v>
      </c>
      <c r="K921">
        <v>10</v>
      </c>
      <c r="L921" t="s">
        <v>144</v>
      </c>
      <c r="M921">
        <v>70</v>
      </c>
      <c r="N921">
        <v>2</v>
      </c>
      <c r="O921">
        <v>39</v>
      </c>
      <c r="P921" t="s">
        <v>215</v>
      </c>
      <c r="Q921" t="s">
        <v>219</v>
      </c>
      <c r="R921">
        <f t="shared" si="60"/>
        <v>-31</v>
      </c>
      <c r="S921">
        <f t="shared" si="57"/>
        <v>0.9438202247191011</v>
      </c>
      <c r="T921" t="str">
        <f t="shared" si="58"/>
        <v>Medium Risk</v>
      </c>
      <c r="U921" t="str">
        <f t="shared" si="59"/>
        <v>Monitor Sales</v>
      </c>
    </row>
    <row r="922" spans="1:21" x14ac:dyDescent="0.25">
      <c r="A922">
        <v>921</v>
      </c>
      <c r="B922" t="s">
        <v>56</v>
      </c>
      <c r="C922" t="s">
        <v>118</v>
      </c>
      <c r="D922" t="s">
        <v>122</v>
      </c>
      <c r="E922">
        <v>238</v>
      </c>
      <c r="F922">
        <v>105</v>
      </c>
      <c r="G922">
        <v>86</v>
      </c>
      <c r="H922">
        <v>4343.2700000000004</v>
      </c>
      <c r="I922">
        <v>2785.48</v>
      </c>
      <c r="J922">
        <v>137</v>
      </c>
      <c r="K922">
        <v>5</v>
      </c>
      <c r="L922" t="s">
        <v>146</v>
      </c>
      <c r="M922">
        <v>63</v>
      </c>
      <c r="N922">
        <v>5</v>
      </c>
      <c r="O922">
        <v>26</v>
      </c>
      <c r="P922" t="s">
        <v>215</v>
      </c>
      <c r="Q922" t="s">
        <v>218</v>
      </c>
      <c r="R922">
        <f t="shared" si="60"/>
        <v>19</v>
      </c>
      <c r="S922">
        <f t="shared" si="57"/>
        <v>0.44117647058823528</v>
      </c>
      <c r="T922" t="str">
        <f t="shared" si="58"/>
        <v>High Risk</v>
      </c>
      <c r="U922" t="str">
        <f t="shared" si="59"/>
        <v>Apply Discount / Promotion</v>
      </c>
    </row>
    <row r="923" spans="1:21" x14ac:dyDescent="0.25">
      <c r="A923">
        <v>922</v>
      </c>
      <c r="B923" t="s">
        <v>104</v>
      </c>
      <c r="C923" t="s">
        <v>117</v>
      </c>
      <c r="D923" t="s">
        <v>121</v>
      </c>
      <c r="E923">
        <v>407</v>
      </c>
      <c r="F923">
        <v>152</v>
      </c>
      <c r="G923">
        <v>163</v>
      </c>
      <c r="H923">
        <v>564.80999999999995</v>
      </c>
      <c r="I923">
        <v>336.86</v>
      </c>
      <c r="J923">
        <v>145</v>
      </c>
      <c r="K923">
        <v>14</v>
      </c>
      <c r="L923" t="s">
        <v>194</v>
      </c>
      <c r="M923">
        <v>303</v>
      </c>
      <c r="N923">
        <v>3</v>
      </c>
      <c r="O923">
        <v>47</v>
      </c>
      <c r="P923" t="s">
        <v>216</v>
      </c>
      <c r="Q923" t="s">
        <v>218</v>
      </c>
      <c r="R923">
        <f t="shared" si="60"/>
        <v>-11</v>
      </c>
      <c r="S923">
        <f t="shared" si="57"/>
        <v>0.37346437346437344</v>
      </c>
      <c r="T923" t="str">
        <f t="shared" si="58"/>
        <v>High Risk</v>
      </c>
      <c r="U923" t="str">
        <f t="shared" si="59"/>
        <v>Apply Discount / Promotion</v>
      </c>
    </row>
    <row r="924" spans="1:21" x14ac:dyDescent="0.25">
      <c r="A924">
        <v>923</v>
      </c>
      <c r="B924" t="s">
        <v>97</v>
      </c>
      <c r="C924" t="s">
        <v>118</v>
      </c>
      <c r="D924" t="s">
        <v>124</v>
      </c>
      <c r="E924">
        <v>157</v>
      </c>
      <c r="F924">
        <v>143</v>
      </c>
      <c r="G924">
        <v>113</v>
      </c>
      <c r="H924">
        <v>1615.66</v>
      </c>
      <c r="I924">
        <v>933.23</v>
      </c>
      <c r="J924">
        <v>125</v>
      </c>
      <c r="K924">
        <v>14</v>
      </c>
      <c r="L924" t="s">
        <v>195</v>
      </c>
      <c r="M924">
        <v>309</v>
      </c>
      <c r="N924">
        <v>5</v>
      </c>
      <c r="O924">
        <v>6</v>
      </c>
      <c r="P924" t="s">
        <v>216</v>
      </c>
      <c r="Q924" t="s">
        <v>217</v>
      </c>
      <c r="R924">
        <f t="shared" si="60"/>
        <v>30</v>
      </c>
      <c r="S924">
        <f t="shared" si="57"/>
        <v>0.91082802547770703</v>
      </c>
      <c r="T924" t="str">
        <f t="shared" si="58"/>
        <v>Medium Risk</v>
      </c>
      <c r="U924" t="str">
        <f t="shared" si="59"/>
        <v>Monitor Sales</v>
      </c>
    </row>
    <row r="925" spans="1:21" x14ac:dyDescent="0.25">
      <c r="A925">
        <v>924</v>
      </c>
      <c r="B925" t="s">
        <v>96</v>
      </c>
      <c r="C925" t="s">
        <v>117</v>
      </c>
      <c r="D925" t="s">
        <v>124</v>
      </c>
      <c r="E925">
        <v>207</v>
      </c>
      <c r="F925">
        <v>140</v>
      </c>
      <c r="G925">
        <v>135</v>
      </c>
      <c r="H925">
        <v>1083.6300000000001</v>
      </c>
      <c r="I925">
        <v>714.52</v>
      </c>
      <c r="J925">
        <v>37</v>
      </c>
      <c r="K925">
        <v>5</v>
      </c>
      <c r="L925" t="s">
        <v>137</v>
      </c>
      <c r="M925">
        <v>238</v>
      </c>
      <c r="N925">
        <v>5</v>
      </c>
      <c r="O925">
        <v>19</v>
      </c>
      <c r="P925" t="s">
        <v>216</v>
      </c>
      <c r="Q925" t="s">
        <v>219</v>
      </c>
      <c r="R925">
        <f t="shared" si="60"/>
        <v>5</v>
      </c>
      <c r="S925">
        <f t="shared" si="57"/>
        <v>0.67632850241545894</v>
      </c>
      <c r="T925" t="str">
        <f t="shared" si="58"/>
        <v>Medium Risk</v>
      </c>
      <c r="U925" t="str">
        <f t="shared" si="59"/>
        <v>Monitor Sales</v>
      </c>
    </row>
    <row r="926" spans="1:21" x14ac:dyDescent="0.25">
      <c r="A926">
        <v>925</v>
      </c>
      <c r="B926" t="s">
        <v>73</v>
      </c>
      <c r="C926" t="s">
        <v>117</v>
      </c>
      <c r="D926" t="s">
        <v>122</v>
      </c>
      <c r="E926">
        <v>414</v>
      </c>
      <c r="F926">
        <v>324</v>
      </c>
      <c r="G926">
        <v>365</v>
      </c>
      <c r="H926">
        <v>4154.42</v>
      </c>
      <c r="I926">
        <v>2630.29</v>
      </c>
      <c r="J926">
        <v>77</v>
      </c>
      <c r="K926">
        <v>3</v>
      </c>
      <c r="L926" t="s">
        <v>172</v>
      </c>
      <c r="M926">
        <v>146</v>
      </c>
      <c r="N926">
        <v>3</v>
      </c>
      <c r="O926">
        <v>31</v>
      </c>
      <c r="P926" t="s">
        <v>215</v>
      </c>
      <c r="Q926" t="s">
        <v>218</v>
      </c>
      <c r="R926">
        <f t="shared" si="60"/>
        <v>-41</v>
      </c>
      <c r="S926">
        <f t="shared" si="57"/>
        <v>0.78260869565217395</v>
      </c>
      <c r="T926" t="str">
        <f t="shared" si="58"/>
        <v>Medium Risk</v>
      </c>
      <c r="U926" t="str">
        <f t="shared" si="59"/>
        <v>Monitor Sales</v>
      </c>
    </row>
    <row r="927" spans="1:21" x14ac:dyDescent="0.25">
      <c r="A927">
        <v>926</v>
      </c>
      <c r="B927" t="s">
        <v>68</v>
      </c>
      <c r="C927" t="s">
        <v>119</v>
      </c>
      <c r="D927" t="s">
        <v>123</v>
      </c>
      <c r="E927">
        <v>103</v>
      </c>
      <c r="F927">
        <v>21</v>
      </c>
      <c r="G927">
        <v>53</v>
      </c>
      <c r="H927">
        <v>2622.77</v>
      </c>
      <c r="I927">
        <v>1517.71</v>
      </c>
      <c r="J927">
        <v>149</v>
      </c>
      <c r="K927">
        <v>7</v>
      </c>
      <c r="L927" t="s">
        <v>212</v>
      </c>
      <c r="M927">
        <v>97</v>
      </c>
      <c r="N927">
        <v>4</v>
      </c>
      <c r="O927">
        <v>26</v>
      </c>
      <c r="P927" t="s">
        <v>216</v>
      </c>
      <c r="Q927" t="s">
        <v>218</v>
      </c>
      <c r="R927">
        <f t="shared" si="60"/>
        <v>-32</v>
      </c>
      <c r="S927">
        <f t="shared" si="57"/>
        <v>0.20388349514563106</v>
      </c>
      <c r="T927" t="str">
        <f t="shared" si="58"/>
        <v>High Risk</v>
      </c>
      <c r="U927" t="str">
        <f t="shared" si="59"/>
        <v>Apply Discount / Promotion</v>
      </c>
    </row>
    <row r="928" spans="1:21" x14ac:dyDescent="0.25">
      <c r="A928">
        <v>927</v>
      </c>
      <c r="B928" t="s">
        <v>44</v>
      </c>
      <c r="C928" t="s">
        <v>119</v>
      </c>
      <c r="D928" t="s">
        <v>121</v>
      </c>
      <c r="E928">
        <v>333</v>
      </c>
      <c r="F928">
        <v>200</v>
      </c>
      <c r="G928">
        <v>222</v>
      </c>
      <c r="H928">
        <v>2275.85</v>
      </c>
      <c r="I928">
        <v>1481.08</v>
      </c>
      <c r="J928">
        <v>133</v>
      </c>
      <c r="K928">
        <v>11</v>
      </c>
      <c r="L928" t="s">
        <v>126</v>
      </c>
      <c r="M928">
        <v>325</v>
      </c>
      <c r="N928">
        <v>1</v>
      </c>
      <c r="O928">
        <v>6</v>
      </c>
      <c r="P928" t="s">
        <v>215</v>
      </c>
      <c r="Q928" t="s">
        <v>218</v>
      </c>
      <c r="R928">
        <f t="shared" si="60"/>
        <v>-22</v>
      </c>
      <c r="S928">
        <f t="shared" si="57"/>
        <v>0.60060060060060061</v>
      </c>
      <c r="T928" t="str">
        <f t="shared" si="58"/>
        <v>Medium Risk</v>
      </c>
      <c r="U928" t="str">
        <f t="shared" si="59"/>
        <v>Monitor Sales</v>
      </c>
    </row>
    <row r="929" spans="1:21" x14ac:dyDescent="0.25">
      <c r="A929">
        <v>928</v>
      </c>
      <c r="B929" t="s">
        <v>92</v>
      </c>
      <c r="C929" t="s">
        <v>117</v>
      </c>
      <c r="D929" t="s">
        <v>121</v>
      </c>
      <c r="E929">
        <v>133</v>
      </c>
      <c r="F929">
        <v>75</v>
      </c>
      <c r="G929">
        <v>92</v>
      </c>
      <c r="H929">
        <v>1195.5</v>
      </c>
      <c r="I929">
        <v>742.28</v>
      </c>
      <c r="J929">
        <v>102</v>
      </c>
      <c r="K929">
        <v>3</v>
      </c>
      <c r="L929" t="s">
        <v>137</v>
      </c>
      <c r="M929">
        <v>207</v>
      </c>
      <c r="N929">
        <v>5</v>
      </c>
      <c r="O929">
        <v>32</v>
      </c>
      <c r="P929" t="s">
        <v>215</v>
      </c>
      <c r="Q929" t="s">
        <v>217</v>
      </c>
      <c r="R929">
        <f t="shared" si="60"/>
        <v>-17</v>
      </c>
      <c r="S929">
        <f t="shared" si="57"/>
        <v>0.56390977443609025</v>
      </c>
      <c r="T929" t="str">
        <f t="shared" si="58"/>
        <v>Medium Risk</v>
      </c>
      <c r="U929" t="str">
        <f t="shared" si="59"/>
        <v>Monitor Sales</v>
      </c>
    </row>
    <row r="930" spans="1:21" x14ac:dyDescent="0.25">
      <c r="A930">
        <v>929</v>
      </c>
      <c r="B930" t="s">
        <v>115</v>
      </c>
      <c r="C930" t="s">
        <v>119</v>
      </c>
      <c r="D930" t="s">
        <v>123</v>
      </c>
      <c r="E930">
        <v>112</v>
      </c>
      <c r="F930">
        <v>240</v>
      </c>
      <c r="G930">
        <v>280</v>
      </c>
      <c r="H930">
        <v>1656.4</v>
      </c>
      <c r="I930">
        <v>894.88</v>
      </c>
      <c r="J930">
        <v>124</v>
      </c>
      <c r="K930">
        <v>11</v>
      </c>
      <c r="L930" t="s">
        <v>144</v>
      </c>
      <c r="M930">
        <v>86</v>
      </c>
      <c r="N930">
        <v>1</v>
      </c>
      <c r="O930">
        <v>8</v>
      </c>
      <c r="P930" t="s">
        <v>216</v>
      </c>
      <c r="Q930" t="s">
        <v>218</v>
      </c>
      <c r="R930">
        <f t="shared" si="60"/>
        <v>-40</v>
      </c>
      <c r="S930">
        <f t="shared" si="57"/>
        <v>2.1428571428571428</v>
      </c>
      <c r="T930" t="str">
        <f t="shared" si="58"/>
        <v>Low Risk</v>
      </c>
      <c r="U930" t="str">
        <f t="shared" si="59"/>
        <v>Maintain Stock</v>
      </c>
    </row>
    <row r="931" spans="1:21" x14ac:dyDescent="0.25">
      <c r="A931">
        <v>930</v>
      </c>
      <c r="B931" t="s">
        <v>42</v>
      </c>
      <c r="C931" t="s">
        <v>118</v>
      </c>
      <c r="D931" t="s">
        <v>124</v>
      </c>
      <c r="E931">
        <v>278</v>
      </c>
      <c r="F931">
        <v>156</v>
      </c>
      <c r="G931">
        <v>132</v>
      </c>
      <c r="H931">
        <v>378.42</v>
      </c>
      <c r="I931">
        <v>190.96</v>
      </c>
      <c r="J931">
        <v>79</v>
      </c>
      <c r="K931">
        <v>1</v>
      </c>
      <c r="L931" t="s">
        <v>157</v>
      </c>
      <c r="M931">
        <v>43</v>
      </c>
      <c r="N931">
        <v>2</v>
      </c>
      <c r="O931">
        <v>19</v>
      </c>
      <c r="P931" t="s">
        <v>216</v>
      </c>
      <c r="Q931" t="s">
        <v>217</v>
      </c>
      <c r="R931">
        <f t="shared" si="60"/>
        <v>24</v>
      </c>
      <c r="S931">
        <f t="shared" si="57"/>
        <v>0.5611510791366906</v>
      </c>
      <c r="T931" t="str">
        <f t="shared" si="58"/>
        <v>Medium Risk</v>
      </c>
      <c r="U931" t="str">
        <f t="shared" si="59"/>
        <v>Monitor Sales</v>
      </c>
    </row>
    <row r="932" spans="1:21" x14ac:dyDescent="0.25">
      <c r="A932">
        <v>931</v>
      </c>
      <c r="B932" t="s">
        <v>48</v>
      </c>
      <c r="C932" t="s">
        <v>119</v>
      </c>
      <c r="D932" t="s">
        <v>123</v>
      </c>
      <c r="E932">
        <v>29</v>
      </c>
      <c r="F932">
        <v>0</v>
      </c>
      <c r="G932">
        <v>34</v>
      </c>
      <c r="H932">
        <v>765.61</v>
      </c>
      <c r="I932">
        <v>481.15</v>
      </c>
      <c r="J932">
        <v>102</v>
      </c>
      <c r="K932">
        <v>13</v>
      </c>
      <c r="L932" t="s">
        <v>132</v>
      </c>
      <c r="M932">
        <v>287</v>
      </c>
      <c r="N932">
        <v>4</v>
      </c>
      <c r="O932">
        <v>29</v>
      </c>
      <c r="P932" t="s">
        <v>215</v>
      </c>
      <c r="Q932" t="s">
        <v>217</v>
      </c>
      <c r="R932">
        <f t="shared" si="60"/>
        <v>-34</v>
      </c>
      <c r="S932">
        <f t="shared" si="57"/>
        <v>0</v>
      </c>
      <c r="T932" t="str">
        <f t="shared" si="58"/>
        <v>High Risk</v>
      </c>
      <c r="U932" t="str">
        <f t="shared" si="59"/>
        <v>Apply Discount / Promotion</v>
      </c>
    </row>
    <row r="933" spans="1:21" x14ac:dyDescent="0.25">
      <c r="A933">
        <v>932</v>
      </c>
      <c r="B933" t="s">
        <v>71</v>
      </c>
      <c r="C933" t="s">
        <v>116</v>
      </c>
      <c r="D933" t="s">
        <v>122</v>
      </c>
      <c r="E933">
        <v>168</v>
      </c>
      <c r="F933">
        <v>91</v>
      </c>
      <c r="G933">
        <v>65</v>
      </c>
      <c r="H933">
        <v>1851.42</v>
      </c>
      <c r="I933">
        <v>1381.11</v>
      </c>
      <c r="J933">
        <v>130</v>
      </c>
      <c r="K933">
        <v>15</v>
      </c>
      <c r="L933" t="s">
        <v>197</v>
      </c>
      <c r="M933">
        <v>222</v>
      </c>
      <c r="N933">
        <v>3</v>
      </c>
      <c r="O933">
        <v>38</v>
      </c>
      <c r="P933" t="s">
        <v>215</v>
      </c>
      <c r="Q933" t="s">
        <v>218</v>
      </c>
      <c r="R933">
        <f t="shared" si="60"/>
        <v>26</v>
      </c>
      <c r="S933">
        <f t="shared" si="57"/>
        <v>0.54166666666666663</v>
      </c>
      <c r="T933" t="str">
        <f t="shared" si="58"/>
        <v>Medium Risk</v>
      </c>
      <c r="U933" t="str">
        <f t="shared" si="59"/>
        <v>Monitor Sales</v>
      </c>
    </row>
    <row r="934" spans="1:21" x14ac:dyDescent="0.25">
      <c r="A934">
        <v>933</v>
      </c>
      <c r="B934" t="s">
        <v>66</v>
      </c>
      <c r="C934" t="s">
        <v>118</v>
      </c>
      <c r="D934" t="s">
        <v>124</v>
      </c>
      <c r="E934">
        <v>315</v>
      </c>
      <c r="F934">
        <v>14</v>
      </c>
      <c r="G934">
        <v>35</v>
      </c>
      <c r="H934">
        <v>2019.92</v>
      </c>
      <c r="I934">
        <v>1355.6</v>
      </c>
      <c r="J934">
        <v>33</v>
      </c>
      <c r="K934">
        <v>7</v>
      </c>
      <c r="L934" t="s">
        <v>210</v>
      </c>
      <c r="M934">
        <v>131</v>
      </c>
      <c r="N934">
        <v>1</v>
      </c>
      <c r="O934">
        <v>46</v>
      </c>
      <c r="P934" t="s">
        <v>215</v>
      </c>
      <c r="Q934" t="s">
        <v>219</v>
      </c>
      <c r="R934">
        <f t="shared" si="60"/>
        <v>-21</v>
      </c>
      <c r="S934">
        <f t="shared" si="57"/>
        <v>4.4444444444444446E-2</v>
      </c>
      <c r="T934" t="str">
        <f t="shared" si="58"/>
        <v>High Risk</v>
      </c>
      <c r="U934" t="str">
        <f t="shared" si="59"/>
        <v>Apply Discount / Promotion</v>
      </c>
    </row>
    <row r="935" spans="1:21" x14ac:dyDescent="0.25">
      <c r="A935">
        <v>934</v>
      </c>
      <c r="B935" t="s">
        <v>78</v>
      </c>
      <c r="C935" t="s">
        <v>119</v>
      </c>
      <c r="D935" t="s">
        <v>123</v>
      </c>
      <c r="E935">
        <v>272</v>
      </c>
      <c r="F935">
        <v>412</v>
      </c>
      <c r="G935">
        <v>395</v>
      </c>
      <c r="H935">
        <v>277.63</v>
      </c>
      <c r="I935">
        <v>149.25</v>
      </c>
      <c r="J935">
        <v>113</v>
      </c>
      <c r="K935">
        <v>10</v>
      </c>
      <c r="L935" t="s">
        <v>181</v>
      </c>
      <c r="M935">
        <v>95</v>
      </c>
      <c r="N935">
        <v>1</v>
      </c>
      <c r="O935">
        <v>38</v>
      </c>
      <c r="P935" t="s">
        <v>216</v>
      </c>
      <c r="Q935" t="s">
        <v>218</v>
      </c>
      <c r="R935">
        <f t="shared" si="60"/>
        <v>17</v>
      </c>
      <c r="S935">
        <f t="shared" si="57"/>
        <v>1.5147058823529411</v>
      </c>
      <c r="T935" t="str">
        <f t="shared" si="58"/>
        <v>Low Risk</v>
      </c>
      <c r="U935" t="str">
        <f t="shared" si="59"/>
        <v>Maintain Stock</v>
      </c>
    </row>
    <row r="936" spans="1:21" x14ac:dyDescent="0.25">
      <c r="A936">
        <v>935</v>
      </c>
      <c r="B936" t="s">
        <v>114</v>
      </c>
      <c r="C936" t="s">
        <v>118</v>
      </c>
      <c r="D936" t="s">
        <v>121</v>
      </c>
      <c r="E936">
        <v>183</v>
      </c>
      <c r="F936">
        <v>18</v>
      </c>
      <c r="G936">
        <v>53</v>
      </c>
      <c r="H936">
        <v>2789.61</v>
      </c>
      <c r="I936">
        <v>1495.02</v>
      </c>
      <c r="J936">
        <v>96</v>
      </c>
      <c r="K936">
        <v>10</v>
      </c>
      <c r="L936" t="s">
        <v>155</v>
      </c>
      <c r="M936">
        <v>152</v>
      </c>
      <c r="N936">
        <v>3</v>
      </c>
      <c r="O936">
        <v>15</v>
      </c>
      <c r="P936" t="s">
        <v>215</v>
      </c>
      <c r="Q936" t="s">
        <v>219</v>
      </c>
      <c r="R936">
        <f t="shared" si="60"/>
        <v>-35</v>
      </c>
      <c r="S936">
        <f t="shared" si="57"/>
        <v>9.8360655737704916E-2</v>
      </c>
      <c r="T936" t="str">
        <f t="shared" si="58"/>
        <v>High Risk</v>
      </c>
      <c r="U936" t="str">
        <f t="shared" si="59"/>
        <v>Apply Discount / Promotion</v>
      </c>
    </row>
    <row r="937" spans="1:21" x14ac:dyDescent="0.25">
      <c r="A937">
        <v>936</v>
      </c>
      <c r="B937" t="s">
        <v>57</v>
      </c>
      <c r="C937" t="s">
        <v>118</v>
      </c>
      <c r="D937" t="s">
        <v>121</v>
      </c>
      <c r="E937">
        <v>206</v>
      </c>
      <c r="F937">
        <v>398</v>
      </c>
      <c r="G937">
        <v>369</v>
      </c>
      <c r="H937">
        <v>2661.82</v>
      </c>
      <c r="I937">
        <v>1733.51</v>
      </c>
      <c r="J937">
        <v>140</v>
      </c>
      <c r="K937">
        <v>10</v>
      </c>
      <c r="L937" t="s">
        <v>166</v>
      </c>
      <c r="M937">
        <v>175</v>
      </c>
      <c r="N937">
        <v>1</v>
      </c>
      <c r="O937">
        <v>0</v>
      </c>
      <c r="P937" t="s">
        <v>215</v>
      </c>
      <c r="Q937" t="s">
        <v>219</v>
      </c>
      <c r="R937">
        <f t="shared" si="60"/>
        <v>29</v>
      </c>
      <c r="S937">
        <f t="shared" si="57"/>
        <v>1.9320388349514563</v>
      </c>
      <c r="T937" t="str">
        <f t="shared" si="58"/>
        <v>Low Risk</v>
      </c>
      <c r="U937" t="str">
        <f t="shared" si="59"/>
        <v>Maintain Stock</v>
      </c>
    </row>
    <row r="938" spans="1:21" x14ac:dyDescent="0.25">
      <c r="A938">
        <v>937</v>
      </c>
      <c r="B938" t="s">
        <v>99</v>
      </c>
      <c r="C938" t="s">
        <v>116</v>
      </c>
      <c r="D938" t="s">
        <v>121</v>
      </c>
      <c r="E938">
        <v>275</v>
      </c>
      <c r="F938">
        <v>300</v>
      </c>
      <c r="G938">
        <v>267</v>
      </c>
      <c r="H938">
        <v>3183.06</v>
      </c>
      <c r="I938">
        <v>2467.4299999999998</v>
      </c>
      <c r="J938">
        <v>34</v>
      </c>
      <c r="K938">
        <v>3</v>
      </c>
      <c r="L938" t="s">
        <v>193</v>
      </c>
      <c r="M938">
        <v>106</v>
      </c>
      <c r="N938">
        <v>2</v>
      </c>
      <c r="O938">
        <v>29</v>
      </c>
      <c r="P938" t="s">
        <v>216</v>
      </c>
      <c r="Q938" t="s">
        <v>217</v>
      </c>
      <c r="R938">
        <f t="shared" si="60"/>
        <v>33</v>
      </c>
      <c r="S938">
        <f t="shared" si="57"/>
        <v>1.0909090909090908</v>
      </c>
      <c r="T938" t="str">
        <f t="shared" si="58"/>
        <v>Low Risk</v>
      </c>
      <c r="U938" t="str">
        <f t="shared" si="59"/>
        <v>Maintain Stock</v>
      </c>
    </row>
    <row r="939" spans="1:21" x14ac:dyDescent="0.25">
      <c r="A939">
        <v>938</v>
      </c>
      <c r="B939" t="s">
        <v>29</v>
      </c>
      <c r="C939" t="s">
        <v>120</v>
      </c>
      <c r="D939" t="s">
        <v>124</v>
      </c>
      <c r="E939">
        <v>111</v>
      </c>
      <c r="F939">
        <v>288</v>
      </c>
      <c r="G939">
        <v>322</v>
      </c>
      <c r="H939">
        <v>584.29</v>
      </c>
      <c r="I939">
        <v>392.4</v>
      </c>
      <c r="J939">
        <v>118</v>
      </c>
      <c r="K939">
        <v>8</v>
      </c>
      <c r="L939" t="s">
        <v>176</v>
      </c>
      <c r="M939">
        <v>266</v>
      </c>
      <c r="N939">
        <v>2</v>
      </c>
      <c r="O939">
        <v>33</v>
      </c>
      <c r="P939" t="s">
        <v>216</v>
      </c>
      <c r="Q939" t="s">
        <v>219</v>
      </c>
      <c r="R939">
        <f t="shared" si="60"/>
        <v>-34</v>
      </c>
      <c r="S939">
        <f t="shared" si="57"/>
        <v>2.5945945945945947</v>
      </c>
      <c r="T939" t="str">
        <f t="shared" si="58"/>
        <v>Low Risk</v>
      </c>
      <c r="U939" t="str">
        <f t="shared" si="59"/>
        <v>Maintain Stock</v>
      </c>
    </row>
    <row r="940" spans="1:21" x14ac:dyDescent="0.25">
      <c r="A940">
        <v>939</v>
      </c>
      <c r="B940" t="s">
        <v>43</v>
      </c>
      <c r="C940" t="s">
        <v>120</v>
      </c>
      <c r="D940" t="s">
        <v>121</v>
      </c>
      <c r="E940">
        <v>97</v>
      </c>
      <c r="F940">
        <v>0</v>
      </c>
      <c r="G940">
        <v>33</v>
      </c>
      <c r="H940">
        <v>2746.2</v>
      </c>
      <c r="I940">
        <v>2056.92</v>
      </c>
      <c r="J940">
        <v>122</v>
      </c>
      <c r="K940">
        <v>14</v>
      </c>
      <c r="L940" t="s">
        <v>196</v>
      </c>
      <c r="M940">
        <v>126</v>
      </c>
      <c r="N940">
        <v>3</v>
      </c>
      <c r="O940">
        <v>8</v>
      </c>
      <c r="P940" t="s">
        <v>216</v>
      </c>
      <c r="Q940" t="s">
        <v>217</v>
      </c>
      <c r="R940">
        <f t="shared" si="60"/>
        <v>-33</v>
      </c>
      <c r="S940">
        <f t="shared" si="57"/>
        <v>0</v>
      </c>
      <c r="T940" t="str">
        <f t="shared" si="58"/>
        <v>High Risk</v>
      </c>
      <c r="U940" t="str">
        <f t="shared" si="59"/>
        <v>Apply Discount / Promotion</v>
      </c>
    </row>
    <row r="941" spans="1:21" x14ac:dyDescent="0.25">
      <c r="A941">
        <v>940</v>
      </c>
      <c r="B941" t="s">
        <v>74</v>
      </c>
      <c r="C941" t="s">
        <v>116</v>
      </c>
      <c r="D941" t="s">
        <v>123</v>
      </c>
      <c r="E941">
        <v>172</v>
      </c>
      <c r="F941">
        <v>226</v>
      </c>
      <c r="G941">
        <v>243</v>
      </c>
      <c r="H941">
        <v>939.49</v>
      </c>
      <c r="I941">
        <v>510.5</v>
      </c>
      <c r="J941">
        <v>59</v>
      </c>
      <c r="K941">
        <v>8</v>
      </c>
      <c r="L941" t="s">
        <v>205</v>
      </c>
      <c r="M941">
        <v>275</v>
      </c>
      <c r="N941">
        <v>4</v>
      </c>
      <c r="O941">
        <v>39</v>
      </c>
      <c r="P941" t="s">
        <v>215</v>
      </c>
      <c r="Q941" t="s">
        <v>218</v>
      </c>
      <c r="R941">
        <f t="shared" si="60"/>
        <v>-17</v>
      </c>
      <c r="S941">
        <f t="shared" si="57"/>
        <v>1.3139534883720929</v>
      </c>
      <c r="T941" t="str">
        <f t="shared" si="58"/>
        <v>Low Risk</v>
      </c>
      <c r="U941" t="str">
        <f t="shared" si="59"/>
        <v>Maintain Stock</v>
      </c>
    </row>
    <row r="942" spans="1:21" x14ac:dyDescent="0.25">
      <c r="A942">
        <v>941</v>
      </c>
      <c r="B942" t="s">
        <v>49</v>
      </c>
      <c r="C942" t="s">
        <v>120</v>
      </c>
      <c r="D942" t="s">
        <v>121</v>
      </c>
      <c r="E942">
        <v>496</v>
      </c>
      <c r="F942">
        <v>171</v>
      </c>
      <c r="G942">
        <v>157</v>
      </c>
      <c r="H942">
        <v>3822.09</v>
      </c>
      <c r="I942">
        <v>2106.4299999999998</v>
      </c>
      <c r="J942">
        <v>111</v>
      </c>
      <c r="K942">
        <v>8</v>
      </c>
      <c r="L942" t="s">
        <v>187</v>
      </c>
      <c r="M942">
        <v>32</v>
      </c>
      <c r="N942">
        <v>2</v>
      </c>
      <c r="O942">
        <v>4</v>
      </c>
      <c r="P942" t="s">
        <v>216</v>
      </c>
      <c r="Q942" t="s">
        <v>218</v>
      </c>
      <c r="R942">
        <f t="shared" si="60"/>
        <v>14</v>
      </c>
      <c r="S942">
        <f t="shared" si="57"/>
        <v>0.34475806451612906</v>
      </c>
      <c r="T942" t="str">
        <f t="shared" si="58"/>
        <v>High Risk</v>
      </c>
      <c r="U942" t="str">
        <f t="shared" si="59"/>
        <v>Apply Discount / Promotion</v>
      </c>
    </row>
    <row r="943" spans="1:21" x14ac:dyDescent="0.25">
      <c r="A943">
        <v>942</v>
      </c>
      <c r="B943" t="s">
        <v>73</v>
      </c>
      <c r="C943" t="s">
        <v>118</v>
      </c>
      <c r="D943" t="s">
        <v>122</v>
      </c>
      <c r="E943">
        <v>474</v>
      </c>
      <c r="F943">
        <v>101</v>
      </c>
      <c r="G943">
        <v>126</v>
      </c>
      <c r="H943">
        <v>277.3</v>
      </c>
      <c r="I943">
        <v>145.29</v>
      </c>
      <c r="J943">
        <v>39</v>
      </c>
      <c r="K943">
        <v>4</v>
      </c>
      <c r="L943" t="s">
        <v>165</v>
      </c>
      <c r="M943">
        <v>136</v>
      </c>
      <c r="N943">
        <v>3</v>
      </c>
      <c r="O943">
        <v>0</v>
      </c>
      <c r="P943" t="s">
        <v>216</v>
      </c>
      <c r="Q943" t="s">
        <v>219</v>
      </c>
      <c r="R943">
        <f t="shared" si="60"/>
        <v>-25</v>
      </c>
      <c r="S943">
        <f t="shared" si="57"/>
        <v>0.21308016877637131</v>
      </c>
      <c r="T943" t="str">
        <f t="shared" si="58"/>
        <v>High Risk</v>
      </c>
      <c r="U943" t="str">
        <f t="shared" si="59"/>
        <v>Apply Discount / Promotion</v>
      </c>
    </row>
    <row r="944" spans="1:21" x14ac:dyDescent="0.25">
      <c r="A944">
        <v>943</v>
      </c>
      <c r="B944" t="s">
        <v>85</v>
      </c>
      <c r="C944" t="s">
        <v>119</v>
      </c>
      <c r="D944" t="s">
        <v>122</v>
      </c>
      <c r="E944">
        <v>284</v>
      </c>
      <c r="F944">
        <v>150</v>
      </c>
      <c r="G944">
        <v>181</v>
      </c>
      <c r="H944">
        <v>4409.8500000000004</v>
      </c>
      <c r="I944">
        <v>2363.84</v>
      </c>
      <c r="J944">
        <v>120</v>
      </c>
      <c r="K944">
        <v>4</v>
      </c>
      <c r="L944" t="s">
        <v>180</v>
      </c>
      <c r="M944">
        <v>160</v>
      </c>
      <c r="N944">
        <v>2</v>
      </c>
      <c r="O944">
        <v>0</v>
      </c>
      <c r="P944" t="s">
        <v>215</v>
      </c>
      <c r="Q944" t="s">
        <v>217</v>
      </c>
      <c r="R944">
        <f t="shared" si="60"/>
        <v>-31</v>
      </c>
      <c r="S944">
        <f t="shared" si="57"/>
        <v>0.528169014084507</v>
      </c>
      <c r="T944" t="str">
        <f t="shared" si="58"/>
        <v>Medium Risk</v>
      </c>
      <c r="U944" t="str">
        <f t="shared" si="59"/>
        <v>Monitor Sales</v>
      </c>
    </row>
    <row r="945" spans="1:21" x14ac:dyDescent="0.25">
      <c r="A945">
        <v>944</v>
      </c>
      <c r="B945" t="s">
        <v>105</v>
      </c>
      <c r="C945" t="s">
        <v>118</v>
      </c>
      <c r="D945" t="s">
        <v>124</v>
      </c>
      <c r="E945">
        <v>248</v>
      </c>
      <c r="F945">
        <v>252</v>
      </c>
      <c r="G945">
        <v>270</v>
      </c>
      <c r="H945">
        <v>4197.1000000000004</v>
      </c>
      <c r="I945">
        <v>2986.77</v>
      </c>
      <c r="J945">
        <v>150</v>
      </c>
      <c r="K945">
        <v>2</v>
      </c>
      <c r="L945" t="s">
        <v>135</v>
      </c>
      <c r="M945">
        <v>202</v>
      </c>
      <c r="N945">
        <v>5</v>
      </c>
      <c r="O945">
        <v>8</v>
      </c>
      <c r="P945" t="s">
        <v>215</v>
      </c>
      <c r="Q945" t="s">
        <v>217</v>
      </c>
      <c r="R945">
        <f t="shared" si="60"/>
        <v>-18</v>
      </c>
      <c r="S945">
        <f t="shared" si="57"/>
        <v>1.0161290322580645</v>
      </c>
      <c r="T945" t="str">
        <f t="shared" si="58"/>
        <v>Low Risk</v>
      </c>
      <c r="U945" t="str">
        <f t="shared" si="59"/>
        <v>Maintain Stock</v>
      </c>
    </row>
    <row r="946" spans="1:21" x14ac:dyDescent="0.25">
      <c r="A946">
        <v>945</v>
      </c>
      <c r="B946" t="s">
        <v>54</v>
      </c>
      <c r="C946" t="s">
        <v>120</v>
      </c>
      <c r="D946" t="s">
        <v>122</v>
      </c>
      <c r="E946">
        <v>63</v>
      </c>
      <c r="F946">
        <v>280</v>
      </c>
      <c r="G946">
        <v>250</v>
      </c>
      <c r="H946">
        <v>478.37</v>
      </c>
      <c r="I946">
        <v>360.18</v>
      </c>
      <c r="J946">
        <v>76</v>
      </c>
      <c r="K946">
        <v>8</v>
      </c>
      <c r="L946" t="s">
        <v>153</v>
      </c>
      <c r="M946">
        <v>212</v>
      </c>
      <c r="N946">
        <v>4</v>
      </c>
      <c r="O946">
        <v>4</v>
      </c>
      <c r="P946" t="s">
        <v>215</v>
      </c>
      <c r="Q946" t="s">
        <v>217</v>
      </c>
      <c r="R946">
        <f t="shared" si="60"/>
        <v>30</v>
      </c>
      <c r="S946">
        <f t="shared" si="57"/>
        <v>4.4444444444444446</v>
      </c>
      <c r="T946" t="str">
        <f t="shared" si="58"/>
        <v>Low Risk</v>
      </c>
      <c r="U946" t="str">
        <f t="shared" si="59"/>
        <v>Maintain Stock</v>
      </c>
    </row>
    <row r="947" spans="1:21" x14ac:dyDescent="0.25">
      <c r="A947">
        <v>946</v>
      </c>
      <c r="B947" t="s">
        <v>104</v>
      </c>
      <c r="C947" t="s">
        <v>118</v>
      </c>
      <c r="D947" t="s">
        <v>121</v>
      </c>
      <c r="E947">
        <v>294</v>
      </c>
      <c r="F947">
        <v>0</v>
      </c>
      <c r="G947">
        <v>37</v>
      </c>
      <c r="H947">
        <v>733.7</v>
      </c>
      <c r="I947">
        <v>403.24</v>
      </c>
      <c r="J947">
        <v>44</v>
      </c>
      <c r="K947">
        <v>7</v>
      </c>
      <c r="L947" t="s">
        <v>147</v>
      </c>
      <c r="M947">
        <v>219</v>
      </c>
      <c r="N947">
        <v>3</v>
      </c>
      <c r="O947">
        <v>39</v>
      </c>
      <c r="P947" t="s">
        <v>216</v>
      </c>
      <c r="Q947" t="s">
        <v>218</v>
      </c>
      <c r="R947">
        <f t="shared" si="60"/>
        <v>-37</v>
      </c>
      <c r="S947">
        <f t="shared" si="57"/>
        <v>0</v>
      </c>
      <c r="T947" t="str">
        <f t="shared" si="58"/>
        <v>High Risk</v>
      </c>
      <c r="U947" t="str">
        <f t="shared" si="59"/>
        <v>Apply Discount / Promotion</v>
      </c>
    </row>
    <row r="948" spans="1:21" x14ac:dyDescent="0.25">
      <c r="A948">
        <v>947</v>
      </c>
      <c r="B948" t="s">
        <v>64</v>
      </c>
      <c r="C948" t="s">
        <v>117</v>
      </c>
      <c r="D948" t="s">
        <v>121</v>
      </c>
      <c r="E948">
        <v>251</v>
      </c>
      <c r="F948">
        <v>281</v>
      </c>
      <c r="G948">
        <v>322</v>
      </c>
      <c r="H948">
        <v>1139.42</v>
      </c>
      <c r="I948">
        <v>836.5</v>
      </c>
      <c r="J948">
        <v>118</v>
      </c>
      <c r="K948">
        <v>11</v>
      </c>
      <c r="L948" t="s">
        <v>191</v>
      </c>
      <c r="M948">
        <v>160</v>
      </c>
      <c r="N948">
        <v>3</v>
      </c>
      <c r="O948">
        <v>44</v>
      </c>
      <c r="P948" t="s">
        <v>216</v>
      </c>
      <c r="Q948" t="s">
        <v>217</v>
      </c>
      <c r="R948">
        <f t="shared" si="60"/>
        <v>-41</v>
      </c>
      <c r="S948">
        <f t="shared" si="57"/>
        <v>1.1195219123505975</v>
      </c>
      <c r="T948" t="str">
        <f t="shared" si="58"/>
        <v>Low Risk</v>
      </c>
      <c r="U948" t="str">
        <f t="shared" si="59"/>
        <v>Maintain Stock</v>
      </c>
    </row>
    <row r="949" spans="1:21" x14ac:dyDescent="0.25">
      <c r="A949">
        <v>948</v>
      </c>
      <c r="B949" t="s">
        <v>21</v>
      </c>
      <c r="C949" t="s">
        <v>120</v>
      </c>
      <c r="D949" t="s">
        <v>122</v>
      </c>
      <c r="E949">
        <v>92</v>
      </c>
      <c r="F949">
        <v>71</v>
      </c>
      <c r="G949">
        <v>84</v>
      </c>
      <c r="H949">
        <v>4145.78</v>
      </c>
      <c r="I949">
        <v>3152.48</v>
      </c>
      <c r="J949">
        <v>145</v>
      </c>
      <c r="K949">
        <v>8</v>
      </c>
      <c r="L949" t="s">
        <v>188</v>
      </c>
      <c r="M949">
        <v>108</v>
      </c>
      <c r="N949">
        <v>2</v>
      </c>
      <c r="O949">
        <v>18</v>
      </c>
      <c r="P949" t="s">
        <v>215</v>
      </c>
      <c r="Q949" t="s">
        <v>219</v>
      </c>
      <c r="R949">
        <f t="shared" si="60"/>
        <v>-13</v>
      </c>
      <c r="S949">
        <f t="shared" si="57"/>
        <v>0.77173913043478259</v>
      </c>
      <c r="T949" t="str">
        <f t="shared" si="58"/>
        <v>Medium Risk</v>
      </c>
      <c r="U949" t="str">
        <f t="shared" si="59"/>
        <v>Monitor Sales</v>
      </c>
    </row>
    <row r="950" spans="1:21" x14ac:dyDescent="0.25">
      <c r="A950">
        <v>949</v>
      </c>
      <c r="B950" t="s">
        <v>86</v>
      </c>
      <c r="C950" t="s">
        <v>116</v>
      </c>
      <c r="D950" t="s">
        <v>121</v>
      </c>
      <c r="E950">
        <v>467</v>
      </c>
      <c r="F950">
        <v>341</v>
      </c>
      <c r="G950">
        <v>350</v>
      </c>
      <c r="H950">
        <v>3252.84</v>
      </c>
      <c r="I950">
        <v>2293.79</v>
      </c>
      <c r="J950">
        <v>94</v>
      </c>
      <c r="K950">
        <v>13</v>
      </c>
      <c r="L950" t="s">
        <v>143</v>
      </c>
      <c r="M950">
        <v>334</v>
      </c>
      <c r="N950">
        <v>4</v>
      </c>
      <c r="O950">
        <v>3</v>
      </c>
      <c r="P950" t="s">
        <v>215</v>
      </c>
      <c r="Q950" t="s">
        <v>218</v>
      </c>
      <c r="R950">
        <f t="shared" si="60"/>
        <v>-9</v>
      </c>
      <c r="S950">
        <f t="shared" si="57"/>
        <v>0.73019271948608133</v>
      </c>
      <c r="T950" t="str">
        <f t="shared" si="58"/>
        <v>Medium Risk</v>
      </c>
      <c r="U950" t="str">
        <f t="shared" si="59"/>
        <v>Monitor Sales</v>
      </c>
    </row>
    <row r="951" spans="1:21" x14ac:dyDescent="0.25">
      <c r="A951">
        <v>950</v>
      </c>
      <c r="B951" t="s">
        <v>23</v>
      </c>
      <c r="C951" t="s">
        <v>116</v>
      </c>
      <c r="D951" t="s">
        <v>121</v>
      </c>
      <c r="E951">
        <v>91</v>
      </c>
      <c r="F951">
        <v>75</v>
      </c>
      <c r="G951">
        <v>69</v>
      </c>
      <c r="H951">
        <v>4264.33</v>
      </c>
      <c r="I951">
        <v>2823.22</v>
      </c>
      <c r="J951">
        <v>126</v>
      </c>
      <c r="K951">
        <v>15</v>
      </c>
      <c r="L951" t="s">
        <v>166</v>
      </c>
      <c r="M951">
        <v>302</v>
      </c>
      <c r="N951">
        <v>5</v>
      </c>
      <c r="O951">
        <v>42</v>
      </c>
      <c r="P951" t="s">
        <v>215</v>
      </c>
      <c r="Q951" t="s">
        <v>219</v>
      </c>
      <c r="R951">
        <f t="shared" si="60"/>
        <v>6</v>
      </c>
      <c r="S951">
        <f t="shared" si="57"/>
        <v>0.82417582417582413</v>
      </c>
      <c r="T951" t="str">
        <f t="shared" si="58"/>
        <v>Medium Risk</v>
      </c>
      <c r="U951" t="str">
        <f t="shared" si="59"/>
        <v>Monitor Sales</v>
      </c>
    </row>
    <row r="952" spans="1:21" x14ac:dyDescent="0.25">
      <c r="A952">
        <v>951</v>
      </c>
      <c r="B952" t="s">
        <v>104</v>
      </c>
      <c r="C952" t="s">
        <v>117</v>
      </c>
      <c r="D952" t="s">
        <v>124</v>
      </c>
      <c r="E952">
        <v>305</v>
      </c>
      <c r="F952">
        <v>263</v>
      </c>
      <c r="G952">
        <v>292</v>
      </c>
      <c r="H952">
        <v>4219.62</v>
      </c>
      <c r="I952">
        <v>2618.19</v>
      </c>
      <c r="J952">
        <v>121</v>
      </c>
      <c r="K952">
        <v>4</v>
      </c>
      <c r="L952" t="s">
        <v>156</v>
      </c>
      <c r="M952">
        <v>174</v>
      </c>
      <c r="N952">
        <v>4</v>
      </c>
      <c r="O952">
        <v>6</v>
      </c>
      <c r="P952" t="s">
        <v>216</v>
      </c>
      <c r="Q952" t="s">
        <v>218</v>
      </c>
      <c r="R952">
        <f t="shared" si="60"/>
        <v>-29</v>
      </c>
      <c r="S952">
        <f t="shared" si="57"/>
        <v>0.86229508196721316</v>
      </c>
      <c r="T952" t="str">
        <f t="shared" si="58"/>
        <v>Medium Risk</v>
      </c>
      <c r="U952" t="str">
        <f t="shared" si="59"/>
        <v>Monitor Sales</v>
      </c>
    </row>
    <row r="953" spans="1:21" x14ac:dyDescent="0.25">
      <c r="A953">
        <v>952</v>
      </c>
      <c r="B953" t="s">
        <v>32</v>
      </c>
      <c r="C953" t="s">
        <v>119</v>
      </c>
      <c r="D953" t="s">
        <v>124</v>
      </c>
      <c r="E953">
        <v>490</v>
      </c>
      <c r="F953">
        <v>419</v>
      </c>
      <c r="G953">
        <v>393</v>
      </c>
      <c r="H953">
        <v>467.34</v>
      </c>
      <c r="I953">
        <v>277.63</v>
      </c>
      <c r="J953">
        <v>75</v>
      </c>
      <c r="K953">
        <v>3</v>
      </c>
      <c r="L953" t="s">
        <v>196</v>
      </c>
      <c r="M953">
        <v>255</v>
      </c>
      <c r="N953">
        <v>5</v>
      </c>
      <c r="O953">
        <v>49</v>
      </c>
      <c r="P953" t="s">
        <v>216</v>
      </c>
      <c r="Q953" t="s">
        <v>218</v>
      </c>
      <c r="R953">
        <f t="shared" si="60"/>
        <v>26</v>
      </c>
      <c r="S953">
        <f t="shared" si="57"/>
        <v>0.85510204081632657</v>
      </c>
      <c r="T953" t="str">
        <f t="shared" si="58"/>
        <v>Medium Risk</v>
      </c>
      <c r="U953" t="str">
        <f t="shared" si="59"/>
        <v>Monitor Sales</v>
      </c>
    </row>
    <row r="954" spans="1:21" x14ac:dyDescent="0.25">
      <c r="A954">
        <v>953</v>
      </c>
      <c r="B954" t="s">
        <v>58</v>
      </c>
      <c r="C954" t="s">
        <v>117</v>
      </c>
      <c r="D954" t="s">
        <v>122</v>
      </c>
      <c r="E954">
        <v>267</v>
      </c>
      <c r="F954">
        <v>255</v>
      </c>
      <c r="G954">
        <v>225</v>
      </c>
      <c r="H954">
        <v>1151.5999999999999</v>
      </c>
      <c r="I954">
        <v>646.22</v>
      </c>
      <c r="J954">
        <v>46</v>
      </c>
      <c r="K954">
        <v>14</v>
      </c>
      <c r="L954" t="s">
        <v>174</v>
      </c>
      <c r="M954">
        <v>323</v>
      </c>
      <c r="N954">
        <v>5</v>
      </c>
      <c r="O954">
        <v>15</v>
      </c>
      <c r="P954" t="s">
        <v>216</v>
      </c>
      <c r="Q954" t="s">
        <v>219</v>
      </c>
      <c r="R954">
        <f t="shared" si="60"/>
        <v>30</v>
      </c>
      <c r="S954">
        <f t="shared" si="57"/>
        <v>0.9550561797752809</v>
      </c>
      <c r="T954" t="str">
        <f t="shared" si="58"/>
        <v>Medium Risk</v>
      </c>
      <c r="U954" t="str">
        <f t="shared" si="59"/>
        <v>Monitor Sales</v>
      </c>
    </row>
    <row r="955" spans="1:21" x14ac:dyDescent="0.25">
      <c r="A955">
        <v>954</v>
      </c>
      <c r="B955" t="s">
        <v>40</v>
      </c>
      <c r="C955" t="s">
        <v>116</v>
      </c>
      <c r="D955" t="s">
        <v>122</v>
      </c>
      <c r="E955">
        <v>461</v>
      </c>
      <c r="F955">
        <v>282</v>
      </c>
      <c r="G955">
        <v>307</v>
      </c>
      <c r="H955">
        <v>3549.58</v>
      </c>
      <c r="I955">
        <v>2147.0700000000002</v>
      </c>
      <c r="J955">
        <v>56</v>
      </c>
      <c r="K955">
        <v>9</v>
      </c>
      <c r="L955" t="s">
        <v>146</v>
      </c>
      <c r="M955">
        <v>124</v>
      </c>
      <c r="N955">
        <v>2</v>
      </c>
      <c r="O955">
        <v>48</v>
      </c>
      <c r="P955" t="s">
        <v>216</v>
      </c>
      <c r="Q955" t="s">
        <v>218</v>
      </c>
      <c r="R955">
        <f t="shared" si="60"/>
        <v>-25</v>
      </c>
      <c r="S955">
        <f t="shared" si="57"/>
        <v>0.61171366594360088</v>
      </c>
      <c r="T955" t="str">
        <f t="shared" si="58"/>
        <v>Medium Risk</v>
      </c>
      <c r="U955" t="str">
        <f t="shared" si="59"/>
        <v>Monitor Sales</v>
      </c>
    </row>
    <row r="956" spans="1:21" x14ac:dyDescent="0.25">
      <c r="A956">
        <v>955</v>
      </c>
      <c r="B956" t="s">
        <v>91</v>
      </c>
      <c r="C956" t="s">
        <v>117</v>
      </c>
      <c r="D956" t="s">
        <v>123</v>
      </c>
      <c r="E956">
        <v>150</v>
      </c>
      <c r="F956">
        <v>195</v>
      </c>
      <c r="G956">
        <v>176</v>
      </c>
      <c r="H956">
        <v>2421.94</v>
      </c>
      <c r="I956">
        <v>1514.61</v>
      </c>
      <c r="J956">
        <v>76</v>
      </c>
      <c r="K956">
        <v>7</v>
      </c>
      <c r="L956" t="s">
        <v>135</v>
      </c>
      <c r="M956">
        <v>319</v>
      </c>
      <c r="N956">
        <v>2</v>
      </c>
      <c r="O956">
        <v>7</v>
      </c>
      <c r="P956" t="s">
        <v>216</v>
      </c>
      <c r="Q956" t="s">
        <v>219</v>
      </c>
      <c r="R956">
        <f t="shared" si="60"/>
        <v>19</v>
      </c>
      <c r="S956">
        <f t="shared" si="57"/>
        <v>1.3</v>
      </c>
      <c r="T956" t="str">
        <f t="shared" si="58"/>
        <v>Low Risk</v>
      </c>
      <c r="U956" t="str">
        <f t="shared" si="59"/>
        <v>Maintain Stock</v>
      </c>
    </row>
    <row r="957" spans="1:21" x14ac:dyDescent="0.25">
      <c r="A957">
        <v>956</v>
      </c>
      <c r="B957" t="s">
        <v>17</v>
      </c>
      <c r="C957" t="s">
        <v>120</v>
      </c>
      <c r="D957" t="s">
        <v>122</v>
      </c>
      <c r="E957">
        <v>231</v>
      </c>
      <c r="F957">
        <v>350</v>
      </c>
      <c r="G957">
        <v>342</v>
      </c>
      <c r="H957">
        <v>4835.58</v>
      </c>
      <c r="I957">
        <v>3721.18</v>
      </c>
      <c r="J957">
        <v>102</v>
      </c>
      <c r="K957">
        <v>13</v>
      </c>
      <c r="L957" t="s">
        <v>213</v>
      </c>
      <c r="M957">
        <v>177</v>
      </c>
      <c r="N957">
        <v>1</v>
      </c>
      <c r="O957">
        <v>6</v>
      </c>
      <c r="P957" t="s">
        <v>215</v>
      </c>
      <c r="Q957" t="s">
        <v>218</v>
      </c>
      <c r="R957">
        <f t="shared" si="60"/>
        <v>8</v>
      </c>
      <c r="S957">
        <f t="shared" si="57"/>
        <v>1.5151515151515151</v>
      </c>
      <c r="T957" t="str">
        <f t="shared" si="58"/>
        <v>Low Risk</v>
      </c>
      <c r="U957" t="str">
        <f t="shared" si="59"/>
        <v>Maintain Stock</v>
      </c>
    </row>
    <row r="958" spans="1:21" x14ac:dyDescent="0.25">
      <c r="A958">
        <v>957</v>
      </c>
      <c r="B958" t="s">
        <v>104</v>
      </c>
      <c r="C958" t="s">
        <v>116</v>
      </c>
      <c r="D958" t="s">
        <v>124</v>
      </c>
      <c r="E958">
        <v>404</v>
      </c>
      <c r="F958">
        <v>352</v>
      </c>
      <c r="G958">
        <v>304</v>
      </c>
      <c r="H958">
        <v>739.91</v>
      </c>
      <c r="I958">
        <v>512.34</v>
      </c>
      <c r="J958">
        <v>38</v>
      </c>
      <c r="K958">
        <v>3</v>
      </c>
      <c r="L958" t="s">
        <v>206</v>
      </c>
      <c r="M958">
        <v>146</v>
      </c>
      <c r="N958">
        <v>1</v>
      </c>
      <c r="O958">
        <v>48</v>
      </c>
      <c r="P958" t="s">
        <v>215</v>
      </c>
      <c r="Q958" t="s">
        <v>219</v>
      </c>
      <c r="R958">
        <f t="shared" si="60"/>
        <v>48</v>
      </c>
      <c r="S958">
        <f t="shared" si="57"/>
        <v>0.87128712871287128</v>
      </c>
      <c r="T958" t="str">
        <f t="shared" si="58"/>
        <v>Medium Risk</v>
      </c>
      <c r="U958" t="str">
        <f t="shared" si="59"/>
        <v>Monitor Sales</v>
      </c>
    </row>
    <row r="959" spans="1:21" x14ac:dyDescent="0.25">
      <c r="A959">
        <v>958</v>
      </c>
      <c r="B959" t="s">
        <v>86</v>
      </c>
      <c r="C959" t="s">
        <v>117</v>
      </c>
      <c r="D959" t="s">
        <v>122</v>
      </c>
      <c r="E959">
        <v>261</v>
      </c>
      <c r="F959">
        <v>81</v>
      </c>
      <c r="G959">
        <v>46</v>
      </c>
      <c r="H959">
        <v>3961.11</v>
      </c>
      <c r="I959">
        <v>2679.98</v>
      </c>
      <c r="J959">
        <v>70</v>
      </c>
      <c r="K959">
        <v>7</v>
      </c>
      <c r="L959" t="s">
        <v>188</v>
      </c>
      <c r="M959">
        <v>87</v>
      </c>
      <c r="N959">
        <v>3</v>
      </c>
      <c r="O959">
        <v>43</v>
      </c>
      <c r="P959" t="s">
        <v>216</v>
      </c>
      <c r="Q959" t="s">
        <v>218</v>
      </c>
      <c r="R959">
        <f t="shared" si="60"/>
        <v>35</v>
      </c>
      <c r="S959">
        <f t="shared" si="57"/>
        <v>0.31034482758620691</v>
      </c>
      <c r="T959" t="str">
        <f t="shared" si="58"/>
        <v>High Risk</v>
      </c>
      <c r="U959" t="str">
        <f t="shared" si="59"/>
        <v>Apply Discount / Promotion</v>
      </c>
    </row>
    <row r="960" spans="1:21" x14ac:dyDescent="0.25">
      <c r="A960">
        <v>959</v>
      </c>
      <c r="B960" t="s">
        <v>59</v>
      </c>
      <c r="C960" t="s">
        <v>117</v>
      </c>
      <c r="D960" t="s">
        <v>123</v>
      </c>
      <c r="E960">
        <v>149</v>
      </c>
      <c r="F960">
        <v>241</v>
      </c>
      <c r="G960">
        <v>216</v>
      </c>
      <c r="H960">
        <v>1984.4</v>
      </c>
      <c r="I960">
        <v>1252.27</v>
      </c>
      <c r="J960">
        <v>121</v>
      </c>
      <c r="K960">
        <v>8</v>
      </c>
      <c r="L960" t="s">
        <v>183</v>
      </c>
      <c r="M960">
        <v>59</v>
      </c>
      <c r="N960">
        <v>5</v>
      </c>
      <c r="O960">
        <v>27</v>
      </c>
      <c r="P960" t="s">
        <v>216</v>
      </c>
      <c r="Q960" t="s">
        <v>219</v>
      </c>
      <c r="R960">
        <f t="shared" si="60"/>
        <v>25</v>
      </c>
      <c r="S960">
        <f t="shared" si="57"/>
        <v>1.6174496644295302</v>
      </c>
      <c r="T960" t="str">
        <f t="shared" si="58"/>
        <v>Low Risk</v>
      </c>
      <c r="U960" t="str">
        <f t="shared" si="59"/>
        <v>Maintain Stock</v>
      </c>
    </row>
    <row r="961" spans="1:21" x14ac:dyDescent="0.25">
      <c r="A961">
        <v>960</v>
      </c>
      <c r="B961" t="s">
        <v>45</v>
      </c>
      <c r="C961" t="s">
        <v>118</v>
      </c>
      <c r="D961" t="s">
        <v>121</v>
      </c>
      <c r="E961">
        <v>107</v>
      </c>
      <c r="F961">
        <v>271</v>
      </c>
      <c r="G961">
        <v>249</v>
      </c>
      <c r="H961">
        <v>2618.09</v>
      </c>
      <c r="I961">
        <v>1689.73</v>
      </c>
      <c r="J961">
        <v>109</v>
      </c>
      <c r="K961">
        <v>13</v>
      </c>
      <c r="L961" t="s">
        <v>185</v>
      </c>
      <c r="M961">
        <v>356</v>
      </c>
      <c r="N961">
        <v>5</v>
      </c>
      <c r="O961">
        <v>14</v>
      </c>
      <c r="P961" t="s">
        <v>216</v>
      </c>
      <c r="Q961" t="s">
        <v>218</v>
      </c>
      <c r="R961">
        <f t="shared" si="60"/>
        <v>22</v>
      </c>
      <c r="S961">
        <f t="shared" si="57"/>
        <v>2.5327102803738319</v>
      </c>
      <c r="T961" t="str">
        <f t="shared" si="58"/>
        <v>Low Risk</v>
      </c>
      <c r="U961" t="str">
        <f t="shared" si="59"/>
        <v>Maintain Stock</v>
      </c>
    </row>
    <row r="962" spans="1:21" x14ac:dyDescent="0.25">
      <c r="A962">
        <v>961</v>
      </c>
      <c r="B962" t="s">
        <v>64</v>
      </c>
      <c r="C962" t="s">
        <v>117</v>
      </c>
      <c r="D962" t="s">
        <v>122</v>
      </c>
      <c r="E962">
        <v>417</v>
      </c>
      <c r="F962">
        <v>145</v>
      </c>
      <c r="G962">
        <v>142</v>
      </c>
      <c r="H962">
        <v>3148.65</v>
      </c>
      <c r="I962">
        <v>1757.33</v>
      </c>
      <c r="J962">
        <v>62</v>
      </c>
      <c r="K962">
        <v>6</v>
      </c>
      <c r="L962" t="s">
        <v>212</v>
      </c>
      <c r="M962">
        <v>126</v>
      </c>
      <c r="N962">
        <v>4</v>
      </c>
      <c r="O962">
        <v>32</v>
      </c>
      <c r="P962" t="s">
        <v>215</v>
      </c>
      <c r="Q962" t="s">
        <v>219</v>
      </c>
      <c r="R962">
        <f t="shared" si="60"/>
        <v>3</v>
      </c>
      <c r="S962">
        <f t="shared" ref="S962:S1001" si="61">F962/E962</f>
        <v>0.34772182254196643</v>
      </c>
      <c r="T962" t="str">
        <f t="shared" si="58"/>
        <v>High Risk</v>
      </c>
      <c r="U962" t="str">
        <f t="shared" si="59"/>
        <v>Apply Discount / Promotion</v>
      </c>
    </row>
    <row r="963" spans="1:21" x14ac:dyDescent="0.25">
      <c r="A963">
        <v>962</v>
      </c>
      <c r="B963" t="s">
        <v>86</v>
      </c>
      <c r="C963" t="s">
        <v>119</v>
      </c>
      <c r="D963" t="s">
        <v>124</v>
      </c>
      <c r="E963">
        <v>481</v>
      </c>
      <c r="F963">
        <v>73</v>
      </c>
      <c r="G963">
        <v>47</v>
      </c>
      <c r="H963">
        <v>1655.22</v>
      </c>
      <c r="I963">
        <v>1026.98</v>
      </c>
      <c r="J963">
        <v>127</v>
      </c>
      <c r="K963">
        <v>7</v>
      </c>
      <c r="L963" t="s">
        <v>175</v>
      </c>
      <c r="M963">
        <v>325</v>
      </c>
      <c r="N963">
        <v>2</v>
      </c>
      <c r="O963">
        <v>15</v>
      </c>
      <c r="P963" t="s">
        <v>215</v>
      </c>
      <c r="Q963" t="s">
        <v>218</v>
      </c>
      <c r="R963">
        <f t="shared" si="60"/>
        <v>26</v>
      </c>
      <c r="S963">
        <f t="shared" si="61"/>
        <v>0.15176715176715178</v>
      </c>
      <c r="T963" t="str">
        <f t="shared" ref="T963:T1001" si="62">IF(S963&lt;0.5,"High Risk",IF(S963&lt;1,"Medium Risk","Low Risk"))</f>
        <v>High Risk</v>
      </c>
      <c r="U963" t="str">
        <f t="shared" ref="U963:U1001" si="63">IF(T963="High Risk","Apply Discount / Promotion",
IF(T963="Medium Risk","Monitor Sales",
"Maintain Stock"))</f>
        <v>Apply Discount / Promotion</v>
      </c>
    </row>
    <row r="964" spans="1:21" x14ac:dyDescent="0.25">
      <c r="A964">
        <v>963</v>
      </c>
      <c r="B964" t="s">
        <v>23</v>
      </c>
      <c r="C964" t="s">
        <v>118</v>
      </c>
      <c r="D964" t="s">
        <v>123</v>
      </c>
      <c r="E964">
        <v>176</v>
      </c>
      <c r="F964">
        <v>361</v>
      </c>
      <c r="G964">
        <v>377</v>
      </c>
      <c r="H964">
        <v>1462.06</v>
      </c>
      <c r="I964">
        <v>857.73</v>
      </c>
      <c r="J964">
        <v>94</v>
      </c>
      <c r="K964">
        <v>5</v>
      </c>
      <c r="L964" t="s">
        <v>184</v>
      </c>
      <c r="M964">
        <v>282</v>
      </c>
      <c r="N964">
        <v>5</v>
      </c>
      <c r="O964">
        <v>7</v>
      </c>
      <c r="P964" t="s">
        <v>215</v>
      </c>
      <c r="Q964" t="s">
        <v>219</v>
      </c>
      <c r="R964">
        <f t="shared" si="60"/>
        <v>-16</v>
      </c>
      <c r="S964">
        <f t="shared" si="61"/>
        <v>2.0511363636363638</v>
      </c>
      <c r="T964" t="str">
        <f t="shared" si="62"/>
        <v>Low Risk</v>
      </c>
      <c r="U964" t="str">
        <f t="shared" si="63"/>
        <v>Maintain Stock</v>
      </c>
    </row>
    <row r="965" spans="1:21" x14ac:dyDescent="0.25">
      <c r="A965">
        <v>964</v>
      </c>
      <c r="B965" t="s">
        <v>102</v>
      </c>
      <c r="C965" t="s">
        <v>116</v>
      </c>
      <c r="D965" t="s">
        <v>122</v>
      </c>
      <c r="E965">
        <v>310</v>
      </c>
      <c r="F965">
        <v>388</v>
      </c>
      <c r="G965">
        <v>349</v>
      </c>
      <c r="H965">
        <v>4188.17</v>
      </c>
      <c r="I965">
        <v>2182.64</v>
      </c>
      <c r="J965">
        <v>124</v>
      </c>
      <c r="K965">
        <v>9</v>
      </c>
      <c r="L965" t="s">
        <v>186</v>
      </c>
      <c r="M965">
        <v>157</v>
      </c>
      <c r="N965">
        <v>4</v>
      </c>
      <c r="O965">
        <v>48</v>
      </c>
      <c r="P965" t="s">
        <v>215</v>
      </c>
      <c r="Q965" t="s">
        <v>219</v>
      </c>
      <c r="R965">
        <f t="shared" si="60"/>
        <v>39</v>
      </c>
      <c r="S965">
        <f t="shared" si="61"/>
        <v>1.2516129032258065</v>
      </c>
      <c r="T965" t="str">
        <f t="shared" si="62"/>
        <v>Low Risk</v>
      </c>
      <c r="U965" t="str">
        <f t="shared" si="63"/>
        <v>Maintain Stock</v>
      </c>
    </row>
    <row r="966" spans="1:21" x14ac:dyDescent="0.25">
      <c r="A966">
        <v>965</v>
      </c>
      <c r="B966" t="s">
        <v>47</v>
      </c>
      <c r="C966" t="s">
        <v>120</v>
      </c>
      <c r="D966" t="s">
        <v>122</v>
      </c>
      <c r="E966">
        <v>81</v>
      </c>
      <c r="F966">
        <v>170</v>
      </c>
      <c r="G966">
        <v>151</v>
      </c>
      <c r="H966">
        <v>1183.18</v>
      </c>
      <c r="I966">
        <v>781.99</v>
      </c>
      <c r="J966">
        <v>118</v>
      </c>
      <c r="K966">
        <v>12</v>
      </c>
      <c r="L966" t="s">
        <v>212</v>
      </c>
      <c r="M966">
        <v>172</v>
      </c>
      <c r="N966">
        <v>3</v>
      </c>
      <c r="O966">
        <v>3</v>
      </c>
      <c r="P966" t="s">
        <v>215</v>
      </c>
      <c r="Q966" t="s">
        <v>218</v>
      </c>
      <c r="R966">
        <f t="shared" si="60"/>
        <v>19</v>
      </c>
      <c r="S966">
        <f t="shared" si="61"/>
        <v>2.0987654320987654</v>
      </c>
      <c r="T966" t="str">
        <f t="shared" si="62"/>
        <v>Low Risk</v>
      </c>
      <c r="U966" t="str">
        <f t="shared" si="63"/>
        <v>Maintain Stock</v>
      </c>
    </row>
    <row r="967" spans="1:21" x14ac:dyDescent="0.25">
      <c r="A967">
        <v>966</v>
      </c>
      <c r="B967" t="s">
        <v>44</v>
      </c>
      <c r="C967" t="s">
        <v>120</v>
      </c>
      <c r="D967" t="s">
        <v>124</v>
      </c>
      <c r="E967">
        <v>482</v>
      </c>
      <c r="F967">
        <v>160</v>
      </c>
      <c r="G967">
        <v>180</v>
      </c>
      <c r="H967">
        <v>607.25</v>
      </c>
      <c r="I967">
        <v>475.8</v>
      </c>
      <c r="J967">
        <v>88</v>
      </c>
      <c r="K967">
        <v>3</v>
      </c>
      <c r="L967" t="s">
        <v>152</v>
      </c>
      <c r="M967">
        <v>58</v>
      </c>
      <c r="N967">
        <v>3</v>
      </c>
      <c r="O967">
        <v>4</v>
      </c>
      <c r="P967" t="s">
        <v>215</v>
      </c>
      <c r="Q967" t="s">
        <v>219</v>
      </c>
      <c r="R967">
        <f t="shared" si="60"/>
        <v>-20</v>
      </c>
      <c r="S967">
        <f t="shared" si="61"/>
        <v>0.33195020746887965</v>
      </c>
      <c r="T967" t="str">
        <f t="shared" si="62"/>
        <v>High Risk</v>
      </c>
      <c r="U967" t="str">
        <f t="shared" si="63"/>
        <v>Apply Discount / Promotion</v>
      </c>
    </row>
    <row r="968" spans="1:21" x14ac:dyDescent="0.25">
      <c r="A968">
        <v>967</v>
      </c>
      <c r="B968" t="s">
        <v>38</v>
      </c>
      <c r="C968" t="s">
        <v>118</v>
      </c>
      <c r="D968" t="s">
        <v>124</v>
      </c>
      <c r="E968">
        <v>420</v>
      </c>
      <c r="F968">
        <v>91</v>
      </c>
      <c r="G968">
        <v>120</v>
      </c>
      <c r="H968">
        <v>2390.86</v>
      </c>
      <c r="I968">
        <v>1839.56</v>
      </c>
      <c r="J968">
        <v>64</v>
      </c>
      <c r="K968">
        <v>9</v>
      </c>
      <c r="L968" t="s">
        <v>158</v>
      </c>
      <c r="M968">
        <v>117</v>
      </c>
      <c r="N968">
        <v>3</v>
      </c>
      <c r="O968">
        <v>48</v>
      </c>
      <c r="P968" t="s">
        <v>216</v>
      </c>
      <c r="Q968" t="s">
        <v>219</v>
      </c>
      <c r="R968">
        <f t="shared" si="60"/>
        <v>-29</v>
      </c>
      <c r="S968">
        <f t="shared" si="61"/>
        <v>0.21666666666666667</v>
      </c>
      <c r="T968" t="str">
        <f t="shared" si="62"/>
        <v>High Risk</v>
      </c>
      <c r="U968" t="str">
        <f t="shared" si="63"/>
        <v>Apply Discount / Promotion</v>
      </c>
    </row>
    <row r="969" spans="1:21" x14ac:dyDescent="0.25">
      <c r="A969">
        <v>968</v>
      </c>
      <c r="B969" t="s">
        <v>44</v>
      </c>
      <c r="C969" t="s">
        <v>120</v>
      </c>
      <c r="D969" t="s">
        <v>124</v>
      </c>
      <c r="E969">
        <v>487</v>
      </c>
      <c r="F969">
        <v>58</v>
      </c>
      <c r="G969">
        <v>30</v>
      </c>
      <c r="H969">
        <v>2698.29</v>
      </c>
      <c r="I969">
        <v>1704.67</v>
      </c>
      <c r="J969">
        <v>116</v>
      </c>
      <c r="K969">
        <v>15</v>
      </c>
      <c r="L969" t="s">
        <v>154</v>
      </c>
      <c r="M969">
        <v>292</v>
      </c>
      <c r="N969">
        <v>5</v>
      </c>
      <c r="O969">
        <v>11</v>
      </c>
      <c r="P969" t="s">
        <v>216</v>
      </c>
      <c r="Q969" t="s">
        <v>219</v>
      </c>
      <c r="R969">
        <f t="shared" si="60"/>
        <v>28</v>
      </c>
      <c r="S969">
        <f t="shared" si="61"/>
        <v>0.11909650924024641</v>
      </c>
      <c r="T969" t="str">
        <f t="shared" si="62"/>
        <v>High Risk</v>
      </c>
      <c r="U969" t="str">
        <f t="shared" si="63"/>
        <v>Apply Discount / Promotion</v>
      </c>
    </row>
    <row r="970" spans="1:21" x14ac:dyDescent="0.25">
      <c r="A970">
        <v>969</v>
      </c>
      <c r="B970" t="s">
        <v>52</v>
      </c>
      <c r="C970" t="s">
        <v>119</v>
      </c>
      <c r="D970" t="s">
        <v>123</v>
      </c>
      <c r="E970">
        <v>22</v>
      </c>
      <c r="F970">
        <v>0</v>
      </c>
      <c r="G970">
        <v>37</v>
      </c>
      <c r="H970">
        <v>1971.51</v>
      </c>
      <c r="I970">
        <v>1030.6300000000001</v>
      </c>
      <c r="J970">
        <v>116</v>
      </c>
      <c r="K970">
        <v>13</v>
      </c>
      <c r="L970" t="s">
        <v>185</v>
      </c>
      <c r="M970">
        <v>243</v>
      </c>
      <c r="N970">
        <v>2</v>
      </c>
      <c r="O970">
        <v>6</v>
      </c>
      <c r="P970" t="s">
        <v>216</v>
      </c>
      <c r="Q970" t="s">
        <v>217</v>
      </c>
      <c r="R970">
        <f t="shared" si="60"/>
        <v>-37</v>
      </c>
      <c r="S970">
        <f t="shared" si="61"/>
        <v>0</v>
      </c>
      <c r="T970" t="str">
        <f t="shared" si="62"/>
        <v>High Risk</v>
      </c>
      <c r="U970" t="str">
        <f t="shared" si="63"/>
        <v>Apply Discount / Promotion</v>
      </c>
    </row>
    <row r="971" spans="1:21" x14ac:dyDescent="0.25">
      <c r="A971">
        <v>970</v>
      </c>
      <c r="B971" t="s">
        <v>18</v>
      </c>
      <c r="C971" t="s">
        <v>119</v>
      </c>
      <c r="D971" t="s">
        <v>122</v>
      </c>
      <c r="E971">
        <v>37</v>
      </c>
      <c r="F971">
        <v>230</v>
      </c>
      <c r="G971">
        <v>213</v>
      </c>
      <c r="H971">
        <v>1601.13</v>
      </c>
      <c r="I971">
        <v>946.21</v>
      </c>
      <c r="J971">
        <v>71</v>
      </c>
      <c r="K971">
        <v>9</v>
      </c>
      <c r="L971" t="s">
        <v>214</v>
      </c>
      <c r="M971">
        <v>342</v>
      </c>
      <c r="N971">
        <v>3</v>
      </c>
      <c r="O971">
        <v>36</v>
      </c>
      <c r="P971" t="s">
        <v>215</v>
      </c>
      <c r="Q971" t="s">
        <v>217</v>
      </c>
      <c r="R971">
        <f t="shared" ref="R971:R1001" si="64">F971-G971</f>
        <v>17</v>
      </c>
      <c r="S971">
        <f t="shared" si="61"/>
        <v>6.2162162162162158</v>
      </c>
      <c r="T971" t="str">
        <f t="shared" si="62"/>
        <v>Low Risk</v>
      </c>
      <c r="U971" t="str">
        <f t="shared" si="63"/>
        <v>Maintain Stock</v>
      </c>
    </row>
    <row r="972" spans="1:21" x14ac:dyDescent="0.25">
      <c r="A972">
        <v>971</v>
      </c>
      <c r="B972" t="s">
        <v>60</v>
      </c>
      <c r="C972" t="s">
        <v>118</v>
      </c>
      <c r="D972" t="s">
        <v>123</v>
      </c>
      <c r="E972">
        <v>495</v>
      </c>
      <c r="F972">
        <v>170</v>
      </c>
      <c r="G972">
        <v>205</v>
      </c>
      <c r="H972">
        <v>991.92</v>
      </c>
      <c r="I972">
        <v>518.39</v>
      </c>
      <c r="J972">
        <v>139</v>
      </c>
      <c r="K972">
        <v>9</v>
      </c>
      <c r="L972" t="s">
        <v>181</v>
      </c>
      <c r="M972">
        <v>49</v>
      </c>
      <c r="N972">
        <v>4</v>
      </c>
      <c r="O972">
        <v>50</v>
      </c>
      <c r="P972" t="s">
        <v>216</v>
      </c>
      <c r="Q972" t="s">
        <v>219</v>
      </c>
      <c r="R972">
        <f t="shared" si="64"/>
        <v>-35</v>
      </c>
      <c r="S972">
        <f t="shared" si="61"/>
        <v>0.34343434343434343</v>
      </c>
      <c r="T972" t="str">
        <f t="shared" si="62"/>
        <v>High Risk</v>
      </c>
      <c r="U972" t="str">
        <f t="shared" si="63"/>
        <v>Apply Discount / Promotion</v>
      </c>
    </row>
    <row r="973" spans="1:21" x14ac:dyDescent="0.25">
      <c r="A973">
        <v>972</v>
      </c>
      <c r="B973" t="s">
        <v>36</v>
      </c>
      <c r="C973" t="s">
        <v>118</v>
      </c>
      <c r="D973" t="s">
        <v>122</v>
      </c>
      <c r="E973">
        <v>496</v>
      </c>
      <c r="F973">
        <v>98</v>
      </c>
      <c r="G973">
        <v>77</v>
      </c>
      <c r="H973">
        <v>2986.05</v>
      </c>
      <c r="I973">
        <v>1667.78</v>
      </c>
      <c r="J973">
        <v>144</v>
      </c>
      <c r="K973">
        <v>10</v>
      </c>
      <c r="L973" t="s">
        <v>146</v>
      </c>
      <c r="M973">
        <v>267</v>
      </c>
      <c r="N973">
        <v>1</v>
      </c>
      <c r="O973">
        <v>20</v>
      </c>
      <c r="P973" t="s">
        <v>215</v>
      </c>
      <c r="Q973" t="s">
        <v>218</v>
      </c>
      <c r="R973">
        <f t="shared" si="64"/>
        <v>21</v>
      </c>
      <c r="S973">
        <f t="shared" si="61"/>
        <v>0.19758064516129031</v>
      </c>
      <c r="T973" t="str">
        <f t="shared" si="62"/>
        <v>High Risk</v>
      </c>
      <c r="U973" t="str">
        <f t="shared" si="63"/>
        <v>Apply Discount / Promotion</v>
      </c>
    </row>
    <row r="974" spans="1:21" x14ac:dyDescent="0.25">
      <c r="A974">
        <v>973</v>
      </c>
      <c r="B974" t="s">
        <v>27</v>
      </c>
      <c r="C974" t="s">
        <v>118</v>
      </c>
      <c r="D974" t="s">
        <v>123</v>
      </c>
      <c r="E974">
        <v>362</v>
      </c>
      <c r="F974">
        <v>303</v>
      </c>
      <c r="G974">
        <v>341</v>
      </c>
      <c r="H974">
        <v>1203.6199999999999</v>
      </c>
      <c r="I974">
        <v>771.98</v>
      </c>
      <c r="J974">
        <v>34</v>
      </c>
      <c r="K974">
        <v>5</v>
      </c>
      <c r="L974" t="s">
        <v>201</v>
      </c>
      <c r="M974">
        <v>175</v>
      </c>
      <c r="N974">
        <v>4</v>
      </c>
      <c r="O974">
        <v>2</v>
      </c>
      <c r="P974" t="s">
        <v>216</v>
      </c>
      <c r="Q974" t="s">
        <v>217</v>
      </c>
      <c r="R974">
        <f t="shared" si="64"/>
        <v>-38</v>
      </c>
      <c r="S974">
        <f t="shared" si="61"/>
        <v>0.83701657458563539</v>
      </c>
      <c r="T974" t="str">
        <f t="shared" si="62"/>
        <v>Medium Risk</v>
      </c>
      <c r="U974" t="str">
        <f t="shared" si="63"/>
        <v>Monitor Sales</v>
      </c>
    </row>
    <row r="975" spans="1:21" x14ac:dyDescent="0.25">
      <c r="A975">
        <v>974</v>
      </c>
      <c r="B975" t="s">
        <v>72</v>
      </c>
      <c r="C975" t="s">
        <v>117</v>
      </c>
      <c r="D975" t="s">
        <v>121</v>
      </c>
      <c r="E975">
        <v>483</v>
      </c>
      <c r="F975">
        <v>262</v>
      </c>
      <c r="G975">
        <v>250</v>
      </c>
      <c r="H975">
        <v>3967.43</v>
      </c>
      <c r="I975">
        <v>2170.35</v>
      </c>
      <c r="J975">
        <v>124</v>
      </c>
      <c r="K975">
        <v>9</v>
      </c>
      <c r="L975" t="s">
        <v>206</v>
      </c>
      <c r="M975">
        <v>334</v>
      </c>
      <c r="N975">
        <v>3</v>
      </c>
      <c r="O975">
        <v>23</v>
      </c>
      <c r="P975" t="s">
        <v>216</v>
      </c>
      <c r="Q975" t="s">
        <v>218</v>
      </c>
      <c r="R975">
        <f t="shared" si="64"/>
        <v>12</v>
      </c>
      <c r="S975">
        <f t="shared" si="61"/>
        <v>0.54244306418219457</v>
      </c>
      <c r="T975" t="str">
        <f t="shared" si="62"/>
        <v>Medium Risk</v>
      </c>
      <c r="U975" t="str">
        <f t="shared" si="63"/>
        <v>Monitor Sales</v>
      </c>
    </row>
    <row r="976" spans="1:21" x14ac:dyDescent="0.25">
      <c r="A976">
        <v>975</v>
      </c>
      <c r="B976" t="s">
        <v>102</v>
      </c>
      <c r="C976" t="s">
        <v>117</v>
      </c>
      <c r="D976" t="s">
        <v>122</v>
      </c>
      <c r="E976">
        <v>271</v>
      </c>
      <c r="F976">
        <v>189</v>
      </c>
      <c r="G976">
        <v>193</v>
      </c>
      <c r="H976">
        <v>1674.13</v>
      </c>
      <c r="I976">
        <v>939.51</v>
      </c>
      <c r="J976">
        <v>131</v>
      </c>
      <c r="K976">
        <v>7</v>
      </c>
      <c r="L976" t="s">
        <v>149</v>
      </c>
      <c r="M976">
        <v>219</v>
      </c>
      <c r="N976">
        <v>2</v>
      </c>
      <c r="O976">
        <v>22</v>
      </c>
      <c r="P976" t="s">
        <v>216</v>
      </c>
      <c r="Q976" t="s">
        <v>217</v>
      </c>
      <c r="R976">
        <f t="shared" si="64"/>
        <v>-4</v>
      </c>
      <c r="S976">
        <f t="shared" si="61"/>
        <v>0.69741697416974169</v>
      </c>
      <c r="T976" t="str">
        <f t="shared" si="62"/>
        <v>Medium Risk</v>
      </c>
      <c r="U976" t="str">
        <f t="shared" si="63"/>
        <v>Monitor Sales</v>
      </c>
    </row>
    <row r="977" spans="1:21" x14ac:dyDescent="0.25">
      <c r="A977">
        <v>976</v>
      </c>
      <c r="B977" t="s">
        <v>101</v>
      </c>
      <c r="C977" t="s">
        <v>120</v>
      </c>
      <c r="D977" t="s">
        <v>123</v>
      </c>
      <c r="E977">
        <v>320</v>
      </c>
      <c r="F977">
        <v>404</v>
      </c>
      <c r="G977">
        <v>375</v>
      </c>
      <c r="H977">
        <v>3890.79</v>
      </c>
      <c r="I977">
        <v>2785.54</v>
      </c>
      <c r="J977">
        <v>83</v>
      </c>
      <c r="K977">
        <v>1</v>
      </c>
      <c r="L977" t="s">
        <v>167</v>
      </c>
      <c r="M977">
        <v>299</v>
      </c>
      <c r="N977">
        <v>2</v>
      </c>
      <c r="O977">
        <v>18</v>
      </c>
      <c r="P977" t="s">
        <v>216</v>
      </c>
      <c r="Q977" t="s">
        <v>218</v>
      </c>
      <c r="R977">
        <f t="shared" si="64"/>
        <v>29</v>
      </c>
      <c r="S977">
        <f t="shared" si="61"/>
        <v>1.2625</v>
      </c>
      <c r="T977" t="str">
        <f t="shared" si="62"/>
        <v>Low Risk</v>
      </c>
      <c r="U977" t="str">
        <f t="shared" si="63"/>
        <v>Maintain Stock</v>
      </c>
    </row>
    <row r="978" spans="1:21" x14ac:dyDescent="0.25">
      <c r="A978">
        <v>977</v>
      </c>
      <c r="B978" t="s">
        <v>59</v>
      </c>
      <c r="C978" t="s">
        <v>120</v>
      </c>
      <c r="D978" t="s">
        <v>122</v>
      </c>
      <c r="E978">
        <v>94</v>
      </c>
      <c r="F978">
        <v>296</v>
      </c>
      <c r="G978">
        <v>291</v>
      </c>
      <c r="H978">
        <v>3275.89</v>
      </c>
      <c r="I978">
        <v>2337.7600000000002</v>
      </c>
      <c r="J978">
        <v>121</v>
      </c>
      <c r="K978">
        <v>11</v>
      </c>
      <c r="L978" t="s">
        <v>155</v>
      </c>
      <c r="M978">
        <v>297</v>
      </c>
      <c r="N978">
        <v>1</v>
      </c>
      <c r="O978">
        <v>11</v>
      </c>
      <c r="P978" t="s">
        <v>216</v>
      </c>
      <c r="Q978" t="s">
        <v>219</v>
      </c>
      <c r="R978">
        <f t="shared" si="64"/>
        <v>5</v>
      </c>
      <c r="S978">
        <f t="shared" si="61"/>
        <v>3.1489361702127661</v>
      </c>
      <c r="T978" t="str">
        <f t="shared" si="62"/>
        <v>Low Risk</v>
      </c>
      <c r="U978" t="str">
        <f t="shared" si="63"/>
        <v>Maintain Stock</v>
      </c>
    </row>
    <row r="979" spans="1:21" x14ac:dyDescent="0.25">
      <c r="A979">
        <v>978</v>
      </c>
      <c r="B979" t="s">
        <v>113</v>
      </c>
      <c r="C979" t="s">
        <v>118</v>
      </c>
      <c r="D979" t="s">
        <v>123</v>
      </c>
      <c r="E979">
        <v>332</v>
      </c>
      <c r="F979">
        <v>146</v>
      </c>
      <c r="G979">
        <v>178</v>
      </c>
      <c r="H979">
        <v>398.34</v>
      </c>
      <c r="I979">
        <v>235.78</v>
      </c>
      <c r="J979">
        <v>143</v>
      </c>
      <c r="K979">
        <v>9</v>
      </c>
      <c r="L979" t="s">
        <v>187</v>
      </c>
      <c r="M979">
        <v>117</v>
      </c>
      <c r="N979">
        <v>1</v>
      </c>
      <c r="O979">
        <v>22</v>
      </c>
      <c r="P979" t="s">
        <v>215</v>
      </c>
      <c r="Q979" t="s">
        <v>217</v>
      </c>
      <c r="R979">
        <f t="shared" si="64"/>
        <v>-32</v>
      </c>
      <c r="S979">
        <f t="shared" si="61"/>
        <v>0.43975903614457829</v>
      </c>
      <c r="T979" t="str">
        <f t="shared" si="62"/>
        <v>High Risk</v>
      </c>
      <c r="U979" t="str">
        <f t="shared" si="63"/>
        <v>Apply Discount / Promotion</v>
      </c>
    </row>
    <row r="980" spans="1:21" x14ac:dyDescent="0.25">
      <c r="A980">
        <v>979</v>
      </c>
      <c r="B980" t="s">
        <v>36</v>
      </c>
      <c r="C980" t="s">
        <v>119</v>
      </c>
      <c r="D980" t="s">
        <v>123</v>
      </c>
      <c r="E980">
        <v>467</v>
      </c>
      <c r="F980">
        <v>82</v>
      </c>
      <c r="G980">
        <v>63</v>
      </c>
      <c r="H980">
        <v>3735.8</v>
      </c>
      <c r="I980">
        <v>2660.44</v>
      </c>
      <c r="J980">
        <v>64</v>
      </c>
      <c r="K980">
        <v>12</v>
      </c>
      <c r="L980" t="s">
        <v>214</v>
      </c>
      <c r="M980">
        <v>358</v>
      </c>
      <c r="N980">
        <v>3</v>
      </c>
      <c r="O980">
        <v>30</v>
      </c>
      <c r="P980" t="s">
        <v>216</v>
      </c>
      <c r="Q980" t="s">
        <v>219</v>
      </c>
      <c r="R980">
        <f t="shared" si="64"/>
        <v>19</v>
      </c>
      <c r="S980">
        <f t="shared" si="61"/>
        <v>0.17558886509635974</v>
      </c>
      <c r="T980" t="str">
        <f t="shared" si="62"/>
        <v>High Risk</v>
      </c>
      <c r="U980" t="str">
        <f t="shared" si="63"/>
        <v>Apply Discount / Promotion</v>
      </c>
    </row>
    <row r="981" spans="1:21" x14ac:dyDescent="0.25">
      <c r="A981">
        <v>980</v>
      </c>
      <c r="B981" t="s">
        <v>72</v>
      </c>
      <c r="C981" t="s">
        <v>119</v>
      </c>
      <c r="D981" t="s">
        <v>123</v>
      </c>
      <c r="E981">
        <v>300</v>
      </c>
      <c r="F981">
        <v>183</v>
      </c>
      <c r="G981">
        <v>194</v>
      </c>
      <c r="H981">
        <v>4886.2700000000004</v>
      </c>
      <c r="I981">
        <v>3344.42</v>
      </c>
      <c r="J981">
        <v>55</v>
      </c>
      <c r="K981">
        <v>9</v>
      </c>
      <c r="L981" t="s">
        <v>206</v>
      </c>
      <c r="M981">
        <v>59</v>
      </c>
      <c r="N981">
        <v>1</v>
      </c>
      <c r="O981">
        <v>26</v>
      </c>
      <c r="P981" t="s">
        <v>216</v>
      </c>
      <c r="Q981" t="s">
        <v>219</v>
      </c>
      <c r="R981">
        <f t="shared" si="64"/>
        <v>-11</v>
      </c>
      <c r="S981">
        <f t="shared" si="61"/>
        <v>0.61</v>
      </c>
      <c r="T981" t="str">
        <f t="shared" si="62"/>
        <v>Medium Risk</v>
      </c>
      <c r="U981" t="str">
        <f t="shared" si="63"/>
        <v>Monitor Sales</v>
      </c>
    </row>
    <row r="982" spans="1:21" x14ac:dyDescent="0.25">
      <c r="A982">
        <v>981</v>
      </c>
      <c r="B982" t="s">
        <v>98</v>
      </c>
      <c r="C982" t="s">
        <v>119</v>
      </c>
      <c r="D982" t="s">
        <v>122</v>
      </c>
      <c r="E982">
        <v>341</v>
      </c>
      <c r="F982">
        <v>132</v>
      </c>
      <c r="G982">
        <v>138</v>
      </c>
      <c r="H982">
        <v>2468.0500000000002</v>
      </c>
      <c r="I982">
        <v>1677.85</v>
      </c>
      <c r="J982">
        <v>102</v>
      </c>
      <c r="K982">
        <v>9</v>
      </c>
      <c r="L982" t="s">
        <v>150</v>
      </c>
      <c r="M982">
        <v>176</v>
      </c>
      <c r="N982">
        <v>2</v>
      </c>
      <c r="O982">
        <v>16</v>
      </c>
      <c r="P982" t="s">
        <v>215</v>
      </c>
      <c r="Q982" t="s">
        <v>218</v>
      </c>
      <c r="R982">
        <f t="shared" si="64"/>
        <v>-6</v>
      </c>
      <c r="S982">
        <f t="shared" si="61"/>
        <v>0.38709677419354838</v>
      </c>
      <c r="T982" t="str">
        <f t="shared" si="62"/>
        <v>High Risk</v>
      </c>
      <c r="U982" t="str">
        <f t="shared" si="63"/>
        <v>Apply Discount / Promotion</v>
      </c>
    </row>
    <row r="983" spans="1:21" x14ac:dyDescent="0.25">
      <c r="A983">
        <v>982</v>
      </c>
      <c r="B983" t="s">
        <v>108</v>
      </c>
      <c r="C983" t="s">
        <v>119</v>
      </c>
      <c r="D983" t="s">
        <v>124</v>
      </c>
      <c r="E983">
        <v>419</v>
      </c>
      <c r="F983">
        <v>249</v>
      </c>
      <c r="G983">
        <v>213</v>
      </c>
      <c r="H983">
        <v>4887.43</v>
      </c>
      <c r="I983">
        <v>3821.44</v>
      </c>
      <c r="J983">
        <v>120</v>
      </c>
      <c r="K983">
        <v>2</v>
      </c>
      <c r="L983" t="s">
        <v>191</v>
      </c>
      <c r="M983">
        <v>363</v>
      </c>
      <c r="N983">
        <v>2</v>
      </c>
      <c r="O983">
        <v>38</v>
      </c>
      <c r="P983" t="s">
        <v>216</v>
      </c>
      <c r="Q983" t="s">
        <v>218</v>
      </c>
      <c r="R983">
        <f t="shared" si="64"/>
        <v>36</v>
      </c>
      <c r="S983">
        <f t="shared" si="61"/>
        <v>0.59427207637231505</v>
      </c>
      <c r="T983" t="str">
        <f t="shared" si="62"/>
        <v>Medium Risk</v>
      </c>
      <c r="U983" t="str">
        <f t="shared" si="63"/>
        <v>Monitor Sales</v>
      </c>
    </row>
    <row r="984" spans="1:21" x14ac:dyDescent="0.25">
      <c r="A984">
        <v>983</v>
      </c>
      <c r="B984" t="s">
        <v>71</v>
      </c>
      <c r="C984" t="s">
        <v>120</v>
      </c>
      <c r="D984" t="s">
        <v>122</v>
      </c>
      <c r="E984">
        <v>112</v>
      </c>
      <c r="F984">
        <v>192</v>
      </c>
      <c r="G984">
        <v>166</v>
      </c>
      <c r="H984">
        <v>3915.4</v>
      </c>
      <c r="I984">
        <v>2453.13</v>
      </c>
      <c r="J984">
        <v>96</v>
      </c>
      <c r="K984">
        <v>12</v>
      </c>
      <c r="L984" t="s">
        <v>189</v>
      </c>
      <c r="M984">
        <v>35</v>
      </c>
      <c r="N984">
        <v>4</v>
      </c>
      <c r="O984">
        <v>26</v>
      </c>
      <c r="P984" t="s">
        <v>216</v>
      </c>
      <c r="Q984" t="s">
        <v>217</v>
      </c>
      <c r="R984">
        <f t="shared" si="64"/>
        <v>26</v>
      </c>
      <c r="S984">
        <f t="shared" si="61"/>
        <v>1.7142857142857142</v>
      </c>
      <c r="T984" t="str">
        <f t="shared" si="62"/>
        <v>Low Risk</v>
      </c>
      <c r="U984" t="str">
        <f t="shared" si="63"/>
        <v>Maintain Stock</v>
      </c>
    </row>
    <row r="985" spans="1:21" x14ac:dyDescent="0.25">
      <c r="A985">
        <v>984</v>
      </c>
      <c r="B985" t="s">
        <v>26</v>
      </c>
      <c r="C985" t="s">
        <v>120</v>
      </c>
      <c r="D985" t="s">
        <v>122</v>
      </c>
      <c r="E985">
        <v>201</v>
      </c>
      <c r="F985">
        <v>241</v>
      </c>
      <c r="G985">
        <v>237</v>
      </c>
      <c r="H985">
        <v>2570.02</v>
      </c>
      <c r="I985">
        <v>1844.46</v>
      </c>
      <c r="J985">
        <v>109</v>
      </c>
      <c r="K985">
        <v>13</v>
      </c>
      <c r="L985" t="s">
        <v>204</v>
      </c>
      <c r="M985">
        <v>305</v>
      </c>
      <c r="N985">
        <v>1</v>
      </c>
      <c r="O985">
        <v>24</v>
      </c>
      <c r="P985" t="s">
        <v>216</v>
      </c>
      <c r="Q985" t="s">
        <v>218</v>
      </c>
      <c r="R985">
        <f t="shared" si="64"/>
        <v>4</v>
      </c>
      <c r="S985">
        <f t="shared" si="61"/>
        <v>1.1990049751243781</v>
      </c>
      <c r="T985" t="str">
        <f t="shared" si="62"/>
        <v>Low Risk</v>
      </c>
      <c r="U985" t="str">
        <f t="shared" si="63"/>
        <v>Maintain Stock</v>
      </c>
    </row>
    <row r="986" spans="1:21" x14ac:dyDescent="0.25">
      <c r="A986">
        <v>985</v>
      </c>
      <c r="B986" t="s">
        <v>17</v>
      </c>
      <c r="C986" t="s">
        <v>116</v>
      </c>
      <c r="D986" t="s">
        <v>123</v>
      </c>
      <c r="E986">
        <v>461</v>
      </c>
      <c r="F986">
        <v>214</v>
      </c>
      <c r="G986">
        <v>233</v>
      </c>
      <c r="H986">
        <v>991.89</v>
      </c>
      <c r="I986">
        <v>510.88</v>
      </c>
      <c r="J986">
        <v>75</v>
      </c>
      <c r="K986">
        <v>4</v>
      </c>
      <c r="L986" t="s">
        <v>213</v>
      </c>
      <c r="M986">
        <v>123</v>
      </c>
      <c r="N986">
        <v>1</v>
      </c>
      <c r="O986">
        <v>6</v>
      </c>
      <c r="P986" t="s">
        <v>216</v>
      </c>
      <c r="Q986" t="s">
        <v>217</v>
      </c>
      <c r="R986">
        <f t="shared" si="64"/>
        <v>-19</v>
      </c>
      <c r="S986">
        <f t="shared" si="61"/>
        <v>0.46420824295010849</v>
      </c>
      <c r="T986" t="str">
        <f t="shared" si="62"/>
        <v>High Risk</v>
      </c>
      <c r="U986" t="str">
        <f t="shared" si="63"/>
        <v>Apply Discount / Promotion</v>
      </c>
    </row>
    <row r="987" spans="1:21" x14ac:dyDescent="0.25">
      <c r="A987">
        <v>986</v>
      </c>
      <c r="B987" t="s">
        <v>68</v>
      </c>
      <c r="C987" t="s">
        <v>116</v>
      </c>
      <c r="D987" t="s">
        <v>121</v>
      </c>
      <c r="E987">
        <v>349</v>
      </c>
      <c r="F987">
        <v>308</v>
      </c>
      <c r="G987">
        <v>287</v>
      </c>
      <c r="H987">
        <v>2652.85</v>
      </c>
      <c r="I987">
        <v>1784.54</v>
      </c>
      <c r="J987">
        <v>69</v>
      </c>
      <c r="K987">
        <v>4</v>
      </c>
      <c r="L987" t="s">
        <v>203</v>
      </c>
      <c r="M987">
        <v>175</v>
      </c>
      <c r="N987">
        <v>5</v>
      </c>
      <c r="O987">
        <v>35</v>
      </c>
      <c r="P987" t="s">
        <v>216</v>
      </c>
      <c r="Q987" t="s">
        <v>217</v>
      </c>
      <c r="R987">
        <f t="shared" si="64"/>
        <v>21</v>
      </c>
      <c r="S987">
        <f t="shared" si="61"/>
        <v>0.88252148997134672</v>
      </c>
      <c r="T987" t="str">
        <f t="shared" si="62"/>
        <v>Medium Risk</v>
      </c>
      <c r="U987" t="str">
        <f t="shared" si="63"/>
        <v>Monitor Sales</v>
      </c>
    </row>
    <row r="988" spans="1:21" x14ac:dyDescent="0.25">
      <c r="A988">
        <v>987</v>
      </c>
      <c r="B988" t="s">
        <v>78</v>
      </c>
      <c r="C988" t="s">
        <v>120</v>
      </c>
      <c r="D988" t="s">
        <v>122</v>
      </c>
      <c r="E988">
        <v>73</v>
      </c>
      <c r="F988">
        <v>188</v>
      </c>
      <c r="G988">
        <v>179</v>
      </c>
      <c r="H988">
        <v>4456.41</v>
      </c>
      <c r="I988">
        <v>3553.43</v>
      </c>
      <c r="J988">
        <v>30</v>
      </c>
      <c r="K988">
        <v>10</v>
      </c>
      <c r="L988" t="s">
        <v>194</v>
      </c>
      <c r="M988">
        <v>356</v>
      </c>
      <c r="N988">
        <v>2</v>
      </c>
      <c r="O988">
        <v>14</v>
      </c>
      <c r="P988" t="s">
        <v>215</v>
      </c>
      <c r="Q988" t="s">
        <v>219</v>
      </c>
      <c r="R988">
        <f t="shared" si="64"/>
        <v>9</v>
      </c>
      <c r="S988">
        <f t="shared" si="61"/>
        <v>2.5753424657534247</v>
      </c>
      <c r="T988" t="str">
        <f t="shared" si="62"/>
        <v>Low Risk</v>
      </c>
      <c r="U988" t="str">
        <f t="shared" si="63"/>
        <v>Maintain Stock</v>
      </c>
    </row>
    <row r="989" spans="1:21" x14ac:dyDescent="0.25">
      <c r="A989">
        <v>988</v>
      </c>
      <c r="B989" t="s">
        <v>112</v>
      </c>
      <c r="C989" t="s">
        <v>120</v>
      </c>
      <c r="D989" t="s">
        <v>124</v>
      </c>
      <c r="E989">
        <v>410</v>
      </c>
      <c r="F989">
        <v>272</v>
      </c>
      <c r="G989">
        <v>237</v>
      </c>
      <c r="H989">
        <v>3363.79</v>
      </c>
      <c r="I989">
        <v>1963.44</v>
      </c>
      <c r="J989">
        <v>149</v>
      </c>
      <c r="K989">
        <v>8</v>
      </c>
      <c r="L989" t="s">
        <v>166</v>
      </c>
      <c r="M989">
        <v>315</v>
      </c>
      <c r="N989">
        <v>2</v>
      </c>
      <c r="O989">
        <v>23</v>
      </c>
      <c r="P989" t="s">
        <v>216</v>
      </c>
      <c r="Q989" t="s">
        <v>219</v>
      </c>
      <c r="R989">
        <f t="shared" si="64"/>
        <v>35</v>
      </c>
      <c r="S989">
        <f t="shared" si="61"/>
        <v>0.6634146341463415</v>
      </c>
      <c r="T989" t="str">
        <f t="shared" si="62"/>
        <v>Medium Risk</v>
      </c>
      <c r="U989" t="str">
        <f t="shared" si="63"/>
        <v>Monitor Sales</v>
      </c>
    </row>
    <row r="990" spans="1:21" x14ac:dyDescent="0.25">
      <c r="A990">
        <v>989</v>
      </c>
      <c r="B990" t="s">
        <v>56</v>
      </c>
      <c r="C990" t="s">
        <v>116</v>
      </c>
      <c r="D990" t="s">
        <v>124</v>
      </c>
      <c r="E990">
        <v>137</v>
      </c>
      <c r="F990">
        <v>167</v>
      </c>
      <c r="G990">
        <v>139</v>
      </c>
      <c r="H990">
        <v>1341.17</v>
      </c>
      <c r="I990">
        <v>1021.87</v>
      </c>
      <c r="J990">
        <v>96</v>
      </c>
      <c r="K990">
        <v>8</v>
      </c>
      <c r="L990" t="s">
        <v>184</v>
      </c>
      <c r="M990">
        <v>237</v>
      </c>
      <c r="N990">
        <v>1</v>
      </c>
      <c r="O990">
        <v>23</v>
      </c>
      <c r="P990" t="s">
        <v>216</v>
      </c>
      <c r="Q990" t="s">
        <v>217</v>
      </c>
      <c r="R990">
        <f t="shared" si="64"/>
        <v>28</v>
      </c>
      <c r="S990">
        <f t="shared" si="61"/>
        <v>1.218978102189781</v>
      </c>
      <c r="T990" t="str">
        <f t="shared" si="62"/>
        <v>Low Risk</v>
      </c>
      <c r="U990" t="str">
        <f t="shared" si="63"/>
        <v>Maintain Stock</v>
      </c>
    </row>
    <row r="991" spans="1:21" x14ac:dyDescent="0.25">
      <c r="A991">
        <v>990</v>
      </c>
      <c r="B991" t="s">
        <v>71</v>
      </c>
      <c r="C991" t="s">
        <v>116</v>
      </c>
      <c r="D991" t="s">
        <v>123</v>
      </c>
      <c r="E991">
        <v>443</v>
      </c>
      <c r="F991">
        <v>299</v>
      </c>
      <c r="G991">
        <v>328</v>
      </c>
      <c r="H991">
        <v>3332.8</v>
      </c>
      <c r="I991">
        <v>1727.2</v>
      </c>
      <c r="J991">
        <v>143</v>
      </c>
      <c r="K991">
        <v>5</v>
      </c>
      <c r="L991" t="s">
        <v>138</v>
      </c>
      <c r="M991">
        <v>269</v>
      </c>
      <c r="N991">
        <v>1</v>
      </c>
      <c r="O991">
        <v>47</v>
      </c>
      <c r="P991" t="s">
        <v>215</v>
      </c>
      <c r="Q991" t="s">
        <v>217</v>
      </c>
      <c r="R991">
        <f t="shared" si="64"/>
        <v>-29</v>
      </c>
      <c r="S991">
        <f t="shared" si="61"/>
        <v>0.67494356659142207</v>
      </c>
      <c r="T991" t="str">
        <f t="shared" si="62"/>
        <v>Medium Risk</v>
      </c>
      <c r="U991" t="str">
        <f t="shared" si="63"/>
        <v>Monitor Sales</v>
      </c>
    </row>
    <row r="992" spans="1:21" x14ac:dyDescent="0.25">
      <c r="A992">
        <v>991</v>
      </c>
      <c r="B992" t="s">
        <v>91</v>
      </c>
      <c r="C992" t="s">
        <v>116</v>
      </c>
      <c r="D992" t="s">
        <v>122</v>
      </c>
      <c r="E992">
        <v>264</v>
      </c>
      <c r="F992">
        <v>119</v>
      </c>
      <c r="G992">
        <v>76</v>
      </c>
      <c r="H992">
        <v>113.49</v>
      </c>
      <c r="I992">
        <v>82.84</v>
      </c>
      <c r="J992">
        <v>125</v>
      </c>
      <c r="K992">
        <v>9</v>
      </c>
      <c r="L992" t="s">
        <v>165</v>
      </c>
      <c r="M992">
        <v>345</v>
      </c>
      <c r="N992">
        <v>2</v>
      </c>
      <c r="O992">
        <v>38</v>
      </c>
      <c r="P992" t="s">
        <v>216</v>
      </c>
      <c r="Q992" t="s">
        <v>217</v>
      </c>
      <c r="R992">
        <f t="shared" si="64"/>
        <v>43</v>
      </c>
      <c r="S992">
        <f t="shared" si="61"/>
        <v>0.45075757575757575</v>
      </c>
      <c r="T992" t="str">
        <f t="shared" si="62"/>
        <v>High Risk</v>
      </c>
      <c r="U992" t="str">
        <f t="shared" si="63"/>
        <v>Apply Discount / Promotion</v>
      </c>
    </row>
    <row r="993" spans="1:21" x14ac:dyDescent="0.25">
      <c r="A993">
        <v>992</v>
      </c>
      <c r="B993" t="s">
        <v>54</v>
      </c>
      <c r="C993" t="s">
        <v>116</v>
      </c>
      <c r="D993" t="s">
        <v>123</v>
      </c>
      <c r="E993">
        <v>339</v>
      </c>
      <c r="F993">
        <v>275</v>
      </c>
      <c r="G993">
        <v>280</v>
      </c>
      <c r="H993">
        <v>719.67</v>
      </c>
      <c r="I993">
        <v>373.17</v>
      </c>
      <c r="J993">
        <v>149</v>
      </c>
      <c r="K993">
        <v>2</v>
      </c>
      <c r="L993" t="s">
        <v>168</v>
      </c>
      <c r="M993">
        <v>281</v>
      </c>
      <c r="N993">
        <v>5</v>
      </c>
      <c r="O993">
        <v>50</v>
      </c>
      <c r="P993" t="s">
        <v>215</v>
      </c>
      <c r="Q993" t="s">
        <v>218</v>
      </c>
      <c r="R993">
        <f t="shared" si="64"/>
        <v>-5</v>
      </c>
      <c r="S993">
        <f t="shared" si="61"/>
        <v>0.8112094395280236</v>
      </c>
      <c r="T993" t="str">
        <f t="shared" si="62"/>
        <v>Medium Risk</v>
      </c>
      <c r="U993" t="str">
        <f t="shared" si="63"/>
        <v>Monitor Sales</v>
      </c>
    </row>
    <row r="994" spans="1:21" x14ac:dyDescent="0.25">
      <c r="A994">
        <v>993</v>
      </c>
      <c r="B994" t="s">
        <v>37</v>
      </c>
      <c r="C994" t="s">
        <v>119</v>
      </c>
      <c r="D994" t="s">
        <v>123</v>
      </c>
      <c r="E994">
        <v>115</v>
      </c>
      <c r="F994">
        <v>91</v>
      </c>
      <c r="G994">
        <v>64</v>
      </c>
      <c r="H994">
        <v>1933.4</v>
      </c>
      <c r="I994">
        <v>1382.5</v>
      </c>
      <c r="J994">
        <v>52</v>
      </c>
      <c r="K994">
        <v>13</v>
      </c>
      <c r="L994" t="s">
        <v>129</v>
      </c>
      <c r="M994">
        <v>360</v>
      </c>
      <c r="N994">
        <v>3</v>
      </c>
      <c r="O994">
        <v>44</v>
      </c>
      <c r="P994" t="s">
        <v>215</v>
      </c>
      <c r="Q994" t="s">
        <v>218</v>
      </c>
      <c r="R994">
        <f t="shared" si="64"/>
        <v>27</v>
      </c>
      <c r="S994">
        <f t="shared" si="61"/>
        <v>0.79130434782608694</v>
      </c>
      <c r="T994" t="str">
        <f t="shared" si="62"/>
        <v>Medium Risk</v>
      </c>
      <c r="U994" t="str">
        <f t="shared" si="63"/>
        <v>Monitor Sales</v>
      </c>
    </row>
    <row r="995" spans="1:21" x14ac:dyDescent="0.25">
      <c r="A995">
        <v>994</v>
      </c>
      <c r="B995" t="s">
        <v>96</v>
      </c>
      <c r="C995" t="s">
        <v>120</v>
      </c>
      <c r="D995" t="s">
        <v>124</v>
      </c>
      <c r="E995">
        <v>267</v>
      </c>
      <c r="F995">
        <v>370</v>
      </c>
      <c r="G995">
        <v>362</v>
      </c>
      <c r="H995">
        <v>2607.34</v>
      </c>
      <c r="I995">
        <v>1317.53</v>
      </c>
      <c r="J995">
        <v>90</v>
      </c>
      <c r="K995">
        <v>10</v>
      </c>
      <c r="L995" t="s">
        <v>128</v>
      </c>
      <c r="M995">
        <v>55</v>
      </c>
      <c r="N995">
        <v>2</v>
      </c>
      <c r="O995">
        <v>8</v>
      </c>
      <c r="P995" t="s">
        <v>215</v>
      </c>
      <c r="Q995" t="s">
        <v>217</v>
      </c>
      <c r="R995">
        <f t="shared" si="64"/>
        <v>8</v>
      </c>
      <c r="S995">
        <f t="shared" si="61"/>
        <v>1.3857677902621723</v>
      </c>
      <c r="T995" t="str">
        <f t="shared" si="62"/>
        <v>Low Risk</v>
      </c>
      <c r="U995" t="str">
        <f t="shared" si="63"/>
        <v>Maintain Stock</v>
      </c>
    </row>
    <row r="996" spans="1:21" x14ac:dyDescent="0.25">
      <c r="A996">
        <v>995</v>
      </c>
      <c r="B996" t="s">
        <v>64</v>
      </c>
      <c r="C996" t="s">
        <v>120</v>
      </c>
      <c r="D996" t="s">
        <v>123</v>
      </c>
      <c r="E996">
        <v>138</v>
      </c>
      <c r="F996">
        <v>45</v>
      </c>
      <c r="G996">
        <v>37</v>
      </c>
      <c r="H996">
        <v>2416.1</v>
      </c>
      <c r="I996">
        <v>1902.52</v>
      </c>
      <c r="J996">
        <v>56</v>
      </c>
      <c r="K996">
        <v>3</v>
      </c>
      <c r="L996" t="s">
        <v>167</v>
      </c>
      <c r="M996">
        <v>312</v>
      </c>
      <c r="N996">
        <v>1</v>
      </c>
      <c r="O996">
        <v>20</v>
      </c>
      <c r="P996" t="s">
        <v>216</v>
      </c>
      <c r="Q996" t="s">
        <v>219</v>
      </c>
      <c r="R996">
        <f t="shared" si="64"/>
        <v>8</v>
      </c>
      <c r="S996">
        <f t="shared" si="61"/>
        <v>0.32608695652173914</v>
      </c>
      <c r="T996" t="str">
        <f t="shared" si="62"/>
        <v>High Risk</v>
      </c>
      <c r="U996" t="str">
        <f t="shared" si="63"/>
        <v>Apply Discount / Promotion</v>
      </c>
    </row>
    <row r="997" spans="1:21" x14ac:dyDescent="0.25">
      <c r="A997">
        <v>996</v>
      </c>
      <c r="B997" t="s">
        <v>77</v>
      </c>
      <c r="C997" t="s">
        <v>117</v>
      </c>
      <c r="D997" t="s">
        <v>121</v>
      </c>
      <c r="E997">
        <v>101</v>
      </c>
      <c r="F997">
        <v>0</v>
      </c>
      <c r="G997">
        <v>18</v>
      </c>
      <c r="H997">
        <v>217.14</v>
      </c>
      <c r="I997">
        <v>130.82</v>
      </c>
      <c r="J997">
        <v>118</v>
      </c>
      <c r="K997">
        <v>8</v>
      </c>
      <c r="L997" t="s">
        <v>201</v>
      </c>
      <c r="M997">
        <v>135</v>
      </c>
      <c r="N997">
        <v>1</v>
      </c>
      <c r="O997">
        <v>10</v>
      </c>
      <c r="P997" t="s">
        <v>215</v>
      </c>
      <c r="Q997" t="s">
        <v>219</v>
      </c>
      <c r="R997">
        <f t="shared" si="64"/>
        <v>-18</v>
      </c>
      <c r="S997">
        <f t="shared" si="61"/>
        <v>0</v>
      </c>
      <c r="T997" t="str">
        <f t="shared" si="62"/>
        <v>High Risk</v>
      </c>
      <c r="U997" t="str">
        <f t="shared" si="63"/>
        <v>Apply Discount / Promotion</v>
      </c>
    </row>
    <row r="998" spans="1:21" x14ac:dyDescent="0.25">
      <c r="A998">
        <v>997</v>
      </c>
      <c r="B998" t="s">
        <v>41</v>
      </c>
      <c r="C998" t="s">
        <v>118</v>
      </c>
      <c r="D998" t="s">
        <v>123</v>
      </c>
      <c r="E998">
        <v>212</v>
      </c>
      <c r="F998">
        <v>269</v>
      </c>
      <c r="G998">
        <v>256</v>
      </c>
      <c r="H998">
        <v>3519.97</v>
      </c>
      <c r="I998">
        <v>2366.87</v>
      </c>
      <c r="J998">
        <v>150</v>
      </c>
      <c r="K998">
        <v>4</v>
      </c>
      <c r="L998" t="s">
        <v>181</v>
      </c>
      <c r="M998">
        <v>363</v>
      </c>
      <c r="N998">
        <v>4</v>
      </c>
      <c r="O998">
        <v>45</v>
      </c>
      <c r="P998" t="s">
        <v>215</v>
      </c>
      <c r="Q998" t="s">
        <v>219</v>
      </c>
      <c r="R998">
        <f t="shared" si="64"/>
        <v>13</v>
      </c>
      <c r="S998">
        <f t="shared" si="61"/>
        <v>1.2688679245283019</v>
      </c>
      <c r="T998" t="str">
        <f t="shared" si="62"/>
        <v>Low Risk</v>
      </c>
      <c r="U998" t="str">
        <f t="shared" si="63"/>
        <v>Maintain Stock</v>
      </c>
    </row>
    <row r="999" spans="1:21" x14ac:dyDescent="0.25">
      <c r="A999">
        <v>998</v>
      </c>
      <c r="B999" t="s">
        <v>97</v>
      </c>
      <c r="C999" t="s">
        <v>120</v>
      </c>
      <c r="D999" t="s">
        <v>121</v>
      </c>
      <c r="E999">
        <v>98</v>
      </c>
      <c r="F999">
        <v>198</v>
      </c>
      <c r="G999">
        <v>151</v>
      </c>
      <c r="H999">
        <v>2614.04</v>
      </c>
      <c r="I999">
        <v>1443.48</v>
      </c>
      <c r="J999">
        <v>92</v>
      </c>
      <c r="K999">
        <v>8</v>
      </c>
      <c r="L999" t="s">
        <v>143</v>
      </c>
      <c r="M999">
        <v>252</v>
      </c>
      <c r="N999">
        <v>3</v>
      </c>
      <c r="O999">
        <v>40</v>
      </c>
      <c r="P999" t="s">
        <v>215</v>
      </c>
      <c r="Q999" t="s">
        <v>218</v>
      </c>
      <c r="R999">
        <f t="shared" si="64"/>
        <v>47</v>
      </c>
      <c r="S999">
        <f t="shared" si="61"/>
        <v>2.0204081632653059</v>
      </c>
      <c r="T999" t="str">
        <f t="shared" si="62"/>
        <v>Low Risk</v>
      </c>
      <c r="U999" t="str">
        <f t="shared" si="63"/>
        <v>Maintain Stock</v>
      </c>
    </row>
    <row r="1000" spans="1:21" x14ac:dyDescent="0.25">
      <c r="A1000">
        <v>999</v>
      </c>
      <c r="B1000" t="s">
        <v>90</v>
      </c>
      <c r="C1000" t="s">
        <v>116</v>
      </c>
      <c r="D1000" t="s">
        <v>123</v>
      </c>
      <c r="E1000">
        <v>155</v>
      </c>
      <c r="F1000">
        <v>144</v>
      </c>
      <c r="G1000">
        <v>102</v>
      </c>
      <c r="H1000">
        <v>77.599999999999994</v>
      </c>
      <c r="I1000">
        <v>52.45</v>
      </c>
      <c r="J1000">
        <v>32</v>
      </c>
      <c r="K1000">
        <v>8</v>
      </c>
      <c r="L1000" t="s">
        <v>149</v>
      </c>
      <c r="M1000">
        <v>177</v>
      </c>
      <c r="N1000">
        <v>1</v>
      </c>
      <c r="O1000">
        <v>16</v>
      </c>
      <c r="P1000" t="s">
        <v>216</v>
      </c>
      <c r="Q1000" t="s">
        <v>217</v>
      </c>
      <c r="R1000">
        <f t="shared" si="64"/>
        <v>42</v>
      </c>
      <c r="S1000">
        <f t="shared" si="61"/>
        <v>0.92903225806451617</v>
      </c>
      <c r="T1000" t="str">
        <f t="shared" si="62"/>
        <v>Medium Risk</v>
      </c>
      <c r="U1000" t="str">
        <f t="shared" si="63"/>
        <v>Monitor Sales</v>
      </c>
    </row>
    <row r="1001" spans="1:21" x14ac:dyDescent="0.25">
      <c r="A1001">
        <v>1000</v>
      </c>
      <c r="B1001" t="s">
        <v>92</v>
      </c>
      <c r="C1001" t="s">
        <v>118</v>
      </c>
      <c r="D1001" t="s">
        <v>124</v>
      </c>
      <c r="E1001">
        <v>482</v>
      </c>
      <c r="F1001">
        <v>265</v>
      </c>
      <c r="G1001">
        <v>237</v>
      </c>
      <c r="H1001">
        <v>2463.85</v>
      </c>
      <c r="I1001">
        <v>1770.77</v>
      </c>
      <c r="J1001">
        <v>45</v>
      </c>
      <c r="K1001">
        <v>2</v>
      </c>
      <c r="L1001" t="s">
        <v>136</v>
      </c>
      <c r="M1001">
        <v>205</v>
      </c>
      <c r="N1001">
        <v>2</v>
      </c>
      <c r="O1001">
        <v>10</v>
      </c>
      <c r="P1001" t="s">
        <v>216</v>
      </c>
      <c r="Q1001" t="s">
        <v>219</v>
      </c>
      <c r="R1001">
        <f t="shared" si="64"/>
        <v>28</v>
      </c>
      <c r="S1001">
        <f t="shared" si="61"/>
        <v>0.549792531120332</v>
      </c>
      <c r="T1001" t="str">
        <f t="shared" si="62"/>
        <v>Medium Risk</v>
      </c>
      <c r="U1001" t="str">
        <f t="shared" si="63"/>
        <v>Monitor Sales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2B2C-C3A8-4B9C-8A1C-D590ACB7E53E}">
  <dimension ref="B7:S13"/>
  <sheetViews>
    <sheetView tabSelected="1" topLeftCell="A12" workbookViewId="0">
      <selection activeCell="F12" sqref="F12"/>
    </sheetView>
  </sheetViews>
  <sheetFormatPr defaultRowHeight="15" x14ac:dyDescent="0.25"/>
  <sheetData>
    <row r="7" spans="2:19" ht="42" x14ac:dyDescent="0.25">
      <c r="B7" s="7" t="s">
        <v>234</v>
      </c>
      <c r="C7" s="7" t="s">
        <v>235</v>
      </c>
    </row>
    <row r="8" spans="2:19" ht="56.25" x14ac:dyDescent="0.25">
      <c r="B8" s="10" t="s">
        <v>236</v>
      </c>
      <c r="C8" s="11">
        <v>1000</v>
      </c>
    </row>
    <row r="9" spans="2:19" ht="38.25" thickBot="1" x14ac:dyDescent="0.3">
      <c r="B9" s="12" t="s">
        <v>230</v>
      </c>
      <c r="C9" s="13">
        <v>230</v>
      </c>
    </row>
    <row r="10" spans="2:19" ht="39" thickTop="1" thickBot="1" x14ac:dyDescent="0.3">
      <c r="B10" s="14" t="s">
        <v>232</v>
      </c>
      <c r="C10" s="15">
        <v>410</v>
      </c>
    </row>
    <row r="11" spans="2:19" ht="38.25" thickTop="1" x14ac:dyDescent="0.25">
      <c r="B11" s="16" t="s">
        <v>231</v>
      </c>
      <c r="C11" s="17">
        <v>360</v>
      </c>
    </row>
    <row r="12" spans="2:19" ht="56.25" x14ac:dyDescent="0.45">
      <c r="B12" s="18" t="s">
        <v>237</v>
      </c>
      <c r="C12" s="19">
        <v>0.89</v>
      </c>
      <c r="I12" s="8"/>
      <c r="M12" s="9" t="s">
        <v>239</v>
      </c>
      <c r="N12" s="8"/>
      <c r="O12" s="8"/>
      <c r="P12" s="8"/>
      <c r="Q12" s="8"/>
      <c r="R12" s="8"/>
      <c r="S12" s="8"/>
    </row>
    <row r="13" spans="2:19" ht="37.5" x14ac:dyDescent="0.3">
      <c r="B13" s="20" t="s">
        <v>238</v>
      </c>
      <c r="C13" s="21">
        <f>230/1000</f>
        <v>0.23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mayur solanki</cp:lastModifiedBy>
  <dcterms:created xsi:type="dcterms:W3CDTF">2026-03-29T11:33:19Z</dcterms:created>
  <dcterms:modified xsi:type="dcterms:W3CDTF">2026-04-01T12:27:54Z</dcterms:modified>
</cp:coreProperties>
</file>